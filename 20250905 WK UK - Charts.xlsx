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AF5D0A1F-07E6-41D1-B036-825E202EB8B8}" xr6:coauthVersionLast="47" xr6:coauthVersionMax="47" xr10:uidLastSave="{00000000-0000-0000-0000-000000000000}"/>
  <bookViews>
    <workbookView xWindow="-120" yWindow="-120" windowWidth="29040" windowHeight="15720" activeTab="1" xr2:uid="{19FD9D6D-B312-4C37-9198-4B2045BDF73F}"/>
  </bookViews>
  <sheets>
    <sheet name="Chart - RS revisions" sheetId="4" r:id="rId1"/>
    <sheet name="Chart Data" sheetId="8" r:id="rId2"/>
    <sheet name="HAVERD" sheetId="1" r:id="rId3"/>
    <sheet name="HAVERM" sheetId="7" r:id="rId4"/>
    <sheet name="KPSA - Jul" sheetId="5" r:id="rId5"/>
    <sheet name="KPSA3 - Jul" sheetId="6" r:id="rId6"/>
  </sheets>
  <externalReferences>
    <externalReference r:id="rId7"/>
  </externalReferences>
  <definedNames>
    <definedName name="_DLX1.INC">HAVERD!$B$3:$L$8</definedName>
    <definedName name="_DLX2.INC">HAVERM!$A$1:$E$6</definedName>
    <definedName name="Data">[1]sheet0!$C$2</definedName>
    <definedName name="KPSA_Table">'KPSA - Jul'!$A$10:$K$458</definedName>
    <definedName name="KPSA_Table2">'KPSA - Jul'!$A$464:$K$911</definedName>
    <definedName name="KPSA3_Table1">'KPSA3 - Jul'!$A$9:$K$457</definedName>
    <definedName name="KPSA3_Table2">'KPSA3 - Jul'!$A$463:$K$910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2" i="8"/>
  <c r="C31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N394" i="1"/>
  <c r="N395" i="1"/>
  <c r="N396" i="1"/>
  <c r="N397" i="1"/>
  <c r="N398" i="1"/>
  <c r="N399" i="1"/>
  <c r="N400" i="1"/>
  <c r="N401" i="1"/>
  <c r="N402" i="1"/>
  <c r="N403" i="1"/>
  <c r="M394" i="1"/>
  <c r="M395" i="1"/>
  <c r="M396" i="1"/>
  <c r="M397" i="1"/>
  <c r="M398" i="1"/>
  <c r="M399" i="1"/>
  <c r="M400" i="1"/>
  <c r="M401" i="1"/>
  <c r="M402" i="1"/>
  <c r="M403" i="1"/>
  <c r="J402" i="1" l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K401" i="1"/>
  <c r="J401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16" i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17" i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18" i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14" i="1"/>
  <c r="K402" i="1" l="1"/>
</calcChain>
</file>

<file path=xl/sharedStrings.xml><?xml version="1.0" encoding="utf-8"?>
<sst xmlns="http://schemas.openxmlformats.org/spreadsheetml/2006/main" count="2475" uniqueCount="1015">
  <si>
    <t>T112GA@INTDAILY</t>
  </si>
  <si>
    <t>T134GA@INTDAILY</t>
  </si>
  <si>
    <t>R111GA@INTDAILY</t>
  </si>
  <si>
    <t>20240101 !D</t>
  </si>
  <si>
    <t>20240101</t>
  </si>
  <si>
    <t>.DTLM</t>
  </si>
  <si>
    <t>.LSOURCE</t>
  </si>
  <si>
    <t>.TN</t>
  </si>
  <si>
    <t>.T1</t>
  </si>
  <si>
    <t>.DESC</t>
  </si>
  <si>
    <t>London Stock Exchange Group</t>
  </si>
  <si>
    <t>02-Jul-2025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</si>
  <si>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</si>
  <si>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</si>
  <si>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</si>
  <si>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</si>
  <si>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</si>
  <si>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</si>
  <si>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</si>
  <si>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</si>
  <si>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</si>
  <si>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</si>
  <si>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</si>
  <si>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</si>
  <si>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</si>
  <si>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</si>
  <si>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</si>
  <si>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</si>
  <si>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</si>
  <si>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</si>
  <si>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</si>
  <si>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</si>
  <si>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</si>
  <si>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</si>
  <si>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</si>
  <si>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</si>
  <si>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</si>
  <si>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</si>
  <si>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</si>
  <si>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</si>
  <si>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</si>
  <si>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</si>
  <si>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</si>
  <si>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</si>
  <si>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</si>
  <si>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</si>
  <si>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</si>
  <si>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</si>
  <si>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</si>
  <si>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</si>
  <si>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</si>
  <si>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</si>
  <si>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</si>
  <si>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</si>
  <si>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</si>
  <si>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</si>
  <si>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</si>
  <si>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</si>
  <si>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</si>
  <si>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</si>
  <si>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</si>
  <si>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</si>
  <si>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</si>
  <si>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</si>
  <si>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</si>
  <si>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</si>
  <si>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</si>
  <si>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</si>
  <si>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</si>
  <si>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</si>
  <si>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</si>
  <si>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</si>
  <si>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</si>
  <si>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</si>
  <si>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</si>
  <si>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</si>
  <si>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</si>
  <si>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</si>
  <si>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</si>
  <si>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</si>
  <si>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</si>
  <si>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</si>
  <si>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</si>
  <si>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</si>
  <si>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</si>
  <si>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</si>
  <si>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</si>
  <si>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</si>
  <si>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</si>
  <si>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</si>
  <si>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</si>
  <si>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</si>
  <si>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</si>
  <si>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</si>
  <si>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</si>
  <si>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</si>
  <si>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</si>
  <si>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</si>
  <si>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</si>
  <si>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</si>
  <si>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</si>
  <si>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</si>
  <si>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</si>
  <si>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</si>
  <si>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</si>
  <si>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</si>
  <si>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</si>
  <si>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</si>
  <si>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</si>
  <si>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</si>
  <si>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</si>
  <si>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</si>
  <si>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</si>
  <si>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</si>
  <si>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</si>
  <si>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</si>
  <si>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</si>
  <si>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</si>
  <si>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</si>
  <si>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</si>
  <si>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</si>
  <si>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</si>
  <si>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</si>
  <si>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</si>
  <si>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</si>
  <si>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</si>
  <si>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</si>
  <si>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</si>
  <si>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</si>
  <si>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</si>
  <si>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</si>
  <si>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</si>
  <si>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</si>
  <si>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</si>
  <si>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</si>
  <si>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</si>
  <si>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</si>
  <si>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</si>
  <si>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</si>
  <si>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</si>
  <si>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</si>
  <si>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</si>
  <si>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</si>
  <si>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</si>
  <si>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</si>
  <si>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</si>
  <si>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</si>
  <si>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</si>
  <si>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</si>
  <si>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</si>
  <si>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</si>
  <si>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</si>
  <si>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</si>
  <si>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</si>
  <si>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</si>
  <si>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</si>
  <si>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</si>
  <si>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</si>
  <si>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</si>
  <si>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</si>
  <si>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</si>
  <si>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</si>
  <si>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</si>
  <si>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</si>
  <si>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</si>
  <si>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</si>
  <si>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</si>
  <si>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</si>
  <si>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</si>
  <si>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</si>
  <si>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</si>
  <si>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</si>
  <si>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</si>
  <si>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</si>
  <si>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</si>
  <si>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</si>
  <si>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</si>
  <si>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</si>
  <si>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</si>
  <si>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</si>
  <si>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</si>
  <si>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</si>
  <si>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</si>
  <si>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</si>
  <si>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</si>
  <si>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</si>
  <si>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</si>
  <si>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</si>
  <si>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</si>
  <si>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</si>
  <si>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</si>
  <si>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</si>
  <si>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</si>
  <si>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</si>
  <si>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</si>
  <si>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</si>
  <si>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</si>
  <si>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</si>
  <si>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</si>
  <si>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</si>
  <si>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</si>
  <si>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</si>
  <si>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</si>
  <si>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</si>
  <si>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</si>
  <si>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</si>
  <si>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</si>
  <si>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</si>
  <si>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</si>
  <si>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</si>
  <si>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</si>
  <si>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</si>
  <si>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</si>
  <si>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</si>
  <si>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</si>
  <si>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</si>
  <si>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</si>
  <si>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</si>
  <si>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</si>
  <si>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</si>
  <si>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</si>
  <si>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</si>
  <si>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</si>
  <si>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</si>
  <si>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</si>
  <si>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</si>
  <si>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</si>
  <si>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</si>
  <si>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</si>
  <si>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</si>
  <si>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</si>
  <si>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</si>
  <si>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</si>
  <si>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</si>
  <si>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</si>
  <si>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</si>
  <si>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</si>
  <si>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</si>
  <si>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</si>
  <si>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</si>
  <si>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</si>
  <si>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</si>
  <si>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</si>
  <si>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</si>
  <si>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</si>
  <si>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</si>
  <si>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</si>
  <si>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</si>
  <si>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</si>
  <si>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</si>
  <si>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</si>
  <si>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</si>
  <si>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</si>
  <si>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</si>
  <si>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</si>
  <si>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</si>
  <si>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</si>
  <si>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</si>
  <si>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</si>
  <si>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</si>
  <si>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</si>
  <si>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</si>
  <si>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</si>
  <si>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</si>
  <si>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</si>
  <si>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</si>
  <si>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</si>
  <si>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</si>
  <si>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</si>
  <si>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</si>
  <si>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</si>
  <si>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</si>
  <si>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</si>
  <si>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</si>
  <si>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</si>
  <si>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</si>
  <si>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</si>
  <si>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</si>
  <si>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</si>
  <si>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</si>
  <si>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</si>
  <si>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</si>
  <si>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</si>
  <si>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</si>
  <si>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</si>
  <si>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</si>
  <si>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</si>
  <si>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</si>
  <si>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</si>
  <si>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</si>
  <si>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</si>
  <si>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</si>
  <si>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</si>
  <si>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</si>
  <si>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</si>
  <si>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</si>
  <si>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</si>
  <si>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</si>
  <si>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</si>
  <si>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</si>
  <si>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</si>
  <si>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</si>
  <si>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</si>
  <si>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</si>
  <si>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</si>
  <si>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</si>
  <si>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</si>
  <si>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</si>
  <si>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</si>
  <si>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</si>
  <si>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</si>
  <si>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</si>
  <si>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</si>
  <si>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</si>
  <si>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</si>
  <si>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</si>
  <si>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</si>
  <si>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</si>
  <si>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</si>
  <si>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</si>
  <si>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</si>
  <si>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</si>
  <si>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</si>
  <si>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</si>
  <si>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</si>
  <si>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</si>
  <si>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</si>
  <si>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</si>
  <si>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</si>
  <si>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</si>
  <si>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</si>
  <si>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</si>
  <si>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</si>
  <si>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</si>
  <si>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</si>
  <si>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</si>
  <si>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</si>
  <si>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</si>
  <si>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</si>
  <si>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</si>
  <si>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</si>
  <si>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</si>
  <si>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</si>
  <si>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</si>
  <si>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</si>
  <si>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</si>
  <si>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</si>
  <si>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</si>
  <si>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</si>
  <si>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</si>
  <si>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</si>
  <si>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</si>
  <si>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</si>
  <si>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</si>
  <si>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</si>
  <si>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</si>
  <si>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</si>
  <si>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</si>
  <si>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</si>
  <si>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</si>
  <si>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</si>
  <si>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</si>
  <si>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</si>
  <si>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</si>
  <si>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</si>
  <si>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</si>
  <si>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20250501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</si>
  <si>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</si>
  <si>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</si>
  <si>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</si>
  <si>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</si>
  <si>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</si>
  <si>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</si>
  <si>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</si>
  <si>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</si>
  <si>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</si>
  <si>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</si>
  <si>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</si>
  <si>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</si>
  <si>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</si>
  <si>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</si>
  <si>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</si>
  <si>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</si>
  <si>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</si>
  <si>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</si>
  <si>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</si>
  <si>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</si>
  <si>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</si>
  <si>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</si>
  <si>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</si>
  <si>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</si>
  <si>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</si>
  <si>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</si>
  <si>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</si>
  <si>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</si>
  <si>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</si>
  <si>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</si>
  <si>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</si>
  <si>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</si>
  <si>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</si>
  <si>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</si>
  <si>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</si>
  <si>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</si>
  <si>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</si>
  <si>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</si>
  <si>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</si>
  <si>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</si>
  <si>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</si>
  <si>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</si>
  <si>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</si>
  <si>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</si>
  <si>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UK</t>
  </si>
  <si>
    <t>US</t>
  </si>
  <si>
    <t>Germany</t>
  </si>
  <si>
    <t>Spread: UK-US</t>
  </si>
  <si>
    <t>Spread: UK-Germany</t>
  </si>
  <si>
    <t>June average</t>
  </si>
  <si>
    <t>X112USB@INTDAILY</t>
  </si>
  <si>
    <t>X112EUB@INTDAILY</t>
  </si>
  <si>
    <t>Jul-03-2025 09:30</t>
  </si>
  <si>
    <t>Bank of England</t>
  </si>
  <si>
    <t>02-Jan-1975</t>
  </si>
  <si>
    <t>UK: Spot Exchange Rate: US Dollar (US$/GBP)</t>
  </si>
  <si>
    <t>04-Jan-1999</t>
  </si>
  <si>
    <t>UK: Spot Exchange Rate: Euro (Euros/GBP)</t>
  </si>
  <si>
    <t>$/£</t>
  </si>
  <si>
    <t>€/£</t>
  </si>
  <si>
    <t>Jul-03-2025 20:51</t>
  </si>
  <si>
    <t>03-Jul-2025</t>
  </si>
  <si>
    <t>Jul-03-2025 19:52</t>
  </si>
  <si>
    <t>20250703</t>
  </si>
  <si>
    <t>KPSA - RETAIL SALES INDEX: CHAINED VOLUME OF RETAIL SALES SEASONALLY ADJUSTED</t>
  </si>
  <si>
    <t>This worksheet contains two tables presented vertically with one above the other and a blank row between the two tables</t>
  </si>
  <si>
    <t>Index 2022=100</t>
  </si>
  <si>
    <t xml:space="preserve">Some cells in this table are empty because data was not collected for these variables at these time points. </t>
  </si>
  <si>
    <t>Index numbers of sales per week</t>
  </si>
  <si>
    <t>Time Period</t>
  </si>
  <si>
    <t>All retailing including automotive fuel [note1]</t>
  </si>
  <si>
    <t>All retailing excluding automotive fuel [Note 1]</t>
  </si>
  <si>
    <t>Predominantly food stores</t>
  </si>
  <si>
    <t>Total of predominantly non-food stores [Note 2]</t>
  </si>
  <si>
    <t>Non-specialised stores [Note 2]</t>
  </si>
  <si>
    <t>Textile, clothing and footwear stores [Note 2]</t>
  </si>
  <si>
    <t>Household goods stores [Note 2]</t>
  </si>
  <si>
    <t>Other stores [Note 2]</t>
  </si>
  <si>
    <t>Non-store retailing</t>
  </si>
  <si>
    <t>Predominantly automotive fuel [Note 1]</t>
  </si>
  <si>
    <t>Agg/SIC</t>
  </si>
  <si>
    <t>Agg 21</t>
  </si>
  <si>
    <t>Agg 21X</t>
  </si>
  <si>
    <t>Agg 1</t>
  </si>
  <si>
    <t>Agg 12</t>
  </si>
  <si>
    <t>47.19</t>
  </si>
  <si>
    <t>Agg 5</t>
  </si>
  <si>
    <t>Agg 7</t>
  </si>
  <si>
    <t>Agg 13</t>
  </si>
  <si>
    <t>Agg 14</t>
  </si>
  <si>
    <t>47.30</t>
  </si>
  <si>
    <t>Dataset identifier code</t>
  </si>
  <si>
    <t>J5EK</t>
  </si>
  <si>
    <t>J467</t>
  </si>
  <si>
    <t>EAPT</t>
  </si>
  <si>
    <t>EAPV</t>
  </si>
  <si>
    <t>EAPU</t>
  </si>
  <si>
    <t>EAPX</t>
  </si>
  <si>
    <t>EAPY</t>
  </si>
  <si>
    <t>EAPW</t>
  </si>
  <si>
    <t>J5DZ</t>
  </si>
  <si>
    <t>JO5A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</si>
  <si>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</si>
  <si>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</si>
  <si>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</si>
  <si>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</si>
  <si>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</si>
  <si>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</si>
  <si>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</si>
  <si>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</si>
  <si>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</si>
  <si>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</si>
  <si>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</si>
  <si>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</si>
  <si>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</si>
  <si>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</si>
  <si>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</si>
  <si>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</si>
  <si>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</si>
  <si>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</si>
  <si>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</si>
  <si>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</si>
  <si>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</si>
  <si>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</si>
  <si>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</si>
  <si>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</si>
  <si>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</si>
  <si>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</si>
  <si>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</si>
  <si>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</si>
  <si>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</si>
  <si>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</si>
  <si>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</si>
  <si>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</si>
  <si>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</si>
  <si>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</si>
  <si>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</si>
  <si>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</si>
  <si>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</si>
  <si>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</si>
  <si>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</si>
  <si>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</si>
  <si>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</si>
  <si>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</si>
  <si>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</si>
  <si>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</si>
  <si>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</si>
  <si>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</si>
  <si>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</si>
  <si>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</si>
  <si>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</si>
  <si>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</si>
  <si>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</si>
  <si>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</si>
  <si>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</si>
  <si>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</si>
  <si>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</si>
  <si>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</si>
  <si>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</si>
  <si>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</si>
  <si>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</si>
  <si>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</si>
  <si>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</si>
  <si>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</si>
  <si>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</si>
  <si>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</si>
  <si>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</si>
  <si>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</si>
  <si>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</si>
  <si>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</si>
  <si>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</si>
  <si>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</si>
  <si>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</si>
  <si>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</si>
  <si>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</si>
  <si>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</si>
  <si>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</si>
  <si>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</si>
  <si>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</si>
  <si>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</si>
  <si>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</si>
  <si>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</si>
  <si>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</si>
  <si>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</si>
  <si>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</si>
  <si>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</si>
  <si>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</si>
  <si>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</si>
  <si>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</si>
  <si>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</si>
  <si>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</si>
  <si>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</si>
  <si>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</si>
  <si>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</si>
  <si>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</si>
  <si>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</si>
  <si>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</si>
  <si>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</si>
  <si>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</si>
  <si>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</si>
  <si>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</si>
  <si>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</si>
  <si>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</si>
  <si>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</si>
  <si>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</si>
  <si>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</si>
  <si>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</si>
  <si>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</si>
  <si>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</si>
  <si>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</si>
  <si>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</si>
  <si>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</si>
  <si>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</si>
  <si>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</si>
  <si>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</si>
  <si>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</si>
  <si>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</si>
  <si>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</si>
  <si>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</si>
  <si>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</si>
  <si>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</si>
  <si>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</si>
  <si>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</si>
  <si>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</si>
  <si>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</si>
  <si>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</si>
  <si>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</si>
  <si>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</si>
  <si>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</si>
  <si>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</si>
  <si>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</si>
  <si>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</si>
  <si>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</si>
  <si>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</si>
  <si>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</si>
  <si>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</si>
  <si>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</si>
  <si>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</si>
  <si>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</si>
  <si>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</si>
  <si>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</si>
  <si>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</si>
  <si>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</si>
  <si>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</si>
  <si>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</si>
  <si>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</si>
  <si>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</si>
  <si>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</si>
  <si>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</si>
  <si>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</si>
  <si>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</si>
  <si>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</si>
  <si>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</si>
  <si>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</si>
  <si>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</si>
  <si>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</si>
  <si>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</si>
  <si>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</si>
  <si>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</si>
  <si>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</si>
  <si>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</si>
  <si>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</si>
  <si>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</si>
  <si>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</si>
  <si>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</si>
  <si>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</si>
  <si>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</si>
  <si>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</si>
  <si>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</si>
  <si>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</si>
  <si>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</si>
  <si>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</si>
  <si>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</si>
  <si>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</si>
  <si>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</si>
  <si>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</si>
  <si>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</si>
  <si>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</si>
  <si>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</si>
  <si>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</si>
  <si>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</si>
  <si>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</si>
  <si>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</si>
  <si>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</si>
  <si>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</si>
  <si>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</si>
  <si>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</si>
  <si>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</si>
  <si>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</si>
  <si>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</si>
  <si>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</si>
  <si>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</si>
  <si>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</si>
  <si>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</si>
  <si>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</si>
  <si>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</si>
  <si>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</si>
  <si>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</si>
  <si>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</si>
  <si>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</si>
  <si>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</si>
  <si>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</si>
  <si>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</si>
  <si>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</si>
  <si>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</si>
  <si>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</si>
  <si>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</si>
  <si>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</si>
  <si>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</si>
  <si>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</si>
  <si>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</si>
  <si>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</si>
  <si>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</si>
  <si>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</si>
  <si>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</si>
  <si>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</si>
  <si>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</si>
  <si>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</si>
  <si>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</si>
  <si>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</si>
  <si>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</si>
  <si>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</si>
  <si>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</si>
  <si>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</si>
  <si>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</si>
  <si>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</si>
  <si>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</si>
  <si>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</si>
  <si>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</si>
  <si>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</si>
  <si>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</si>
  <si>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</si>
  <si>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</si>
  <si>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</si>
  <si>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</si>
  <si>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</si>
  <si>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</si>
  <si>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</si>
  <si>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</si>
  <si>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</si>
  <si>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</si>
  <si>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</si>
  <si>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</si>
  <si>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</si>
  <si>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</si>
  <si>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</si>
  <si>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</si>
  <si>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</si>
  <si>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</si>
  <si>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</si>
  <si>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</si>
  <si>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</si>
  <si>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</si>
  <si>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</si>
  <si>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</si>
  <si>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</si>
  <si>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</si>
  <si>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</si>
  <si>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</si>
  <si>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</si>
  <si>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</si>
  <si>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</si>
  <si>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</si>
  <si>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</si>
  <si>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</si>
  <si>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</si>
  <si>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</si>
  <si>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</si>
  <si>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</si>
  <si>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</si>
  <si>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</si>
  <si>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</si>
  <si>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</si>
  <si>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</si>
  <si>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</si>
  <si>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</si>
  <si>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</si>
  <si>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</si>
  <si>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</si>
  <si>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</si>
  <si>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</si>
  <si>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</si>
  <si>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</si>
  <si>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</si>
  <si>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</si>
  <si>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</si>
  <si>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</si>
  <si>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</si>
  <si>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</si>
  <si>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</si>
  <si>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</si>
  <si>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</si>
  <si>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</si>
  <si>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</si>
  <si>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</si>
  <si>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</si>
  <si>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</si>
  <si>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</si>
  <si>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</si>
  <si>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</si>
  <si>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</si>
  <si>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</si>
  <si>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</si>
  <si>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</si>
  <si>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</si>
  <si>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</si>
  <si>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</si>
  <si>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</si>
  <si>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</si>
  <si>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</si>
  <si>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</si>
  <si>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</si>
  <si>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</si>
  <si>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</si>
  <si>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</si>
  <si>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</si>
  <si>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</si>
  <si>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</si>
  <si>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</si>
  <si>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</si>
  <si>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</si>
  <si>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</si>
  <si>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</si>
  <si>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</si>
  <si>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</si>
  <si>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</si>
  <si>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</si>
  <si>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</si>
  <si>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</si>
  <si>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</si>
  <si>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</si>
  <si>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</si>
  <si>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</si>
  <si>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</si>
  <si>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</si>
  <si>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</si>
  <si>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</si>
  <si>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</si>
  <si>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</si>
  <si>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</si>
  <si>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</si>
  <si>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</si>
  <si>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</si>
  <si>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</si>
  <si>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</si>
  <si>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</si>
  <si>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</si>
  <si>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</si>
  <si>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</si>
  <si>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</si>
  <si>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</si>
  <si>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</si>
  <si>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</si>
  <si>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</si>
  <si>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</si>
  <si>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</si>
  <si>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</si>
  <si>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</si>
  <si>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</si>
  <si>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</si>
  <si>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</si>
  <si>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</si>
  <si>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</si>
  <si>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</si>
  <si>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</si>
  <si>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</si>
  <si>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</si>
  <si>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</si>
  <si>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</si>
  <si>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</si>
  <si>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</si>
  <si>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</si>
  <si>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</si>
  <si>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</si>
  <si>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</si>
  <si>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</si>
  <si>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</si>
  <si>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</si>
  <si>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</si>
  <si>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</si>
  <si>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</si>
  <si>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</si>
  <si>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</si>
  <si>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</si>
  <si>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</si>
  <si>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</si>
  <si>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</si>
  <si>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</si>
  <si>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</si>
  <si>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</si>
  <si>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</si>
  <si>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</si>
  <si>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</si>
  <si>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</si>
  <si>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</si>
  <si>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</si>
  <si>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</si>
  <si>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</si>
  <si>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</si>
  <si>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</si>
  <si>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</si>
  <si>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</si>
  <si>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</si>
  <si>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</si>
  <si>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</si>
  <si>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</si>
  <si>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</si>
  <si>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</si>
  <si>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</si>
  <si>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</si>
  <si>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</si>
  <si>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</si>
  <si>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</si>
  <si>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</si>
  <si>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</si>
  <si>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</si>
  <si>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</si>
  <si>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</si>
  <si>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</si>
  <si>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</si>
  <si>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</si>
  <si>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</si>
  <si>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</si>
  <si>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</si>
  <si>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</si>
  <si>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</si>
  <si>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</si>
  <si>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</si>
  <si>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</si>
  <si>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</si>
  <si>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</si>
  <si>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</si>
  <si>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</si>
  <si>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</si>
  <si>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</si>
  <si>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</si>
  <si>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</si>
  <si>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</si>
  <si>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</si>
  <si>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</si>
  <si>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</si>
  <si>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</si>
  <si>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</si>
  <si>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</si>
  <si>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</si>
  <si>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</si>
  <si>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</si>
  <si>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</si>
  <si>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</si>
  <si>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</si>
  <si>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</si>
  <si>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Revision to index numbers</t>
  </si>
  <si>
    <t>KPSA3 - RETAIL SALES INDEX: VOLUME SEASONALLY ADJUSTED, PERCENTAGE CHANGE ON PREVIOUS MONTH</t>
  </si>
  <si>
    <t>Percentage change on previous month</t>
  </si>
  <si>
    <t>J5EC</t>
  </si>
  <si>
    <t>J45W</t>
  </si>
  <si>
    <t>IEEZ</t>
  </si>
  <si>
    <t>IEFC</t>
  </si>
  <si>
    <t>IEEW</t>
  </si>
  <si>
    <t>IEFO</t>
  </si>
  <si>
    <t>IEFR</t>
  </si>
  <si>
    <t>IEFF</t>
  </si>
  <si>
    <t>J5DL</t>
  </si>
  <si>
    <t>JO6C</t>
  </si>
  <si>
    <t>J5EC@UK</t>
  </si>
  <si>
    <t>J5EK@UK</t>
  </si>
  <si>
    <t>202001 !M</t>
  </si>
  <si>
    <t>202001</t>
  </si>
  <si>
    <t>Sep-05-2025 07:03</t>
  </si>
  <si>
    <t>Office for National Statistics</t>
  </si>
  <si>
    <t>Jul-2025</t>
  </si>
  <si>
    <t>Jan-1996</t>
  </si>
  <si>
    <t>Great Britain: Retail Sales Volume: Retailing including Auto Fuel(SA,2022=100)</t>
  </si>
  <si>
    <t>Feb-1996</t>
  </si>
  <si>
    <t>Great Britain: Retail Sales Volume: Retailing Inc Auto Fuel(SA, Mo/Mo %Chg)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</si>
  <si>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</si>
  <si>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</si>
  <si>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</si>
  <si>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</si>
  <si>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</si>
  <si>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</si>
  <si>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</si>
  <si>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</si>
  <si>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</si>
  <si>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</si>
  <si>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</si>
  <si>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</si>
  <si>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</si>
  <si>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</si>
  <si>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</si>
  <si>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</si>
  <si>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</si>
  <si>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</si>
  <si>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</si>
  <si>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</si>
  <si>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</si>
  <si>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</si>
  <si>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</si>
  <si>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</si>
  <si>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</si>
  <si>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</si>
  <si>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</si>
  <si>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</si>
  <si>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</si>
  <si>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</si>
  <si>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</si>
  <si>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</si>
  <si>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</si>
  <si>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</si>
  <si>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</si>
  <si>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</si>
  <si>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</si>
  <si>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</si>
  <si>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</si>
  <si>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</si>
  <si>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</si>
  <si>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</si>
  <si>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</si>
  <si>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</si>
  <si>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</si>
  <si>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</si>
  <si>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</si>
  <si>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</si>
  <si>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</si>
  <si>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</si>
  <si>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</si>
  <si>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</si>
  <si>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</si>
  <si>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</si>
  <si>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</si>
  <si>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</si>
  <si>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</si>
  <si>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</si>
  <si>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</si>
  <si>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</si>
  <si>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</si>
  <si>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</si>
  <si>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</si>
  <si>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</si>
  <si>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</si>
  <si>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</si>
  <si>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Retail sales level</t>
  </si>
  <si>
    <t>New</t>
  </si>
  <si>
    <t>Old</t>
  </si>
  <si>
    <t>Source: Retail Sales Index</t>
  </si>
  <si>
    <t>2025 Jun</t>
  </si>
  <si>
    <t>Retail sales m/m change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</si>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</sst>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166" fontId="0" fillId="0" borderId="0" xfId="0" applyNumberFormat="1"/>
    <xf numFmtId="0" fontId="1" fillId="0" borderId="0" xfId="0" applyFont="1"/>
    <xf numFmtId="0" fontId="3" fillId="0" borderId="0" xfId="0" applyFont="1"/>
    <xf numFmtId="166" fontId="4" fillId="0" borderId="0" xfId="0" applyNumberFormat="1" applyFont="1"/>
    <xf numFmtId="0" fontId="4" fillId="0" borderId="0" xfId="0" applyFont="1"/>
    <xf numFmtId="0" fontId="5" fillId="0" borderId="1" xfId="0" applyFont="1" applyBorder="1"/>
    <xf numFmtId="0" fontId="4" fillId="0" borderId="0" xfId="0" applyFont="1" applyAlignment="1">
      <alignment wrapText="1"/>
    </xf>
    <xf numFmtId="0" fontId="4" fillId="0" borderId="1" xfId="0" applyFont="1" applyBorder="1"/>
  </cellXfs>
  <cellStyles count="2">
    <cellStyle name="Normal" xfId="0" builtinId="0"/>
    <cellStyle name="Normal 2" xfId="1" xr:uid="{6D05CAA5-9F83-4868-96AD-8C6E6D09909F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01816510224358E-2"/>
          <c:y val="0.14714391023940784"/>
          <c:w val="0.38292189747468008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Data'!$B$2</c:f>
              <c:strCache>
                <c:ptCount val="1"/>
                <c:pt idx="0">
                  <c:v>New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Data'!$A$3:$A$33</c:f>
              <c:numCache>
                <c:formatCode>m/d/yyyy</c:formatCode>
                <c:ptCount val="3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</c:numCache>
            </c:numRef>
          </c:cat>
          <c:val>
            <c:numRef>
              <c:f>'Chart Data'!$B$3:$B$33</c:f>
              <c:numCache>
                <c:formatCode>0.0</c:formatCode>
                <c:ptCount val="31"/>
                <c:pt idx="0">
                  <c:v>98</c:v>
                </c:pt>
                <c:pt idx="1">
                  <c:v>98.2</c:v>
                </c:pt>
                <c:pt idx="2">
                  <c:v>97</c:v>
                </c:pt>
                <c:pt idx="3">
                  <c:v>98.4</c:v>
                </c:pt>
                <c:pt idx="4">
                  <c:v>97.5</c:v>
                </c:pt>
                <c:pt idx="5">
                  <c:v>98.4</c:v>
                </c:pt>
                <c:pt idx="6">
                  <c:v>96.9</c:v>
                </c:pt>
                <c:pt idx="7">
                  <c:v>97</c:v>
                </c:pt>
                <c:pt idx="8">
                  <c:v>96.1</c:v>
                </c:pt>
                <c:pt idx="9">
                  <c:v>96.2</c:v>
                </c:pt>
                <c:pt idx="10">
                  <c:v>97.6</c:v>
                </c:pt>
                <c:pt idx="11">
                  <c:v>94.3</c:v>
                </c:pt>
                <c:pt idx="12">
                  <c:v>98</c:v>
                </c:pt>
                <c:pt idx="13">
                  <c:v>97.5</c:v>
                </c:pt>
                <c:pt idx="14">
                  <c:v>97.4</c:v>
                </c:pt>
                <c:pt idx="15">
                  <c:v>95.8</c:v>
                </c:pt>
                <c:pt idx="16">
                  <c:v>98.6</c:v>
                </c:pt>
                <c:pt idx="17">
                  <c:v>97</c:v>
                </c:pt>
                <c:pt idx="18">
                  <c:v>97.4</c:v>
                </c:pt>
                <c:pt idx="19">
                  <c:v>98.2</c:v>
                </c:pt>
                <c:pt idx="20">
                  <c:v>98.1</c:v>
                </c:pt>
                <c:pt idx="21">
                  <c:v>97.4</c:v>
                </c:pt>
                <c:pt idx="22">
                  <c:v>97.2</c:v>
                </c:pt>
                <c:pt idx="23">
                  <c:v>96.8</c:v>
                </c:pt>
                <c:pt idx="24">
                  <c:v>96.4</c:v>
                </c:pt>
                <c:pt idx="25">
                  <c:v>97.9</c:v>
                </c:pt>
                <c:pt idx="26">
                  <c:v>99</c:v>
                </c:pt>
                <c:pt idx="27">
                  <c:v>98.6</c:v>
                </c:pt>
                <c:pt idx="28">
                  <c:v>97.6</c:v>
                </c:pt>
                <c:pt idx="29">
                  <c:v>97.9</c:v>
                </c:pt>
                <c:pt idx="30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D-4172-B555-4C572BC81DC5}"/>
            </c:ext>
          </c:extLst>
        </c:ser>
        <c:ser>
          <c:idx val="0"/>
          <c:order val="1"/>
          <c:tx>
            <c:strRef>
              <c:f>'Chart Data'!$C$2</c:f>
              <c:strCache>
                <c:ptCount val="1"/>
                <c:pt idx="0">
                  <c:v>Old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Data'!$A$3:$A$33</c:f>
              <c:numCache>
                <c:formatCode>m/d/yyyy</c:formatCode>
                <c:ptCount val="3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</c:numCache>
            </c:numRef>
          </c:cat>
          <c:val>
            <c:numRef>
              <c:f>'Chart Data'!$C$3:$C$33</c:f>
              <c:numCache>
                <c:formatCode>0.0</c:formatCode>
                <c:ptCount val="31"/>
                <c:pt idx="0">
                  <c:v>98</c:v>
                </c:pt>
                <c:pt idx="1">
                  <c:v>98.2</c:v>
                </c:pt>
                <c:pt idx="2">
                  <c:v>97.3</c:v>
                </c:pt>
                <c:pt idx="3">
                  <c:v>97.9</c:v>
                </c:pt>
                <c:pt idx="4">
                  <c:v>97.7</c:v>
                </c:pt>
                <c:pt idx="5">
                  <c:v>98.1</c:v>
                </c:pt>
                <c:pt idx="6">
                  <c:v>97</c:v>
                </c:pt>
                <c:pt idx="7">
                  <c:v>97.2</c:v>
                </c:pt>
                <c:pt idx="8">
                  <c:v>96.2</c:v>
                </c:pt>
                <c:pt idx="9">
                  <c:v>96.3</c:v>
                </c:pt>
                <c:pt idx="10">
                  <c:v>97.8</c:v>
                </c:pt>
                <c:pt idx="11">
                  <c:v>94.4</c:v>
                </c:pt>
                <c:pt idx="12">
                  <c:v>98.3</c:v>
                </c:pt>
                <c:pt idx="13">
                  <c:v>97.6</c:v>
                </c:pt>
                <c:pt idx="14">
                  <c:v>97.3</c:v>
                </c:pt>
                <c:pt idx="15">
                  <c:v>95.5</c:v>
                </c:pt>
                <c:pt idx="16">
                  <c:v>98.7</c:v>
                </c:pt>
                <c:pt idx="17">
                  <c:v>96.7</c:v>
                </c:pt>
                <c:pt idx="18">
                  <c:v>97.6</c:v>
                </c:pt>
                <c:pt idx="19">
                  <c:v>98.5</c:v>
                </c:pt>
                <c:pt idx="20">
                  <c:v>98.3</c:v>
                </c:pt>
                <c:pt idx="21">
                  <c:v>97.6</c:v>
                </c:pt>
                <c:pt idx="22">
                  <c:v>97.4</c:v>
                </c:pt>
                <c:pt idx="23">
                  <c:v>96.8</c:v>
                </c:pt>
                <c:pt idx="24">
                  <c:v>98.2</c:v>
                </c:pt>
                <c:pt idx="25">
                  <c:v>98.8</c:v>
                </c:pt>
                <c:pt idx="26">
                  <c:v>98.7</c:v>
                </c:pt>
                <c:pt idx="27">
                  <c:v>100.3</c:v>
                </c:pt>
                <c:pt idx="28">
                  <c:v>97.5</c:v>
                </c:pt>
                <c:pt idx="29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B-460E-BDD2-A2363CFD9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292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in val="95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42710678114388"/>
          <c:y val="0.21389806472210776"/>
          <c:w val="9.9269421830745733E-2"/>
          <c:h val="0.11204342031503488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71161044329862"/>
          <c:y val="0.14714391023940784"/>
          <c:w val="0.7363304219188862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Data'!$G$2</c:f>
              <c:strCache>
                <c:ptCount val="1"/>
                <c:pt idx="0">
                  <c:v>New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Data'!$F$3:$F$33</c:f>
              <c:numCache>
                <c:formatCode>m/d/yyyy</c:formatCode>
                <c:ptCount val="3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</c:numCache>
            </c:numRef>
          </c:cat>
          <c:val>
            <c:numRef>
              <c:f>'Chart Data'!$G$3:$G$33</c:f>
              <c:numCache>
                <c:formatCode>0.0</c:formatCode>
                <c:ptCount val="31"/>
                <c:pt idx="0">
                  <c:v>0.6</c:v>
                </c:pt>
                <c:pt idx="1">
                  <c:v>0.2</c:v>
                </c:pt>
                <c:pt idx="2">
                  <c:v>-1.2</c:v>
                </c:pt>
                <c:pt idx="3">
                  <c:v>1.4</c:v>
                </c:pt>
                <c:pt idx="4">
                  <c:v>-1</c:v>
                </c:pt>
                <c:pt idx="5">
                  <c:v>0.9</c:v>
                </c:pt>
                <c:pt idx="6">
                  <c:v>-1.5</c:v>
                </c:pt>
                <c:pt idx="7">
                  <c:v>0.2</c:v>
                </c:pt>
                <c:pt idx="8">
                  <c:v>-1</c:v>
                </c:pt>
                <c:pt idx="9">
                  <c:v>0.2</c:v>
                </c:pt>
                <c:pt idx="10">
                  <c:v>1.5</c:v>
                </c:pt>
                <c:pt idx="11">
                  <c:v>-3.4</c:v>
                </c:pt>
                <c:pt idx="12">
                  <c:v>3.9</c:v>
                </c:pt>
                <c:pt idx="13">
                  <c:v>-0.5</c:v>
                </c:pt>
                <c:pt idx="14">
                  <c:v>-0.1</c:v>
                </c:pt>
                <c:pt idx="15">
                  <c:v>-1.6</c:v>
                </c:pt>
                <c:pt idx="16">
                  <c:v>2.9</c:v>
                </c:pt>
                <c:pt idx="17">
                  <c:v>-1.6</c:v>
                </c:pt>
                <c:pt idx="18">
                  <c:v>0.4</c:v>
                </c:pt>
                <c:pt idx="19">
                  <c:v>0.9</c:v>
                </c:pt>
                <c:pt idx="20">
                  <c:v>-0.1</c:v>
                </c:pt>
                <c:pt idx="21">
                  <c:v>-0.7</c:v>
                </c:pt>
                <c:pt idx="22">
                  <c:v>-0.3</c:v>
                </c:pt>
                <c:pt idx="23">
                  <c:v>-0.3</c:v>
                </c:pt>
                <c:pt idx="24">
                  <c:v>-0.4</c:v>
                </c:pt>
                <c:pt idx="25">
                  <c:v>1.5</c:v>
                </c:pt>
                <c:pt idx="26">
                  <c:v>1.2</c:v>
                </c:pt>
                <c:pt idx="27">
                  <c:v>-0.4</c:v>
                </c:pt>
                <c:pt idx="28">
                  <c:v>-1</c:v>
                </c:pt>
                <c:pt idx="29">
                  <c:v>0.3</c:v>
                </c:pt>
                <c:pt idx="3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2-4EF1-8345-DFD3919509F4}"/>
            </c:ext>
          </c:extLst>
        </c:ser>
        <c:ser>
          <c:idx val="0"/>
          <c:order val="1"/>
          <c:tx>
            <c:strRef>
              <c:f>'Chart Data'!$H$2</c:f>
              <c:strCache>
                <c:ptCount val="1"/>
                <c:pt idx="0">
                  <c:v>Old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Data'!$F$3:$F$33</c:f>
              <c:numCache>
                <c:formatCode>m/d/yyyy</c:formatCode>
                <c:ptCount val="3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</c:numCache>
            </c:numRef>
          </c:cat>
          <c:val>
            <c:numRef>
              <c:f>'Chart Data'!$H$3:$H$33</c:f>
              <c:numCache>
                <c:formatCode>0.0</c:formatCode>
                <c:ptCount val="31"/>
                <c:pt idx="0">
                  <c:v>0.6</c:v>
                </c:pt>
                <c:pt idx="1">
                  <c:v>0.3</c:v>
                </c:pt>
                <c:pt idx="2">
                  <c:v>-0.9</c:v>
                </c:pt>
                <c:pt idx="3">
                  <c:v>0.6</c:v>
                </c:pt>
                <c:pt idx="4">
                  <c:v>-0.3</c:v>
                </c:pt>
                <c:pt idx="5">
                  <c:v>0.4</c:v>
                </c:pt>
                <c:pt idx="6">
                  <c:v>-1.1000000000000001</c:v>
                </c:pt>
                <c:pt idx="7">
                  <c:v>0.2</c:v>
                </c:pt>
                <c:pt idx="8">
                  <c:v>-1</c:v>
                </c:pt>
                <c:pt idx="9">
                  <c:v>0.1</c:v>
                </c:pt>
                <c:pt idx="10">
                  <c:v>1.7</c:v>
                </c:pt>
                <c:pt idx="11">
                  <c:v>-3.5</c:v>
                </c:pt>
                <c:pt idx="12">
                  <c:v>4</c:v>
                </c:pt>
                <c:pt idx="13">
                  <c:v>-0.6</c:v>
                </c:pt>
                <c:pt idx="14">
                  <c:v>-0.4</c:v>
                </c:pt>
                <c:pt idx="15">
                  <c:v>-1.8</c:v>
                </c:pt>
                <c:pt idx="16">
                  <c:v>3.3</c:v>
                </c:pt>
                <c:pt idx="17">
                  <c:v>-2</c:v>
                </c:pt>
                <c:pt idx="18">
                  <c:v>0.9</c:v>
                </c:pt>
                <c:pt idx="19">
                  <c:v>1</c:v>
                </c:pt>
                <c:pt idx="20">
                  <c:v>-0.2</c:v>
                </c:pt>
                <c:pt idx="21">
                  <c:v>-0.7</c:v>
                </c:pt>
                <c:pt idx="22">
                  <c:v>-0.2</c:v>
                </c:pt>
                <c:pt idx="23">
                  <c:v>-0.6</c:v>
                </c:pt>
                <c:pt idx="24">
                  <c:v>1.4</c:v>
                </c:pt>
                <c:pt idx="25">
                  <c:v>0.6</c:v>
                </c:pt>
                <c:pt idx="26">
                  <c:v>-0.2</c:v>
                </c:pt>
                <c:pt idx="27">
                  <c:v>1.7</c:v>
                </c:pt>
                <c:pt idx="28">
                  <c:v>-2.8</c:v>
                </c:pt>
                <c:pt idx="2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9-4050-B97A-99D8FFDB1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292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4"/>
          <c:min val="-3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64808C-766D-43D9-B223-37E9B9A2D2B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DD9E6-EF77-1404-B5FB-C78964FE99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Retail sales revisions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0.17401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5" y="498800"/>
          <a:ext cx="1457325" cy="343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2022=100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0.08249</cdr:x>
      <cdr:y>0.10618</cdr:y>
    </cdr:from>
    <cdr:to>
      <cdr:x>0.45421</cdr:x>
      <cdr:y>0.16845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95325" y="715035"/>
          <a:ext cx="3133495" cy="419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Level</a:t>
          </a:r>
        </a:p>
      </cdr:txBody>
    </cdr:sp>
  </cdr:relSizeAnchor>
  <cdr:relSizeAnchor xmlns:cdr="http://schemas.openxmlformats.org/drawingml/2006/chartDrawing">
    <cdr:from>
      <cdr:x>0.57096</cdr:x>
      <cdr:y>0.10665</cdr:y>
    </cdr:from>
    <cdr:to>
      <cdr:x>0.98657</cdr:x>
      <cdr:y>0.16892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01363" y="716908"/>
          <a:ext cx="3494911" cy="41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Monthly change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0.06756</cdr:x>
      <cdr:y>0.07408</cdr:y>
    </cdr:from>
    <cdr:to>
      <cdr:x>0.3399</cdr:x>
      <cdr:y>0.12503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296030" y="498838"/>
          <a:ext cx="1193318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month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7858-A885-4BA0-A54F-29ABD0EC3A19}">
  <dimension ref="A1:H33"/>
  <sheetViews>
    <sheetView tabSelected="1" workbookViewId="0">
      <selection activeCell="E20" sqref="E20"/>
    </sheetView>
  </sheetViews>
  <sheetFormatPr defaultRowHeight="15" x14ac:dyDescent="0.25"/>
  <cols>
    <col min="1" max="1" width="10.42578125" bestFit="1" customWidth="1"/>
    <col min="6" max="6" width="10.42578125" bestFit="1" customWidth="1"/>
  </cols>
  <sheetData>
    <row r="1" spans="1:8" x14ac:dyDescent="0.25">
      <c r="A1" s="9" t="s">
        <v>1008</v>
      </c>
      <c r="F1" s="9" t="s">
        <v>1013</v>
      </c>
    </row>
    <row r="2" spans="1:8" x14ac:dyDescent="0.25">
      <c r="B2" t="s">
        <v>1009</v>
      </c>
      <c r="C2" t="s">
        <v>1010</v>
      </c>
      <c r="D2" t="s">
        <v>1014</v>
      </c>
      <c r="G2" t="s">
        <v>1009</v>
      </c>
      <c r="H2" t="s">
        <v>1010</v>
      </c>
    </row>
    <row r="3" spans="1:8" x14ac:dyDescent="0.25">
      <c r="A3" s="4">
        <v>44927</v>
      </c>
      <c r="B3" s="8">
        <f>HAVERM!B43</f>
        <v>98</v>
      </c>
      <c r="C3" s="8">
        <f>'KPSA - Jul'!B430</f>
        <v>98</v>
      </c>
      <c r="D3" s="8">
        <f>100*((B3/C3)-1)</f>
        <v>0</v>
      </c>
      <c r="F3" s="4">
        <v>44927</v>
      </c>
      <c r="G3" s="8">
        <f>HAVERM!C43</f>
        <v>0.6</v>
      </c>
      <c r="H3" s="8">
        <f>'KPSA3 - Jul'!B429</f>
        <v>0.6</v>
      </c>
    </row>
    <row r="4" spans="1:8" x14ac:dyDescent="0.25">
      <c r="A4" s="4">
        <v>44958</v>
      </c>
      <c r="B4" s="8">
        <f>HAVERM!B44</f>
        <v>98.2</v>
      </c>
      <c r="C4" s="8">
        <f>'KPSA - Jul'!B431</f>
        <v>98.2</v>
      </c>
      <c r="D4" s="8">
        <f t="shared" ref="D4:D33" si="0">100*((B4/C4)-1)</f>
        <v>0</v>
      </c>
      <c r="F4" s="4">
        <v>44958</v>
      </c>
      <c r="G4" s="8">
        <f>HAVERM!C44</f>
        <v>0.2</v>
      </c>
      <c r="H4" s="8">
        <f>'KPSA3 - Jul'!B430</f>
        <v>0.3</v>
      </c>
    </row>
    <row r="5" spans="1:8" x14ac:dyDescent="0.25">
      <c r="A5" s="4">
        <v>44986</v>
      </c>
      <c r="B5" s="8">
        <f>HAVERM!B45</f>
        <v>97</v>
      </c>
      <c r="C5" s="8">
        <f>'KPSA - Jul'!B432</f>
        <v>97.3</v>
      </c>
      <c r="D5" s="8">
        <f t="shared" si="0"/>
        <v>-0.30832476875641834</v>
      </c>
      <c r="F5" s="4">
        <v>44986</v>
      </c>
      <c r="G5" s="8">
        <f>HAVERM!C45</f>
        <v>-1.2</v>
      </c>
      <c r="H5" s="8">
        <f>'KPSA3 - Jul'!B431</f>
        <v>-0.9</v>
      </c>
    </row>
    <row r="6" spans="1:8" x14ac:dyDescent="0.25">
      <c r="A6" s="4">
        <v>45017</v>
      </c>
      <c r="B6" s="8">
        <f>HAVERM!B46</f>
        <v>98.4</v>
      </c>
      <c r="C6" s="8">
        <f>'KPSA - Jul'!B433</f>
        <v>97.9</v>
      </c>
      <c r="D6" s="8">
        <f t="shared" si="0"/>
        <v>0.51072522982635871</v>
      </c>
      <c r="F6" s="4">
        <v>45017</v>
      </c>
      <c r="G6" s="8">
        <f>HAVERM!C46</f>
        <v>1.4</v>
      </c>
      <c r="H6" s="8">
        <f>'KPSA3 - Jul'!B432</f>
        <v>0.6</v>
      </c>
    </row>
    <row r="7" spans="1:8" x14ac:dyDescent="0.25">
      <c r="A7" s="4">
        <v>45047</v>
      </c>
      <c r="B7" s="8">
        <f>HAVERM!B47</f>
        <v>97.5</v>
      </c>
      <c r="C7" s="8">
        <f>'KPSA - Jul'!B434</f>
        <v>97.7</v>
      </c>
      <c r="D7" s="8">
        <f t="shared" si="0"/>
        <v>-0.20470829068577334</v>
      </c>
      <c r="F7" s="4">
        <v>45047</v>
      </c>
      <c r="G7" s="8">
        <f>HAVERM!C47</f>
        <v>-1</v>
      </c>
      <c r="H7" s="8">
        <f>'KPSA3 - Jul'!B433</f>
        <v>-0.3</v>
      </c>
    </row>
    <row r="8" spans="1:8" x14ac:dyDescent="0.25">
      <c r="A8" s="4">
        <v>45078</v>
      </c>
      <c r="B8" s="8">
        <f>HAVERM!B48</f>
        <v>98.4</v>
      </c>
      <c r="C8" s="8">
        <f>'KPSA - Jul'!B435</f>
        <v>98.1</v>
      </c>
      <c r="D8" s="8">
        <f t="shared" si="0"/>
        <v>0.30581039755352979</v>
      </c>
      <c r="F8" s="4">
        <v>45078</v>
      </c>
      <c r="G8" s="8">
        <f>HAVERM!C48</f>
        <v>0.9</v>
      </c>
      <c r="H8" s="8">
        <f>'KPSA3 - Jul'!B434</f>
        <v>0.4</v>
      </c>
    </row>
    <row r="9" spans="1:8" x14ac:dyDescent="0.25">
      <c r="A9" s="4">
        <v>45108</v>
      </c>
      <c r="B9" s="8">
        <f>HAVERM!B49</f>
        <v>96.9</v>
      </c>
      <c r="C9" s="8">
        <f>'KPSA - Jul'!B436</f>
        <v>97</v>
      </c>
      <c r="D9" s="8">
        <f t="shared" si="0"/>
        <v>-0.10309278350515427</v>
      </c>
      <c r="F9" s="4">
        <v>45108</v>
      </c>
      <c r="G9" s="8">
        <f>HAVERM!C49</f>
        <v>-1.5</v>
      </c>
      <c r="H9" s="8">
        <f>'KPSA3 - Jul'!B435</f>
        <v>-1.1000000000000001</v>
      </c>
    </row>
    <row r="10" spans="1:8" x14ac:dyDescent="0.25">
      <c r="A10" s="4">
        <v>45139</v>
      </c>
      <c r="B10" s="8">
        <f>HAVERM!B50</f>
        <v>97</v>
      </c>
      <c r="C10" s="8">
        <f>'KPSA - Jul'!B437</f>
        <v>97.2</v>
      </c>
      <c r="D10" s="8">
        <f t="shared" si="0"/>
        <v>-0.2057613168724326</v>
      </c>
      <c r="F10" s="4">
        <v>45139</v>
      </c>
      <c r="G10" s="8">
        <f>HAVERM!C50</f>
        <v>0.2</v>
      </c>
      <c r="H10" s="8">
        <f>'KPSA3 - Jul'!B436</f>
        <v>0.2</v>
      </c>
    </row>
    <row r="11" spans="1:8" x14ac:dyDescent="0.25">
      <c r="A11" s="4">
        <v>45170</v>
      </c>
      <c r="B11" s="8">
        <f>HAVERM!B51</f>
        <v>96.1</v>
      </c>
      <c r="C11" s="8">
        <f>'KPSA - Jul'!B438</f>
        <v>96.2</v>
      </c>
      <c r="D11" s="8">
        <f t="shared" si="0"/>
        <v>-0.10395010395011228</v>
      </c>
      <c r="F11" s="4">
        <v>45170</v>
      </c>
      <c r="G11" s="8">
        <f>HAVERM!C51</f>
        <v>-1</v>
      </c>
      <c r="H11" s="8">
        <f>'KPSA3 - Jul'!B437</f>
        <v>-1</v>
      </c>
    </row>
    <row r="12" spans="1:8" x14ac:dyDescent="0.25">
      <c r="A12" s="4">
        <v>45200</v>
      </c>
      <c r="B12" s="8">
        <f>HAVERM!B52</f>
        <v>96.2</v>
      </c>
      <c r="C12" s="8">
        <f>'KPSA - Jul'!B439</f>
        <v>96.3</v>
      </c>
      <c r="D12" s="8">
        <f t="shared" si="0"/>
        <v>-0.10384215991692258</v>
      </c>
      <c r="F12" s="4">
        <v>45200</v>
      </c>
      <c r="G12" s="8">
        <f>HAVERM!C52</f>
        <v>0.2</v>
      </c>
      <c r="H12" s="8">
        <f>'KPSA3 - Jul'!B438</f>
        <v>0.1</v>
      </c>
    </row>
    <row r="13" spans="1:8" x14ac:dyDescent="0.25">
      <c r="A13" s="4">
        <v>45231</v>
      </c>
      <c r="B13" s="8">
        <f>HAVERM!B53</f>
        <v>97.6</v>
      </c>
      <c r="C13" s="8">
        <f>'KPSA - Jul'!B440</f>
        <v>97.8</v>
      </c>
      <c r="D13" s="8">
        <f t="shared" si="0"/>
        <v>-0.2044989775051187</v>
      </c>
      <c r="F13" s="4">
        <v>45231</v>
      </c>
      <c r="G13" s="8">
        <f>HAVERM!C53</f>
        <v>1.5</v>
      </c>
      <c r="H13" s="8">
        <f>'KPSA3 - Jul'!B439</f>
        <v>1.7</v>
      </c>
    </row>
    <row r="14" spans="1:8" x14ac:dyDescent="0.25">
      <c r="A14" s="4">
        <v>45261</v>
      </c>
      <c r="B14" s="8">
        <f>HAVERM!B54</f>
        <v>94.3</v>
      </c>
      <c r="C14" s="8">
        <f>'KPSA - Jul'!B441</f>
        <v>94.4</v>
      </c>
      <c r="D14" s="8">
        <f t="shared" si="0"/>
        <v>-0.10593220338983578</v>
      </c>
      <c r="F14" s="4">
        <v>45261</v>
      </c>
      <c r="G14" s="8">
        <f>HAVERM!C54</f>
        <v>-3.4</v>
      </c>
      <c r="H14" s="8">
        <f>'KPSA3 - Jul'!B440</f>
        <v>-3.5</v>
      </c>
    </row>
    <row r="15" spans="1:8" x14ac:dyDescent="0.25">
      <c r="A15" s="4">
        <v>45292</v>
      </c>
      <c r="B15" s="8">
        <f>HAVERM!B55</f>
        <v>98</v>
      </c>
      <c r="C15" s="8">
        <f>'KPSA - Jul'!B442</f>
        <v>98.3</v>
      </c>
      <c r="D15" s="8">
        <f t="shared" si="0"/>
        <v>-0.30518819938961661</v>
      </c>
      <c r="F15" s="4">
        <v>45292</v>
      </c>
      <c r="G15" s="8">
        <f>HAVERM!C55</f>
        <v>3.9</v>
      </c>
      <c r="H15" s="8">
        <f>'KPSA3 - Jul'!B441</f>
        <v>4</v>
      </c>
    </row>
    <row r="16" spans="1:8" x14ac:dyDescent="0.25">
      <c r="A16" s="4">
        <v>45323</v>
      </c>
      <c r="B16" s="8">
        <f>HAVERM!B56</f>
        <v>97.5</v>
      </c>
      <c r="C16" s="8">
        <f>'KPSA - Jul'!B443</f>
        <v>97.6</v>
      </c>
      <c r="D16" s="8">
        <f t="shared" si="0"/>
        <v>-0.10245901639344135</v>
      </c>
      <c r="F16" s="4">
        <v>45323</v>
      </c>
      <c r="G16" s="8">
        <f>HAVERM!C56</f>
        <v>-0.5</v>
      </c>
      <c r="H16" s="8">
        <f>'KPSA3 - Jul'!B442</f>
        <v>-0.6</v>
      </c>
    </row>
    <row r="17" spans="1:8" x14ac:dyDescent="0.25">
      <c r="A17" s="4">
        <v>45352</v>
      </c>
      <c r="B17" s="8">
        <f>HAVERM!B57</f>
        <v>97.4</v>
      </c>
      <c r="C17" s="8">
        <f>'KPSA - Jul'!B444</f>
        <v>97.3</v>
      </c>
      <c r="D17" s="8">
        <f t="shared" si="0"/>
        <v>0.10277492291881352</v>
      </c>
      <c r="F17" s="4">
        <v>45352</v>
      </c>
      <c r="G17" s="8">
        <f>HAVERM!C57</f>
        <v>-0.1</v>
      </c>
      <c r="H17" s="8">
        <f>'KPSA3 - Jul'!B443</f>
        <v>-0.4</v>
      </c>
    </row>
    <row r="18" spans="1:8" x14ac:dyDescent="0.25">
      <c r="A18" s="4">
        <v>45383</v>
      </c>
      <c r="B18" s="8">
        <f>HAVERM!B58</f>
        <v>95.8</v>
      </c>
      <c r="C18" s="8">
        <f>'KPSA - Jul'!B445</f>
        <v>95.5</v>
      </c>
      <c r="D18" s="8">
        <f t="shared" si="0"/>
        <v>0.3141361256544517</v>
      </c>
      <c r="F18" s="4">
        <v>45383</v>
      </c>
      <c r="G18" s="8">
        <f>HAVERM!C58</f>
        <v>-1.6</v>
      </c>
      <c r="H18" s="8">
        <f>'KPSA3 - Jul'!B444</f>
        <v>-1.8</v>
      </c>
    </row>
    <row r="19" spans="1:8" x14ac:dyDescent="0.25">
      <c r="A19" s="4">
        <v>45413</v>
      </c>
      <c r="B19" s="8">
        <f>HAVERM!B59</f>
        <v>98.6</v>
      </c>
      <c r="C19" s="8">
        <f>'KPSA - Jul'!B446</f>
        <v>98.7</v>
      </c>
      <c r="D19" s="8">
        <f t="shared" si="0"/>
        <v>-0.10131712259372483</v>
      </c>
      <c r="F19" s="4">
        <v>45413</v>
      </c>
      <c r="G19" s="8">
        <f>HAVERM!C59</f>
        <v>2.9</v>
      </c>
      <c r="H19" s="8">
        <f>'KPSA3 - Jul'!B445</f>
        <v>3.3</v>
      </c>
    </row>
    <row r="20" spans="1:8" x14ac:dyDescent="0.25">
      <c r="A20" s="4">
        <v>45444</v>
      </c>
      <c r="B20" s="8">
        <f>HAVERM!B60</f>
        <v>97</v>
      </c>
      <c r="C20" s="8">
        <f>'KPSA - Jul'!B447</f>
        <v>96.7</v>
      </c>
      <c r="D20" s="8">
        <f t="shared" si="0"/>
        <v>0.31023784901758056</v>
      </c>
      <c r="F20" s="4">
        <v>45444</v>
      </c>
      <c r="G20" s="8">
        <f>HAVERM!C60</f>
        <v>-1.6</v>
      </c>
      <c r="H20" s="8">
        <f>'KPSA3 - Jul'!B446</f>
        <v>-2</v>
      </c>
    </row>
    <row r="21" spans="1:8" x14ac:dyDescent="0.25">
      <c r="A21" s="4">
        <v>45474</v>
      </c>
      <c r="B21" s="8">
        <f>HAVERM!B61</f>
        <v>97.4</v>
      </c>
      <c r="C21" s="8">
        <f>'KPSA - Jul'!B448</f>
        <v>97.6</v>
      </c>
      <c r="D21" s="8">
        <f t="shared" si="0"/>
        <v>-0.2049180327868716</v>
      </c>
      <c r="F21" s="4">
        <v>45474</v>
      </c>
      <c r="G21" s="8">
        <f>HAVERM!C61</f>
        <v>0.4</v>
      </c>
      <c r="H21" s="8">
        <f>'KPSA3 - Jul'!B447</f>
        <v>0.9</v>
      </c>
    </row>
    <row r="22" spans="1:8" x14ac:dyDescent="0.25">
      <c r="A22" s="4">
        <v>45505</v>
      </c>
      <c r="B22" s="8">
        <f>HAVERM!B62</f>
        <v>98.2</v>
      </c>
      <c r="C22" s="8">
        <f>'KPSA - Jul'!B449</f>
        <v>98.5</v>
      </c>
      <c r="D22" s="8">
        <f t="shared" si="0"/>
        <v>-0.30456852791878042</v>
      </c>
      <c r="F22" s="4">
        <v>45505</v>
      </c>
      <c r="G22" s="8">
        <f>HAVERM!C62</f>
        <v>0.9</v>
      </c>
      <c r="H22" s="8">
        <f>'KPSA3 - Jul'!B448</f>
        <v>1</v>
      </c>
    </row>
    <row r="23" spans="1:8" x14ac:dyDescent="0.25">
      <c r="A23" s="4">
        <v>45536</v>
      </c>
      <c r="B23" s="8">
        <f>HAVERM!B63</f>
        <v>98.1</v>
      </c>
      <c r="C23" s="8">
        <f>'KPSA - Jul'!B450</f>
        <v>98.3</v>
      </c>
      <c r="D23" s="8">
        <f t="shared" si="0"/>
        <v>-0.20345879959308144</v>
      </c>
      <c r="F23" s="4">
        <v>45536</v>
      </c>
      <c r="G23" s="8">
        <f>HAVERM!C63</f>
        <v>-0.1</v>
      </c>
      <c r="H23" s="8">
        <f>'KPSA3 - Jul'!B449</f>
        <v>-0.2</v>
      </c>
    </row>
    <row r="24" spans="1:8" x14ac:dyDescent="0.25">
      <c r="A24" s="4">
        <v>45566</v>
      </c>
      <c r="B24" s="8">
        <f>HAVERM!B64</f>
        <v>97.4</v>
      </c>
      <c r="C24" s="8">
        <f>'KPSA - Jul'!B451</f>
        <v>97.6</v>
      </c>
      <c r="D24" s="8">
        <f t="shared" si="0"/>
        <v>-0.2049180327868716</v>
      </c>
      <c r="F24" s="4">
        <v>45566</v>
      </c>
      <c r="G24" s="8">
        <f>HAVERM!C64</f>
        <v>-0.7</v>
      </c>
      <c r="H24" s="8">
        <f>'KPSA3 - Jul'!B450</f>
        <v>-0.7</v>
      </c>
    </row>
    <row r="25" spans="1:8" x14ac:dyDescent="0.25">
      <c r="A25" s="4">
        <v>45597</v>
      </c>
      <c r="B25" s="8">
        <f>HAVERM!B65</f>
        <v>97.2</v>
      </c>
      <c r="C25" s="8">
        <f>'KPSA - Jul'!B452</f>
        <v>97.4</v>
      </c>
      <c r="D25" s="8">
        <f t="shared" si="0"/>
        <v>-0.20533880903490509</v>
      </c>
      <c r="F25" s="4">
        <v>45597</v>
      </c>
      <c r="G25" s="8">
        <f>HAVERM!C65</f>
        <v>-0.3</v>
      </c>
      <c r="H25" s="8">
        <f>'KPSA3 - Jul'!B451</f>
        <v>-0.2</v>
      </c>
    </row>
    <row r="26" spans="1:8" x14ac:dyDescent="0.25">
      <c r="A26" s="4">
        <v>45627</v>
      </c>
      <c r="B26" s="8">
        <f>HAVERM!B66</f>
        <v>96.8</v>
      </c>
      <c r="C26" s="8">
        <f>'KPSA - Jul'!B453</f>
        <v>96.8</v>
      </c>
      <c r="D26" s="8">
        <f t="shared" si="0"/>
        <v>0</v>
      </c>
      <c r="F26" s="4">
        <v>45627</v>
      </c>
      <c r="G26" s="8">
        <f>HAVERM!C66</f>
        <v>-0.3</v>
      </c>
      <c r="H26" s="8">
        <f>'KPSA3 - Jul'!B452</f>
        <v>-0.6</v>
      </c>
    </row>
    <row r="27" spans="1:8" x14ac:dyDescent="0.25">
      <c r="A27" s="4">
        <v>45658</v>
      </c>
      <c r="B27" s="8">
        <f>HAVERM!B67</f>
        <v>96.4</v>
      </c>
      <c r="C27" s="8">
        <f>'KPSA - Jul'!B454</f>
        <v>98.2</v>
      </c>
      <c r="D27" s="8">
        <f t="shared" si="0"/>
        <v>-1.8329938900203624</v>
      </c>
      <c r="F27" s="4">
        <v>45658</v>
      </c>
      <c r="G27" s="8">
        <f>HAVERM!C67</f>
        <v>-0.4</v>
      </c>
      <c r="H27" s="8">
        <f>'KPSA3 - Jul'!B453</f>
        <v>1.4</v>
      </c>
    </row>
    <row r="28" spans="1:8" x14ac:dyDescent="0.25">
      <c r="A28" s="4">
        <v>45689</v>
      </c>
      <c r="B28" s="8">
        <f>HAVERM!B68</f>
        <v>97.9</v>
      </c>
      <c r="C28" s="8">
        <f>'KPSA - Jul'!B455</f>
        <v>98.8</v>
      </c>
      <c r="D28" s="8">
        <f t="shared" si="0"/>
        <v>-0.91093117408905799</v>
      </c>
      <c r="F28" s="4">
        <v>45689</v>
      </c>
      <c r="G28" s="8">
        <f>HAVERM!C68</f>
        <v>1.5</v>
      </c>
      <c r="H28" s="8">
        <f>'KPSA3 - Jul'!B454</f>
        <v>0.6</v>
      </c>
    </row>
    <row r="29" spans="1:8" x14ac:dyDescent="0.25">
      <c r="A29" s="4">
        <v>45717</v>
      </c>
      <c r="B29" s="8">
        <f>HAVERM!B69</f>
        <v>99</v>
      </c>
      <c r="C29" s="8">
        <f>'KPSA - Jul'!B456</f>
        <v>98.7</v>
      </c>
      <c r="D29" s="8">
        <f t="shared" si="0"/>
        <v>0.30395136778114118</v>
      </c>
      <c r="F29" s="4">
        <v>45717</v>
      </c>
      <c r="G29" s="8">
        <f>HAVERM!C69</f>
        <v>1.2</v>
      </c>
      <c r="H29" s="8">
        <f>'KPSA3 - Jul'!B455</f>
        <v>-0.2</v>
      </c>
    </row>
    <row r="30" spans="1:8" x14ac:dyDescent="0.25">
      <c r="A30" s="4">
        <v>45748</v>
      </c>
      <c r="B30" s="8">
        <f>HAVERM!B70</f>
        <v>98.6</v>
      </c>
      <c r="C30" s="8">
        <f>'KPSA - Jul'!B457</f>
        <v>100.3</v>
      </c>
      <c r="D30" s="8">
        <f t="shared" si="0"/>
        <v>-1.6949152542372947</v>
      </c>
      <c r="F30" s="4">
        <v>45748</v>
      </c>
      <c r="G30" s="8">
        <f>HAVERM!C70</f>
        <v>-0.4</v>
      </c>
      <c r="H30" s="8">
        <f>'KPSA3 - Jul'!B456</f>
        <v>1.7</v>
      </c>
    </row>
    <row r="31" spans="1:8" x14ac:dyDescent="0.25">
      <c r="A31" s="4">
        <v>45778</v>
      </c>
      <c r="B31" s="8">
        <f>HAVERM!B71</f>
        <v>97.6</v>
      </c>
      <c r="C31" s="8">
        <f>'KPSA - Jul'!B458</f>
        <v>97.5</v>
      </c>
      <c r="D31" s="8">
        <f t="shared" si="0"/>
        <v>0.10256410256410664</v>
      </c>
      <c r="F31" s="4">
        <v>45778</v>
      </c>
      <c r="G31" s="8">
        <f>HAVERM!C71</f>
        <v>-1</v>
      </c>
      <c r="H31" s="8">
        <f>'KPSA3 - Jul'!B457</f>
        <v>-2.8</v>
      </c>
    </row>
    <row r="32" spans="1:8" x14ac:dyDescent="0.25">
      <c r="A32" s="4">
        <v>45809</v>
      </c>
      <c r="B32" s="8">
        <f>HAVERM!B72</f>
        <v>97.9</v>
      </c>
      <c r="C32" s="8">
        <f>'KPSA - Jul'!B459</f>
        <v>98.4</v>
      </c>
      <c r="D32" s="8">
        <f t="shared" si="0"/>
        <v>-0.50813008130081716</v>
      </c>
      <c r="F32" s="4">
        <v>45809</v>
      </c>
      <c r="G32" s="8">
        <f>HAVERM!C72</f>
        <v>0.3</v>
      </c>
      <c r="H32" s="8">
        <f>'KPSA3 - Jul'!B458</f>
        <v>0.9</v>
      </c>
    </row>
    <row r="33" spans="1:8" x14ac:dyDescent="0.25">
      <c r="A33" s="4">
        <v>45839</v>
      </c>
      <c r="B33" s="8">
        <f>HAVERM!B73</f>
        <v>98.4</v>
      </c>
      <c r="C33" s="8"/>
      <c r="D33" s="8"/>
      <c r="F33" s="4">
        <v>45839</v>
      </c>
      <c r="G33" s="8">
        <f>HAVERM!C73</f>
        <v>0.6</v>
      </c>
      <c r="H3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7471-785B-41F5-A0FC-DC5471C4F6E2}">
  <dimension ref="A1:N405"/>
  <sheetViews>
    <sheetView workbookViewId="0">
      <pane xSplit="2" ySplit="8" topLeftCell="C389" activePane="bottomRight" state="frozen"/>
      <selection pane="topRight" activeCell="B1" sqref="B1"/>
      <selection pane="bottomLeft" activeCell="A7" sqref="A7"/>
      <selection pane="bottomRight" activeCell="E395" sqref="E395"/>
    </sheetView>
  </sheetViews>
  <sheetFormatPr defaultRowHeight="15" x14ac:dyDescent="0.25"/>
  <cols>
    <col min="1" max="1" width="10.42578125" bestFit="1" customWidth="1"/>
    <col min="3" max="7" width="15.7109375" customWidth="1"/>
  </cols>
  <sheetData>
    <row r="1" spans="1:14" x14ac:dyDescent="0.25">
      <c r="M1" t="s">
        <v>416</v>
      </c>
    </row>
    <row r="2" spans="1:14" x14ac:dyDescent="0.25">
      <c r="C2" t="s">
        <v>411</v>
      </c>
      <c r="D2" t="s">
        <v>412</v>
      </c>
      <c r="E2" t="s">
        <v>413</v>
      </c>
      <c r="F2" t="s">
        <v>425</v>
      </c>
      <c r="G2" t="s">
        <v>426</v>
      </c>
      <c r="J2" t="s">
        <v>414</v>
      </c>
      <c r="K2" t="s">
        <v>415</v>
      </c>
      <c r="M2" t="s">
        <v>414</v>
      </c>
      <c r="N2" t="s">
        <v>415</v>
      </c>
    </row>
    <row r="3" spans="1:14" x14ac:dyDescent="0.25">
      <c r="B3" s="1" t="s">
        <v>3</v>
      </c>
      <c r="C3" t="s">
        <v>0</v>
      </c>
      <c r="D3" t="s">
        <v>2</v>
      </c>
      <c r="E3" t="s">
        <v>1</v>
      </c>
      <c r="F3" t="s">
        <v>417</v>
      </c>
      <c r="G3" t="s">
        <v>418</v>
      </c>
    </row>
    <row r="4" spans="1:14" s="3" customFormat="1" ht="90" x14ac:dyDescent="0.25">
      <c r="B4" s="3" t="s">
        <v>9</v>
      </c>
      <c r="C4" s="3" t="s">
        <v>13</v>
      </c>
      <c r="D4" s="3" t="s">
        <v>18</v>
      </c>
      <c r="E4" s="3" t="s">
        <v>15</v>
      </c>
      <c r="F4" s="3" t="s">
        <v>422</v>
      </c>
      <c r="G4" s="3" t="s">
        <v>424</v>
      </c>
    </row>
    <row r="5" spans="1:14" x14ac:dyDescent="0.25">
      <c r="B5" t="s">
        <v>8</v>
      </c>
      <c r="C5" t="s">
        <v>12</v>
      </c>
      <c r="D5" t="s">
        <v>17</v>
      </c>
      <c r="E5" t="s">
        <v>14</v>
      </c>
      <c r="F5" t="s">
        <v>421</v>
      </c>
      <c r="G5" t="s">
        <v>423</v>
      </c>
    </row>
    <row r="6" spans="1:14" x14ac:dyDescent="0.25">
      <c r="B6" t="s">
        <v>7</v>
      </c>
      <c r="C6" t="s">
        <v>428</v>
      </c>
      <c r="D6" t="s">
        <v>428</v>
      </c>
      <c r="E6" t="s">
        <v>428</v>
      </c>
      <c r="F6" t="s">
        <v>11</v>
      </c>
      <c r="G6" t="s">
        <v>11</v>
      </c>
    </row>
    <row r="7" spans="1:14" x14ac:dyDescent="0.25">
      <c r="B7" t="s">
        <v>6</v>
      </c>
      <c r="C7" t="s">
        <v>10</v>
      </c>
      <c r="D7" t="s">
        <v>16</v>
      </c>
      <c r="E7" t="s">
        <v>10</v>
      </c>
      <c r="F7" t="s">
        <v>420</v>
      </c>
      <c r="G7" t="s">
        <v>420</v>
      </c>
    </row>
    <row r="8" spans="1:14" x14ac:dyDescent="0.25">
      <c r="B8" t="s">
        <v>5</v>
      </c>
      <c r="C8" t="s">
        <v>427</v>
      </c>
      <c r="D8" t="s">
        <v>429</v>
      </c>
      <c r="E8" t="s">
        <v>427</v>
      </c>
      <c r="F8" t="s">
        <v>419</v>
      </c>
      <c r="G8" t="s">
        <v>419</v>
      </c>
    </row>
    <row r="9" spans="1:14" x14ac:dyDescent="0.25">
      <c r="A9" s="4">
        <v>45292</v>
      </c>
      <c r="B9" t="s">
        <v>4</v>
      </c>
      <c r="C9" s="2" t="e">
        <v>#N/A</v>
      </c>
      <c r="D9" s="2" t="e">
        <v>#N/A</v>
      </c>
      <c r="E9" s="2">
        <v>2.02</v>
      </c>
      <c r="F9" s="6" t="e">
        <v>#N/A</v>
      </c>
      <c r="G9" s="6" t="e">
        <v>#N/A</v>
      </c>
      <c r="J9" s="2" t="e">
        <f t="shared" ref="J9:J72" si="0">C9-D9</f>
        <v>#N/A</v>
      </c>
      <c r="K9" s="2" t="e">
        <f t="shared" ref="K9:K72" si="1">C9-E9</f>
        <v>#N/A</v>
      </c>
    </row>
    <row r="10" spans="1:14" x14ac:dyDescent="0.25">
      <c r="A10" s="4">
        <v>45293</v>
      </c>
      <c r="B10" t="s">
        <v>19</v>
      </c>
      <c r="C10" s="2">
        <v>3.65</v>
      </c>
      <c r="D10" s="2">
        <v>3.95</v>
      </c>
      <c r="E10" s="2">
        <v>2.0699999999999998</v>
      </c>
      <c r="F10" s="6">
        <v>1.2625</v>
      </c>
      <c r="G10" s="6">
        <v>1.1536</v>
      </c>
      <c r="J10" s="2">
        <f t="shared" si="0"/>
        <v>-0.30000000000000027</v>
      </c>
      <c r="K10" s="2">
        <f t="shared" si="1"/>
        <v>1.58</v>
      </c>
    </row>
    <row r="11" spans="1:14" x14ac:dyDescent="0.25">
      <c r="A11" s="4">
        <v>45294</v>
      </c>
      <c r="B11" t="s">
        <v>20</v>
      </c>
      <c r="C11" s="2">
        <v>3.61</v>
      </c>
      <c r="D11" s="2">
        <v>3.91</v>
      </c>
      <c r="E11" s="2">
        <v>2</v>
      </c>
      <c r="F11" s="6">
        <v>1.2627999999999999</v>
      </c>
      <c r="G11" s="6">
        <v>1.1579999999999999</v>
      </c>
      <c r="J11" s="2">
        <f t="shared" si="0"/>
        <v>-0.30000000000000027</v>
      </c>
      <c r="K11" s="2">
        <f t="shared" si="1"/>
        <v>1.6099999999999999</v>
      </c>
    </row>
    <row r="12" spans="1:14" x14ac:dyDescent="0.25">
      <c r="A12" s="4">
        <v>45295</v>
      </c>
      <c r="B12" t="s">
        <v>21</v>
      </c>
      <c r="C12" s="2">
        <v>3.74</v>
      </c>
      <c r="D12" s="2">
        <v>3.99</v>
      </c>
      <c r="E12" s="2">
        <v>2.13</v>
      </c>
      <c r="F12" s="6">
        <v>1.2699</v>
      </c>
      <c r="G12" s="6">
        <v>1.1591</v>
      </c>
      <c r="J12" s="2">
        <f t="shared" si="0"/>
        <v>-0.25</v>
      </c>
      <c r="K12" s="2">
        <f t="shared" si="1"/>
        <v>1.6100000000000003</v>
      </c>
    </row>
    <row r="13" spans="1:14" x14ac:dyDescent="0.25">
      <c r="A13" s="4">
        <v>45296</v>
      </c>
      <c r="B13" t="s">
        <v>22</v>
      </c>
      <c r="C13" s="2">
        <v>3.81</v>
      </c>
      <c r="D13" s="2">
        <v>4.05</v>
      </c>
      <c r="E13" s="2">
        <v>2.1800000000000002</v>
      </c>
      <c r="F13" s="6">
        <v>1.2751999999999999</v>
      </c>
      <c r="G13" s="6">
        <v>1.1615</v>
      </c>
      <c r="J13" s="2">
        <f t="shared" si="0"/>
        <v>-0.23999999999999977</v>
      </c>
      <c r="K13" s="2">
        <f t="shared" si="1"/>
        <v>1.63</v>
      </c>
    </row>
    <row r="14" spans="1:14" x14ac:dyDescent="0.25">
      <c r="A14" s="4">
        <f>+A9+7</f>
        <v>45299</v>
      </c>
      <c r="B14" t="s">
        <v>23</v>
      </c>
      <c r="C14" s="2">
        <v>3.77</v>
      </c>
      <c r="D14" s="2">
        <v>4.01</v>
      </c>
      <c r="E14" s="2">
        <v>2.14</v>
      </c>
      <c r="F14" s="6">
        <v>1.2749999999999999</v>
      </c>
      <c r="G14" s="6">
        <v>1.1623000000000001</v>
      </c>
      <c r="J14" s="2">
        <f t="shared" si="0"/>
        <v>-0.23999999999999977</v>
      </c>
      <c r="K14" s="2">
        <f t="shared" si="1"/>
        <v>1.63</v>
      </c>
    </row>
    <row r="15" spans="1:14" x14ac:dyDescent="0.25">
      <c r="A15" s="4">
        <f t="shared" ref="A15:A78" si="2">+A10+7</f>
        <v>45300</v>
      </c>
      <c r="B15" t="s">
        <v>24</v>
      </c>
      <c r="C15" s="2">
        <v>3.79</v>
      </c>
      <c r="D15" s="2">
        <v>4.0199999999999996</v>
      </c>
      <c r="E15" s="2">
        <v>2.19</v>
      </c>
      <c r="F15" s="6">
        <v>1.2704</v>
      </c>
      <c r="G15" s="6">
        <v>1.1636</v>
      </c>
      <c r="J15" s="2">
        <f t="shared" si="0"/>
        <v>-0.22999999999999954</v>
      </c>
      <c r="K15" s="2">
        <f t="shared" si="1"/>
        <v>1.6</v>
      </c>
    </row>
    <row r="16" spans="1:14" x14ac:dyDescent="0.25">
      <c r="A16" s="4">
        <f t="shared" si="2"/>
        <v>45301</v>
      </c>
      <c r="B16" t="s">
        <v>25</v>
      </c>
      <c r="C16" s="2">
        <v>3.82</v>
      </c>
      <c r="D16" s="2">
        <v>4.04</v>
      </c>
      <c r="E16" s="2">
        <v>2.23</v>
      </c>
      <c r="F16" s="6">
        <v>1.2736000000000001</v>
      </c>
      <c r="G16" s="6">
        <v>1.1612</v>
      </c>
      <c r="J16" s="2">
        <f t="shared" si="0"/>
        <v>-0.2200000000000002</v>
      </c>
      <c r="K16" s="2">
        <f t="shared" si="1"/>
        <v>1.5899999999999999</v>
      </c>
    </row>
    <row r="17" spans="1:11" x14ac:dyDescent="0.25">
      <c r="A17" s="4">
        <f t="shared" si="2"/>
        <v>45302</v>
      </c>
      <c r="B17" t="s">
        <v>26</v>
      </c>
      <c r="C17" s="2">
        <v>3.85</v>
      </c>
      <c r="D17" s="2">
        <v>3.98</v>
      </c>
      <c r="E17" s="2">
        <v>2.19</v>
      </c>
      <c r="F17" s="6">
        <v>1.2714000000000001</v>
      </c>
      <c r="G17" s="6">
        <v>1.1615</v>
      </c>
      <c r="J17" s="2">
        <f t="shared" si="0"/>
        <v>-0.12999999999999989</v>
      </c>
      <c r="K17" s="2">
        <f t="shared" si="1"/>
        <v>1.6600000000000001</v>
      </c>
    </row>
    <row r="18" spans="1:11" x14ac:dyDescent="0.25">
      <c r="A18" s="4">
        <f t="shared" si="2"/>
        <v>45303</v>
      </c>
      <c r="B18" t="s">
        <v>27</v>
      </c>
      <c r="C18" s="2">
        <v>3.8</v>
      </c>
      <c r="D18" s="2">
        <v>3.96</v>
      </c>
      <c r="E18" s="2">
        <v>2.16</v>
      </c>
      <c r="F18" s="6">
        <v>1.2761</v>
      </c>
      <c r="G18" s="6">
        <v>1.1637</v>
      </c>
      <c r="J18" s="2">
        <f t="shared" si="0"/>
        <v>-0.16000000000000014</v>
      </c>
      <c r="K18" s="2">
        <f t="shared" si="1"/>
        <v>1.6399999999999997</v>
      </c>
    </row>
    <row r="19" spans="1:11" x14ac:dyDescent="0.25">
      <c r="A19" s="4">
        <f t="shared" si="2"/>
        <v>45306</v>
      </c>
      <c r="B19" t="s">
        <v>28</v>
      </c>
      <c r="C19" s="2">
        <v>3.8</v>
      </c>
      <c r="D19" s="2" t="e">
        <v>#N/A</v>
      </c>
      <c r="E19" s="2">
        <v>2.2000000000000002</v>
      </c>
      <c r="F19" s="6">
        <v>1.2730999999999999</v>
      </c>
      <c r="G19" s="6">
        <v>1.1626000000000001</v>
      </c>
      <c r="J19" s="2" t="e">
        <f t="shared" si="0"/>
        <v>#N/A</v>
      </c>
      <c r="K19" s="2">
        <f t="shared" si="1"/>
        <v>1.5999999999999996</v>
      </c>
    </row>
    <row r="20" spans="1:11" x14ac:dyDescent="0.25">
      <c r="A20" s="4">
        <f t="shared" si="2"/>
        <v>45307</v>
      </c>
      <c r="B20" t="s">
        <v>29</v>
      </c>
      <c r="C20" s="2">
        <v>3.83</v>
      </c>
      <c r="D20" s="2">
        <v>4.07</v>
      </c>
      <c r="E20" s="2">
        <v>2.25</v>
      </c>
      <c r="F20" s="6">
        <v>1.2665</v>
      </c>
      <c r="G20" s="6">
        <v>1.1635</v>
      </c>
      <c r="J20" s="2">
        <f t="shared" si="0"/>
        <v>-0.24000000000000021</v>
      </c>
      <c r="K20" s="2">
        <f t="shared" si="1"/>
        <v>1.58</v>
      </c>
    </row>
    <row r="21" spans="1:11" x14ac:dyDescent="0.25">
      <c r="A21" s="4">
        <f t="shared" si="2"/>
        <v>45308</v>
      </c>
      <c r="B21" t="s">
        <v>30</v>
      </c>
      <c r="C21" s="2">
        <v>3.98</v>
      </c>
      <c r="D21" s="2">
        <v>4.0999999999999996</v>
      </c>
      <c r="E21" s="2">
        <v>2.2799999999999998</v>
      </c>
      <c r="F21" s="6">
        <v>1.2658</v>
      </c>
      <c r="G21" s="6">
        <v>1.1667000000000001</v>
      </c>
      <c r="J21" s="2">
        <f t="shared" si="0"/>
        <v>-0.11999999999999966</v>
      </c>
      <c r="K21" s="2">
        <f t="shared" si="1"/>
        <v>1.7000000000000002</v>
      </c>
    </row>
    <row r="22" spans="1:11" x14ac:dyDescent="0.25">
      <c r="A22" s="4">
        <f t="shared" si="2"/>
        <v>45309</v>
      </c>
      <c r="B22" t="s">
        <v>31</v>
      </c>
      <c r="C22" s="2">
        <v>3.94</v>
      </c>
      <c r="D22" s="2">
        <v>4.1399999999999997</v>
      </c>
      <c r="E22" s="2">
        <v>2.3199999999999998</v>
      </c>
      <c r="F22" s="6">
        <v>1.2672000000000001</v>
      </c>
      <c r="G22" s="6">
        <v>1.1677</v>
      </c>
      <c r="J22" s="2">
        <f t="shared" si="0"/>
        <v>-0.19999999999999973</v>
      </c>
      <c r="K22" s="2">
        <f t="shared" si="1"/>
        <v>1.62</v>
      </c>
    </row>
    <row r="23" spans="1:11" x14ac:dyDescent="0.25">
      <c r="A23" s="4">
        <f t="shared" si="2"/>
        <v>45310</v>
      </c>
      <c r="B23" t="s">
        <v>32</v>
      </c>
      <c r="C23" s="2">
        <v>3.92</v>
      </c>
      <c r="D23" s="2">
        <v>4.1500000000000004</v>
      </c>
      <c r="E23" s="2">
        <v>2.2999999999999998</v>
      </c>
      <c r="F23" s="6">
        <v>1.268</v>
      </c>
      <c r="G23" s="6">
        <v>1.1652</v>
      </c>
      <c r="J23" s="2">
        <f t="shared" si="0"/>
        <v>-0.23000000000000043</v>
      </c>
      <c r="K23" s="2">
        <f t="shared" si="1"/>
        <v>1.62</v>
      </c>
    </row>
    <row r="24" spans="1:11" x14ac:dyDescent="0.25">
      <c r="A24" s="4">
        <f t="shared" si="2"/>
        <v>45313</v>
      </c>
      <c r="B24" t="s">
        <v>33</v>
      </c>
      <c r="C24" s="2">
        <v>3.91</v>
      </c>
      <c r="D24" s="2">
        <v>4.1100000000000003</v>
      </c>
      <c r="E24" s="2">
        <v>2.2599999999999998</v>
      </c>
      <c r="F24" s="6">
        <v>1.2721</v>
      </c>
      <c r="G24" s="6">
        <v>1.1687000000000001</v>
      </c>
      <c r="J24" s="2">
        <f t="shared" si="0"/>
        <v>-0.20000000000000018</v>
      </c>
      <c r="K24" s="2">
        <f t="shared" si="1"/>
        <v>1.6500000000000004</v>
      </c>
    </row>
    <row r="25" spans="1:11" x14ac:dyDescent="0.25">
      <c r="A25" s="4">
        <f t="shared" si="2"/>
        <v>45314</v>
      </c>
      <c r="B25" t="s">
        <v>34</v>
      </c>
      <c r="C25" s="2">
        <v>4</v>
      </c>
      <c r="D25" s="2">
        <v>4.1399999999999997</v>
      </c>
      <c r="E25" s="2">
        <v>2.35</v>
      </c>
      <c r="F25" s="6">
        <v>1.2665999999999999</v>
      </c>
      <c r="G25" s="6">
        <v>1.1694</v>
      </c>
      <c r="J25" s="2">
        <f t="shared" si="0"/>
        <v>-0.13999999999999968</v>
      </c>
      <c r="K25" s="2">
        <f t="shared" si="1"/>
        <v>1.65</v>
      </c>
    </row>
    <row r="26" spans="1:11" x14ac:dyDescent="0.25">
      <c r="A26" s="4">
        <f t="shared" si="2"/>
        <v>45315</v>
      </c>
      <c r="B26" t="s">
        <v>35</v>
      </c>
      <c r="C26" s="2">
        <v>4</v>
      </c>
      <c r="D26" s="2">
        <v>4.18</v>
      </c>
      <c r="E26" s="2">
        <v>2.35</v>
      </c>
      <c r="F26" s="6">
        <v>1.2753000000000001</v>
      </c>
      <c r="G26" s="6">
        <v>1.1698999999999999</v>
      </c>
      <c r="J26" s="2">
        <f t="shared" si="0"/>
        <v>-0.17999999999999972</v>
      </c>
      <c r="K26" s="2">
        <f t="shared" si="1"/>
        <v>1.65</v>
      </c>
    </row>
    <row r="27" spans="1:11" x14ac:dyDescent="0.25">
      <c r="A27" s="4">
        <f t="shared" si="2"/>
        <v>45316</v>
      </c>
      <c r="B27" t="s">
        <v>36</v>
      </c>
      <c r="C27" s="2">
        <v>3.99</v>
      </c>
      <c r="D27" s="2">
        <v>4.1399999999999997</v>
      </c>
      <c r="E27" s="2">
        <v>2.29</v>
      </c>
      <c r="F27" s="6">
        <v>1.27</v>
      </c>
      <c r="G27" s="6">
        <v>1.1725000000000001</v>
      </c>
      <c r="J27" s="2">
        <f t="shared" si="0"/>
        <v>-0.14999999999999947</v>
      </c>
      <c r="K27" s="2">
        <f t="shared" si="1"/>
        <v>1.7000000000000002</v>
      </c>
    </row>
    <row r="28" spans="1:11" x14ac:dyDescent="0.25">
      <c r="A28" s="4">
        <f t="shared" si="2"/>
        <v>45317</v>
      </c>
      <c r="B28" t="s">
        <v>37</v>
      </c>
      <c r="C28" s="2">
        <v>3.97</v>
      </c>
      <c r="D28" s="2">
        <v>4.1500000000000004</v>
      </c>
      <c r="E28" s="2">
        <v>2.2999999999999998</v>
      </c>
      <c r="F28" s="6">
        <v>1.2723</v>
      </c>
      <c r="G28" s="6">
        <v>1.1711</v>
      </c>
      <c r="J28" s="2">
        <f t="shared" si="0"/>
        <v>-0.18000000000000016</v>
      </c>
      <c r="K28" s="2">
        <f t="shared" si="1"/>
        <v>1.6700000000000004</v>
      </c>
    </row>
    <row r="29" spans="1:11" x14ac:dyDescent="0.25">
      <c r="A29" s="4">
        <f t="shared" si="2"/>
        <v>45320</v>
      </c>
      <c r="B29" t="s">
        <v>38</v>
      </c>
      <c r="C29" s="2">
        <v>3.88</v>
      </c>
      <c r="D29" s="2">
        <v>4.08</v>
      </c>
      <c r="E29" s="2">
        <v>2.23</v>
      </c>
      <c r="F29" s="6">
        <v>1.2678</v>
      </c>
      <c r="G29" s="6">
        <v>1.1741999999999999</v>
      </c>
      <c r="J29" s="2">
        <f t="shared" si="0"/>
        <v>-0.20000000000000018</v>
      </c>
      <c r="K29" s="2">
        <f t="shared" si="1"/>
        <v>1.65</v>
      </c>
    </row>
    <row r="30" spans="1:11" x14ac:dyDescent="0.25">
      <c r="A30" s="4">
        <f t="shared" si="2"/>
        <v>45321</v>
      </c>
      <c r="B30" t="s">
        <v>39</v>
      </c>
      <c r="C30" s="2">
        <v>3.9</v>
      </c>
      <c r="D30" s="2">
        <v>4.0599999999999996</v>
      </c>
      <c r="E30" s="2">
        <v>2.27</v>
      </c>
      <c r="F30" s="6">
        <v>1.2665999999999999</v>
      </c>
      <c r="G30" s="6">
        <v>1.1688000000000001</v>
      </c>
      <c r="J30" s="2">
        <f t="shared" si="0"/>
        <v>-0.1599999999999997</v>
      </c>
      <c r="K30" s="2">
        <f t="shared" si="1"/>
        <v>1.63</v>
      </c>
    </row>
    <row r="31" spans="1:11" x14ac:dyDescent="0.25">
      <c r="A31" s="4">
        <f t="shared" si="2"/>
        <v>45322</v>
      </c>
      <c r="B31" t="s">
        <v>40</v>
      </c>
      <c r="C31" s="2">
        <v>3.79</v>
      </c>
      <c r="D31" s="2">
        <v>3.99</v>
      </c>
      <c r="E31" s="2">
        <v>2.17</v>
      </c>
      <c r="F31" s="6">
        <v>1.2733000000000001</v>
      </c>
      <c r="G31" s="6">
        <v>1.1722999999999999</v>
      </c>
      <c r="J31" s="2">
        <f t="shared" si="0"/>
        <v>-0.20000000000000018</v>
      </c>
      <c r="K31" s="2">
        <f t="shared" si="1"/>
        <v>1.62</v>
      </c>
    </row>
    <row r="32" spans="1:11" x14ac:dyDescent="0.25">
      <c r="A32" s="4">
        <f t="shared" si="2"/>
        <v>45323</v>
      </c>
      <c r="B32" t="s">
        <v>41</v>
      </c>
      <c r="C32" s="2">
        <v>3.76</v>
      </c>
      <c r="D32" s="2">
        <v>3.87</v>
      </c>
      <c r="E32" s="2">
        <v>2.16</v>
      </c>
      <c r="F32" s="6">
        <v>1.2682</v>
      </c>
      <c r="G32" s="6">
        <v>1.1714</v>
      </c>
      <c r="J32" s="2">
        <f t="shared" si="0"/>
        <v>-0.11000000000000032</v>
      </c>
      <c r="K32" s="2">
        <f t="shared" si="1"/>
        <v>1.5999999999999996</v>
      </c>
    </row>
    <row r="33" spans="1:11" x14ac:dyDescent="0.25">
      <c r="A33" s="4">
        <f t="shared" si="2"/>
        <v>45324</v>
      </c>
      <c r="B33" t="s">
        <v>42</v>
      </c>
      <c r="C33" s="2">
        <v>3.92</v>
      </c>
      <c r="D33" s="2">
        <v>4.03</v>
      </c>
      <c r="E33" s="2">
        <v>2.23</v>
      </c>
      <c r="F33" s="6">
        <v>1.2657</v>
      </c>
      <c r="G33" s="6">
        <v>1.1717</v>
      </c>
      <c r="J33" s="2">
        <f t="shared" si="0"/>
        <v>-0.11000000000000032</v>
      </c>
      <c r="K33" s="2">
        <f t="shared" si="1"/>
        <v>1.69</v>
      </c>
    </row>
    <row r="34" spans="1:11" x14ac:dyDescent="0.25">
      <c r="A34" s="4">
        <f t="shared" si="2"/>
        <v>45327</v>
      </c>
      <c r="B34" t="s">
        <v>43</v>
      </c>
      <c r="C34" s="2">
        <v>4</v>
      </c>
      <c r="D34" s="2">
        <v>4.17</v>
      </c>
      <c r="E34" s="2">
        <v>2.3199999999999998</v>
      </c>
      <c r="F34" s="6">
        <v>1.2521</v>
      </c>
      <c r="G34" s="6">
        <v>1.1675</v>
      </c>
      <c r="J34" s="2">
        <f t="shared" si="0"/>
        <v>-0.16999999999999993</v>
      </c>
      <c r="K34" s="2">
        <f t="shared" si="1"/>
        <v>1.6800000000000002</v>
      </c>
    </row>
    <row r="35" spans="1:11" x14ac:dyDescent="0.25">
      <c r="A35" s="4">
        <f t="shared" si="2"/>
        <v>45328</v>
      </c>
      <c r="B35" t="s">
        <v>44</v>
      </c>
      <c r="C35" s="2">
        <v>3.94</v>
      </c>
      <c r="D35" s="2">
        <v>4.09</v>
      </c>
      <c r="E35" s="2">
        <v>2.2799999999999998</v>
      </c>
      <c r="F35" s="6">
        <v>1.2577</v>
      </c>
      <c r="G35" s="6">
        <v>1.1707000000000001</v>
      </c>
      <c r="J35" s="2">
        <f t="shared" si="0"/>
        <v>-0.14999999999999991</v>
      </c>
      <c r="K35" s="2">
        <f t="shared" si="1"/>
        <v>1.6600000000000001</v>
      </c>
    </row>
    <row r="36" spans="1:11" x14ac:dyDescent="0.25">
      <c r="A36" s="4">
        <f t="shared" si="2"/>
        <v>45329</v>
      </c>
      <c r="B36" t="s">
        <v>45</v>
      </c>
      <c r="C36" s="2">
        <v>4</v>
      </c>
      <c r="D36" s="2">
        <v>4.09</v>
      </c>
      <c r="E36" s="2">
        <v>2.3199999999999998</v>
      </c>
      <c r="F36" s="6">
        <v>1.2632000000000001</v>
      </c>
      <c r="G36" s="6">
        <v>1.1742999999999999</v>
      </c>
      <c r="J36" s="2">
        <f t="shared" si="0"/>
        <v>-8.9999999999999858E-2</v>
      </c>
      <c r="K36" s="2">
        <f t="shared" si="1"/>
        <v>1.6800000000000002</v>
      </c>
    </row>
    <row r="37" spans="1:11" x14ac:dyDescent="0.25">
      <c r="A37" s="4">
        <f t="shared" si="2"/>
        <v>45330</v>
      </c>
      <c r="B37" t="s">
        <v>46</v>
      </c>
      <c r="C37" s="2">
        <v>4.0599999999999996</v>
      </c>
      <c r="D37" s="2">
        <v>4.1500000000000004</v>
      </c>
      <c r="E37" s="2">
        <v>2.36</v>
      </c>
      <c r="F37" s="6">
        <v>1.2605</v>
      </c>
      <c r="G37" s="6">
        <v>1.1713</v>
      </c>
      <c r="J37" s="2">
        <f t="shared" si="0"/>
        <v>-9.0000000000000746E-2</v>
      </c>
      <c r="K37" s="2">
        <f t="shared" si="1"/>
        <v>1.6999999999999997</v>
      </c>
    </row>
    <row r="38" spans="1:11" x14ac:dyDescent="0.25">
      <c r="A38" s="4">
        <f t="shared" si="2"/>
        <v>45331</v>
      </c>
      <c r="B38" t="s">
        <v>47</v>
      </c>
      <c r="C38" s="2">
        <v>4.0599999999999996</v>
      </c>
      <c r="D38" s="2">
        <v>4.17</v>
      </c>
      <c r="E38" s="2">
        <v>2.38</v>
      </c>
      <c r="F38" s="6">
        <v>1.2632000000000001</v>
      </c>
      <c r="G38" s="6">
        <v>1.1712</v>
      </c>
      <c r="J38" s="2">
        <f t="shared" si="0"/>
        <v>-0.11000000000000032</v>
      </c>
      <c r="K38" s="2">
        <f t="shared" si="1"/>
        <v>1.6799999999999997</v>
      </c>
    </row>
    <row r="39" spans="1:11" x14ac:dyDescent="0.25">
      <c r="A39" s="4">
        <f t="shared" si="2"/>
        <v>45334</v>
      </c>
      <c r="B39" t="s">
        <v>48</v>
      </c>
      <c r="C39" s="2">
        <v>4.0599999999999996</v>
      </c>
      <c r="D39" s="2">
        <v>4.17</v>
      </c>
      <c r="E39" s="2">
        <v>2.36</v>
      </c>
      <c r="F39" s="6">
        <v>1.2615000000000001</v>
      </c>
      <c r="G39" s="6">
        <v>1.1717</v>
      </c>
      <c r="J39" s="2">
        <f t="shared" si="0"/>
        <v>-0.11000000000000032</v>
      </c>
      <c r="K39" s="2">
        <f t="shared" si="1"/>
        <v>1.6999999999999997</v>
      </c>
    </row>
    <row r="40" spans="1:11" x14ac:dyDescent="0.25">
      <c r="A40" s="4">
        <f t="shared" si="2"/>
        <v>45335</v>
      </c>
      <c r="B40" t="s">
        <v>49</v>
      </c>
      <c r="C40" s="2">
        <v>4.16</v>
      </c>
      <c r="D40" s="2">
        <v>4.3099999999999996</v>
      </c>
      <c r="E40" s="2">
        <v>2.4</v>
      </c>
      <c r="F40" s="6">
        <v>1.2601</v>
      </c>
      <c r="G40" s="6">
        <v>1.1758</v>
      </c>
      <c r="J40" s="2">
        <f t="shared" si="0"/>
        <v>-0.14999999999999947</v>
      </c>
      <c r="K40" s="2">
        <f t="shared" si="1"/>
        <v>1.7600000000000002</v>
      </c>
    </row>
    <row r="41" spans="1:11" x14ac:dyDescent="0.25">
      <c r="A41" s="4">
        <f t="shared" si="2"/>
        <v>45336</v>
      </c>
      <c r="B41" t="s">
        <v>50</v>
      </c>
      <c r="C41" s="2">
        <v>4.03</v>
      </c>
      <c r="D41" s="2">
        <v>4.2699999999999996</v>
      </c>
      <c r="E41" s="2">
        <v>2.3199999999999998</v>
      </c>
      <c r="F41" s="6">
        <v>1.2548999999999999</v>
      </c>
      <c r="G41" s="6">
        <v>1.1705000000000001</v>
      </c>
      <c r="J41" s="2">
        <f t="shared" si="0"/>
        <v>-0.23999999999999932</v>
      </c>
      <c r="K41" s="2">
        <f t="shared" si="1"/>
        <v>1.7100000000000004</v>
      </c>
    </row>
    <row r="42" spans="1:11" x14ac:dyDescent="0.25">
      <c r="A42" s="4">
        <f t="shared" si="2"/>
        <v>45337</v>
      </c>
      <c r="B42" t="s">
        <v>51</v>
      </c>
      <c r="C42" s="2">
        <v>4.05</v>
      </c>
      <c r="D42" s="2">
        <v>4.24</v>
      </c>
      <c r="E42" s="2">
        <v>2.35</v>
      </c>
      <c r="F42" s="6">
        <v>1.2585</v>
      </c>
      <c r="G42" s="6">
        <v>1.1694</v>
      </c>
      <c r="J42" s="2">
        <f t="shared" si="0"/>
        <v>-0.19000000000000039</v>
      </c>
      <c r="K42" s="2">
        <f t="shared" si="1"/>
        <v>1.6999999999999997</v>
      </c>
    </row>
    <row r="43" spans="1:11" x14ac:dyDescent="0.25">
      <c r="A43" s="4">
        <f t="shared" si="2"/>
        <v>45338</v>
      </c>
      <c r="B43" t="s">
        <v>52</v>
      </c>
      <c r="C43" s="2">
        <v>4.1100000000000003</v>
      </c>
      <c r="D43" s="2">
        <v>4.3</v>
      </c>
      <c r="E43" s="2">
        <v>2.4</v>
      </c>
      <c r="F43" s="6">
        <v>1.2584</v>
      </c>
      <c r="G43" s="6">
        <v>1.1682999999999999</v>
      </c>
      <c r="J43" s="2">
        <f t="shared" si="0"/>
        <v>-0.1899999999999995</v>
      </c>
      <c r="K43" s="2">
        <f t="shared" si="1"/>
        <v>1.7100000000000004</v>
      </c>
    </row>
    <row r="44" spans="1:11" x14ac:dyDescent="0.25">
      <c r="A44" s="4">
        <f t="shared" si="2"/>
        <v>45341</v>
      </c>
      <c r="B44" t="s">
        <v>53</v>
      </c>
      <c r="C44" s="2">
        <v>4.12</v>
      </c>
      <c r="D44" s="2" t="e">
        <v>#N/A</v>
      </c>
      <c r="E44" s="2">
        <v>2.42</v>
      </c>
      <c r="F44" s="6">
        <v>1.2586999999999999</v>
      </c>
      <c r="G44" s="6">
        <v>1.1689000000000001</v>
      </c>
      <c r="J44" s="2" t="e">
        <f t="shared" si="0"/>
        <v>#N/A</v>
      </c>
      <c r="K44" s="2">
        <f t="shared" si="1"/>
        <v>1.7000000000000002</v>
      </c>
    </row>
    <row r="45" spans="1:11" x14ac:dyDescent="0.25">
      <c r="A45" s="4">
        <f t="shared" si="2"/>
        <v>45342</v>
      </c>
      <c r="B45" t="s">
        <v>54</v>
      </c>
      <c r="C45" s="2">
        <v>4.05</v>
      </c>
      <c r="D45" s="2">
        <v>4.2699999999999996</v>
      </c>
      <c r="E45" s="2">
        <v>2.38</v>
      </c>
      <c r="F45" s="6">
        <v>1.2662</v>
      </c>
      <c r="G45" s="6">
        <v>1.17</v>
      </c>
      <c r="J45" s="2">
        <f t="shared" si="0"/>
        <v>-0.21999999999999975</v>
      </c>
      <c r="K45" s="2">
        <f t="shared" si="1"/>
        <v>1.67</v>
      </c>
    </row>
    <row r="46" spans="1:11" x14ac:dyDescent="0.25">
      <c r="A46" s="4">
        <f t="shared" si="2"/>
        <v>45343</v>
      </c>
      <c r="B46" t="s">
        <v>55</v>
      </c>
      <c r="C46" s="2">
        <v>4.0999999999999996</v>
      </c>
      <c r="D46" s="2">
        <v>4.32</v>
      </c>
      <c r="E46" s="2">
        <v>2.4500000000000002</v>
      </c>
      <c r="F46" s="6">
        <v>1.2612000000000001</v>
      </c>
      <c r="G46" s="6">
        <v>1.1672</v>
      </c>
      <c r="J46" s="2">
        <f t="shared" si="0"/>
        <v>-0.22000000000000064</v>
      </c>
      <c r="K46" s="2">
        <f t="shared" si="1"/>
        <v>1.6499999999999995</v>
      </c>
    </row>
    <row r="47" spans="1:11" x14ac:dyDescent="0.25">
      <c r="A47" s="4">
        <f t="shared" si="2"/>
        <v>45344</v>
      </c>
      <c r="B47" t="s">
        <v>56</v>
      </c>
      <c r="C47" s="2">
        <v>4.1100000000000003</v>
      </c>
      <c r="D47" s="2">
        <v>4.33</v>
      </c>
      <c r="E47" s="2">
        <v>2.44</v>
      </c>
      <c r="F47" s="6">
        <v>1.2621</v>
      </c>
      <c r="G47" s="6">
        <v>1.1675</v>
      </c>
      <c r="J47" s="2">
        <f t="shared" si="0"/>
        <v>-0.21999999999999975</v>
      </c>
      <c r="K47" s="2">
        <f t="shared" si="1"/>
        <v>1.6700000000000004</v>
      </c>
    </row>
    <row r="48" spans="1:11" x14ac:dyDescent="0.25">
      <c r="A48" s="4">
        <f t="shared" si="2"/>
        <v>45345</v>
      </c>
      <c r="B48" t="s">
        <v>57</v>
      </c>
      <c r="C48" s="2">
        <v>4.1100000000000003</v>
      </c>
      <c r="D48" s="2">
        <v>4.26</v>
      </c>
      <c r="E48" s="2">
        <v>2.37</v>
      </c>
      <c r="F48" s="6">
        <v>1.2677</v>
      </c>
      <c r="G48" s="6">
        <v>1.1715</v>
      </c>
      <c r="J48" s="2">
        <f t="shared" si="0"/>
        <v>-0.14999999999999947</v>
      </c>
      <c r="K48" s="2">
        <f t="shared" si="1"/>
        <v>1.7400000000000002</v>
      </c>
    </row>
    <row r="49" spans="1:11" x14ac:dyDescent="0.25">
      <c r="A49" s="4">
        <f t="shared" si="2"/>
        <v>45348</v>
      </c>
      <c r="B49" t="s">
        <v>58</v>
      </c>
      <c r="C49" s="2">
        <v>4.1500000000000004</v>
      </c>
      <c r="D49" s="2">
        <v>4.28</v>
      </c>
      <c r="E49" s="2">
        <v>2.4300000000000002</v>
      </c>
      <c r="F49" s="6">
        <v>1.2684</v>
      </c>
      <c r="G49" s="6">
        <v>1.1689000000000001</v>
      </c>
      <c r="J49" s="2">
        <f t="shared" si="0"/>
        <v>-0.12999999999999989</v>
      </c>
      <c r="K49" s="2">
        <f t="shared" si="1"/>
        <v>1.7200000000000002</v>
      </c>
    </row>
    <row r="50" spans="1:11" x14ac:dyDescent="0.25">
      <c r="A50" s="4">
        <f t="shared" si="2"/>
        <v>45349</v>
      </c>
      <c r="B50" t="s">
        <v>59</v>
      </c>
      <c r="C50" s="2">
        <v>4.1900000000000004</v>
      </c>
      <c r="D50" s="2">
        <v>4.3099999999999996</v>
      </c>
      <c r="E50" s="2">
        <v>2.4700000000000002</v>
      </c>
      <c r="F50" s="6">
        <v>1.2683</v>
      </c>
      <c r="G50" s="6">
        <v>1.1692</v>
      </c>
      <c r="J50" s="2">
        <f t="shared" si="0"/>
        <v>-0.11999999999999922</v>
      </c>
      <c r="K50" s="2">
        <f t="shared" si="1"/>
        <v>1.7200000000000002</v>
      </c>
    </row>
    <row r="51" spans="1:11" x14ac:dyDescent="0.25">
      <c r="A51" s="4">
        <f t="shared" si="2"/>
        <v>45350</v>
      </c>
      <c r="B51" t="s">
        <v>60</v>
      </c>
      <c r="C51" s="2">
        <v>4.18</v>
      </c>
      <c r="D51" s="2">
        <v>4.2699999999999996</v>
      </c>
      <c r="E51" s="2">
        <v>2.46</v>
      </c>
      <c r="F51" s="6">
        <v>1.2653000000000001</v>
      </c>
      <c r="G51" s="6">
        <v>1.1679999999999999</v>
      </c>
      <c r="J51" s="2">
        <f t="shared" si="0"/>
        <v>-8.9999999999999858E-2</v>
      </c>
      <c r="K51" s="2">
        <f t="shared" si="1"/>
        <v>1.7199999999999998</v>
      </c>
    </row>
    <row r="52" spans="1:11" x14ac:dyDescent="0.25">
      <c r="A52" s="4">
        <f t="shared" si="2"/>
        <v>45351</v>
      </c>
      <c r="B52" t="s">
        <v>61</v>
      </c>
      <c r="C52" s="2">
        <v>4.12</v>
      </c>
      <c r="D52" s="2">
        <v>4.25</v>
      </c>
      <c r="E52" s="2">
        <v>2.42</v>
      </c>
      <c r="F52" s="6">
        <v>1.2649999999999999</v>
      </c>
      <c r="G52" s="6">
        <v>1.1688000000000001</v>
      </c>
      <c r="J52" s="2">
        <f t="shared" si="0"/>
        <v>-0.12999999999999989</v>
      </c>
      <c r="K52" s="2">
        <f t="shared" si="1"/>
        <v>1.7000000000000002</v>
      </c>
    </row>
    <row r="53" spans="1:11" x14ac:dyDescent="0.25">
      <c r="A53" s="4">
        <f t="shared" si="2"/>
        <v>45352</v>
      </c>
      <c r="B53" t="s">
        <v>62</v>
      </c>
      <c r="C53" s="2">
        <v>4.0999999999999996</v>
      </c>
      <c r="D53" s="2">
        <v>4.1900000000000004</v>
      </c>
      <c r="E53" s="2">
        <v>2.41</v>
      </c>
      <c r="F53" s="6">
        <v>1.2652000000000001</v>
      </c>
      <c r="G53" s="6">
        <v>1.1677</v>
      </c>
      <c r="J53" s="2">
        <f t="shared" si="0"/>
        <v>-9.0000000000000746E-2</v>
      </c>
      <c r="K53" s="2">
        <f t="shared" si="1"/>
        <v>1.6899999999999995</v>
      </c>
    </row>
    <row r="54" spans="1:11" x14ac:dyDescent="0.25">
      <c r="A54" s="4">
        <f t="shared" si="2"/>
        <v>45355</v>
      </c>
      <c r="B54" t="s">
        <v>63</v>
      </c>
      <c r="C54" s="2">
        <v>4.13</v>
      </c>
      <c r="D54" s="2">
        <v>4.22</v>
      </c>
      <c r="E54" s="2">
        <v>2.4</v>
      </c>
      <c r="F54" s="6">
        <v>1.2698</v>
      </c>
      <c r="G54" s="6">
        <v>1.1689000000000001</v>
      </c>
      <c r="J54" s="2">
        <f t="shared" si="0"/>
        <v>-8.9999999999999858E-2</v>
      </c>
      <c r="K54" s="2">
        <f t="shared" si="1"/>
        <v>1.73</v>
      </c>
    </row>
    <row r="55" spans="1:11" x14ac:dyDescent="0.25">
      <c r="A55" s="4">
        <f t="shared" si="2"/>
        <v>45356</v>
      </c>
      <c r="B55" t="s">
        <v>64</v>
      </c>
      <c r="C55" s="2">
        <v>4.01</v>
      </c>
      <c r="D55" s="2">
        <v>4.13</v>
      </c>
      <c r="E55" s="2">
        <v>2.3199999999999998</v>
      </c>
      <c r="F55" s="6">
        <v>1.2732000000000001</v>
      </c>
      <c r="G55" s="6">
        <v>1.1712</v>
      </c>
      <c r="J55" s="2">
        <f t="shared" si="0"/>
        <v>-0.12000000000000011</v>
      </c>
      <c r="K55" s="2">
        <f t="shared" si="1"/>
        <v>1.69</v>
      </c>
    </row>
    <row r="56" spans="1:11" x14ac:dyDescent="0.25">
      <c r="A56" s="4">
        <f t="shared" si="2"/>
        <v>45357</v>
      </c>
      <c r="B56" t="s">
        <v>65</v>
      </c>
      <c r="C56" s="2">
        <v>4</v>
      </c>
      <c r="D56" s="2">
        <v>4.1100000000000003</v>
      </c>
      <c r="E56" s="2">
        <v>2.33</v>
      </c>
      <c r="F56" s="6">
        <v>1.2743</v>
      </c>
      <c r="G56" s="6">
        <v>1.1685000000000001</v>
      </c>
      <c r="J56" s="2">
        <f t="shared" si="0"/>
        <v>-0.11000000000000032</v>
      </c>
      <c r="K56" s="2">
        <f t="shared" si="1"/>
        <v>1.67</v>
      </c>
    </row>
    <row r="57" spans="1:11" x14ac:dyDescent="0.25">
      <c r="A57" s="4">
        <f t="shared" si="2"/>
        <v>45358</v>
      </c>
      <c r="B57" t="s">
        <v>66</v>
      </c>
      <c r="C57" s="2">
        <v>4.01</v>
      </c>
      <c r="D57" s="2">
        <v>4.09</v>
      </c>
      <c r="E57" s="2">
        <v>2.2999999999999998</v>
      </c>
      <c r="F57" s="6">
        <v>1.2788999999999999</v>
      </c>
      <c r="G57" s="6">
        <v>1.1700999999999999</v>
      </c>
      <c r="J57" s="2">
        <f t="shared" si="0"/>
        <v>-8.0000000000000071E-2</v>
      </c>
      <c r="K57" s="2">
        <f t="shared" si="1"/>
        <v>1.71</v>
      </c>
    </row>
    <row r="58" spans="1:11" x14ac:dyDescent="0.25">
      <c r="A58" s="4">
        <f t="shared" si="2"/>
        <v>45359</v>
      </c>
      <c r="B58" t="s">
        <v>67</v>
      </c>
      <c r="C58" s="2">
        <v>3.97</v>
      </c>
      <c r="D58" s="2">
        <v>4.09</v>
      </c>
      <c r="E58" s="2">
        <v>2.27</v>
      </c>
      <c r="F58" s="6">
        <v>1.2881</v>
      </c>
      <c r="G58" s="6">
        <v>1.1752</v>
      </c>
      <c r="J58" s="2">
        <f t="shared" si="0"/>
        <v>-0.11999999999999966</v>
      </c>
      <c r="K58" s="2">
        <f t="shared" si="1"/>
        <v>1.7000000000000002</v>
      </c>
    </row>
    <row r="59" spans="1:11" x14ac:dyDescent="0.25">
      <c r="A59" s="4">
        <f t="shared" si="2"/>
        <v>45362</v>
      </c>
      <c r="B59" t="s">
        <v>68</v>
      </c>
      <c r="C59" s="2">
        <v>3.97</v>
      </c>
      <c r="D59" s="2">
        <v>4.0999999999999996</v>
      </c>
      <c r="E59" s="2">
        <v>2.2999999999999998</v>
      </c>
      <c r="F59" s="6">
        <v>1.2805</v>
      </c>
      <c r="G59" s="6">
        <v>1.1718999999999999</v>
      </c>
      <c r="J59" s="2">
        <f t="shared" si="0"/>
        <v>-0.12999999999999945</v>
      </c>
      <c r="K59" s="2">
        <f t="shared" si="1"/>
        <v>1.6700000000000004</v>
      </c>
    </row>
    <row r="60" spans="1:11" x14ac:dyDescent="0.25">
      <c r="A60" s="4">
        <f t="shared" si="2"/>
        <v>45363</v>
      </c>
      <c r="B60" t="s">
        <v>69</v>
      </c>
      <c r="C60" s="2">
        <v>3.94</v>
      </c>
      <c r="D60" s="2">
        <v>4.16</v>
      </c>
      <c r="E60" s="2">
        <v>2.33</v>
      </c>
      <c r="F60" s="6">
        <v>1.2784</v>
      </c>
      <c r="G60" s="6">
        <v>1.171</v>
      </c>
      <c r="J60" s="2">
        <f t="shared" si="0"/>
        <v>-0.2200000000000002</v>
      </c>
      <c r="K60" s="2">
        <f t="shared" si="1"/>
        <v>1.6099999999999999</v>
      </c>
    </row>
    <row r="61" spans="1:11" x14ac:dyDescent="0.25">
      <c r="A61" s="4">
        <f t="shared" si="2"/>
        <v>45364</v>
      </c>
      <c r="B61" t="s">
        <v>70</v>
      </c>
      <c r="C61" s="2">
        <v>4.0199999999999996</v>
      </c>
      <c r="D61" s="2">
        <v>4.1900000000000004</v>
      </c>
      <c r="E61" s="2">
        <v>2.37</v>
      </c>
      <c r="F61" s="6">
        <v>1.2797000000000001</v>
      </c>
      <c r="G61" s="6">
        <v>1.1693</v>
      </c>
      <c r="J61" s="2">
        <f t="shared" si="0"/>
        <v>-0.17000000000000082</v>
      </c>
      <c r="K61" s="2">
        <f t="shared" si="1"/>
        <v>1.6499999999999995</v>
      </c>
    </row>
    <row r="62" spans="1:11" x14ac:dyDescent="0.25">
      <c r="A62" s="4">
        <f t="shared" si="2"/>
        <v>45365</v>
      </c>
      <c r="B62" t="s">
        <v>71</v>
      </c>
      <c r="C62" s="2">
        <v>4.0999999999999996</v>
      </c>
      <c r="D62" s="2">
        <v>4.29</v>
      </c>
      <c r="E62" s="2">
        <v>2.44</v>
      </c>
      <c r="F62" s="6">
        <v>1.2746999999999999</v>
      </c>
      <c r="G62" s="6">
        <v>1.1707000000000001</v>
      </c>
      <c r="J62" s="2">
        <f t="shared" si="0"/>
        <v>-0.19000000000000039</v>
      </c>
      <c r="K62" s="2">
        <f t="shared" si="1"/>
        <v>1.6599999999999997</v>
      </c>
    </row>
    <row r="63" spans="1:11" x14ac:dyDescent="0.25">
      <c r="A63" s="4">
        <f t="shared" si="2"/>
        <v>45366</v>
      </c>
      <c r="B63" t="s">
        <v>72</v>
      </c>
      <c r="C63" s="2">
        <v>4.09</v>
      </c>
      <c r="D63" s="2">
        <v>4.3099999999999996</v>
      </c>
      <c r="E63" s="2">
        <v>2.44</v>
      </c>
      <c r="F63" s="6">
        <v>1.274</v>
      </c>
      <c r="G63" s="6">
        <v>1.1700999999999999</v>
      </c>
      <c r="J63" s="2">
        <f t="shared" si="0"/>
        <v>-0.21999999999999975</v>
      </c>
      <c r="K63" s="2">
        <f t="shared" si="1"/>
        <v>1.65</v>
      </c>
    </row>
    <row r="64" spans="1:11" x14ac:dyDescent="0.25">
      <c r="A64" s="4">
        <f t="shared" si="2"/>
        <v>45369</v>
      </c>
      <c r="B64" t="s">
        <v>73</v>
      </c>
      <c r="C64" s="2">
        <v>4.09</v>
      </c>
      <c r="D64" s="2">
        <v>4.34</v>
      </c>
      <c r="E64" s="2">
        <v>2.46</v>
      </c>
      <c r="F64" s="6">
        <v>1.2733000000000001</v>
      </c>
      <c r="G64" s="6">
        <v>1.1698</v>
      </c>
      <c r="J64" s="2">
        <f t="shared" si="0"/>
        <v>-0.25</v>
      </c>
      <c r="K64" s="2">
        <f t="shared" si="1"/>
        <v>1.63</v>
      </c>
    </row>
    <row r="65" spans="1:11" x14ac:dyDescent="0.25">
      <c r="A65" s="4">
        <f t="shared" si="2"/>
        <v>45370</v>
      </c>
      <c r="B65" t="s">
        <v>74</v>
      </c>
      <c r="C65" s="2">
        <v>4.05</v>
      </c>
      <c r="D65" s="2">
        <v>4.3</v>
      </c>
      <c r="E65" s="2">
        <v>2.4500000000000002</v>
      </c>
      <c r="F65" s="6">
        <v>1.2710999999999999</v>
      </c>
      <c r="G65" s="6">
        <v>1.1706000000000001</v>
      </c>
      <c r="J65" s="2">
        <f t="shared" si="0"/>
        <v>-0.25</v>
      </c>
      <c r="K65" s="2">
        <f t="shared" si="1"/>
        <v>1.5999999999999996</v>
      </c>
    </row>
    <row r="66" spans="1:11" x14ac:dyDescent="0.25">
      <c r="A66" s="4">
        <f t="shared" si="2"/>
        <v>45371</v>
      </c>
      <c r="B66" t="s">
        <v>75</v>
      </c>
      <c r="C66" s="2">
        <v>4.01</v>
      </c>
      <c r="D66" s="2">
        <v>4.2699999999999996</v>
      </c>
      <c r="E66" s="2">
        <v>2.4300000000000002</v>
      </c>
      <c r="F66" s="6">
        <v>1.2710999999999999</v>
      </c>
      <c r="G66" s="6">
        <v>1.171</v>
      </c>
      <c r="J66" s="2">
        <f t="shared" si="0"/>
        <v>-0.25999999999999979</v>
      </c>
      <c r="K66" s="2">
        <f t="shared" si="1"/>
        <v>1.5799999999999996</v>
      </c>
    </row>
    <row r="67" spans="1:11" x14ac:dyDescent="0.25">
      <c r="A67" s="4">
        <f t="shared" si="2"/>
        <v>45372</v>
      </c>
      <c r="B67" t="s">
        <v>76</v>
      </c>
      <c r="C67" s="2">
        <v>3.98</v>
      </c>
      <c r="D67" s="2">
        <v>4.2699999999999996</v>
      </c>
      <c r="E67" s="2">
        <v>2.41</v>
      </c>
      <c r="F67" s="6">
        <v>1.2667999999999999</v>
      </c>
      <c r="G67" s="6">
        <v>1.1664000000000001</v>
      </c>
      <c r="J67" s="2">
        <f t="shared" si="0"/>
        <v>-0.28999999999999959</v>
      </c>
      <c r="K67" s="2">
        <f t="shared" si="1"/>
        <v>1.5699999999999998</v>
      </c>
    </row>
    <row r="68" spans="1:11" x14ac:dyDescent="0.25">
      <c r="A68" s="4">
        <f t="shared" si="2"/>
        <v>45373</v>
      </c>
      <c r="B68" t="s">
        <v>77</v>
      </c>
      <c r="C68" s="2">
        <v>3.93</v>
      </c>
      <c r="D68" s="2">
        <v>4.22</v>
      </c>
      <c r="E68" s="2">
        <v>2.3199999999999998</v>
      </c>
      <c r="F68" s="6">
        <v>1.2601</v>
      </c>
      <c r="G68" s="6">
        <v>1.165</v>
      </c>
      <c r="J68" s="2">
        <f t="shared" si="0"/>
        <v>-0.28999999999999959</v>
      </c>
      <c r="K68" s="2">
        <f t="shared" si="1"/>
        <v>1.6100000000000003</v>
      </c>
    </row>
    <row r="69" spans="1:11" x14ac:dyDescent="0.25">
      <c r="A69" s="4">
        <f t="shared" si="2"/>
        <v>45376</v>
      </c>
      <c r="B69" t="s">
        <v>78</v>
      </c>
      <c r="C69" s="2">
        <v>3.98</v>
      </c>
      <c r="D69" s="2">
        <v>4.25</v>
      </c>
      <c r="E69" s="2">
        <v>2.37</v>
      </c>
      <c r="F69" s="6">
        <v>1.2645</v>
      </c>
      <c r="G69" s="6">
        <v>1.1668000000000001</v>
      </c>
      <c r="J69" s="2">
        <f t="shared" si="0"/>
        <v>-0.27</v>
      </c>
      <c r="K69" s="2">
        <f t="shared" si="1"/>
        <v>1.6099999999999999</v>
      </c>
    </row>
    <row r="70" spans="1:11" x14ac:dyDescent="0.25">
      <c r="A70" s="4">
        <f t="shared" si="2"/>
        <v>45377</v>
      </c>
      <c r="B70" t="s">
        <v>79</v>
      </c>
      <c r="C70" s="2">
        <v>3.97</v>
      </c>
      <c r="D70" s="2">
        <v>4.24</v>
      </c>
      <c r="E70" s="2">
        <v>2.35</v>
      </c>
      <c r="F70" s="6">
        <v>1.2627999999999999</v>
      </c>
      <c r="G70" s="6">
        <v>1.1661999999999999</v>
      </c>
      <c r="J70" s="2">
        <f t="shared" si="0"/>
        <v>-0.27</v>
      </c>
      <c r="K70" s="2">
        <f t="shared" si="1"/>
        <v>1.62</v>
      </c>
    </row>
    <row r="71" spans="1:11" x14ac:dyDescent="0.25">
      <c r="A71" s="4">
        <f t="shared" si="2"/>
        <v>45378</v>
      </c>
      <c r="B71" t="s">
        <v>80</v>
      </c>
      <c r="C71" s="2">
        <v>3.93</v>
      </c>
      <c r="D71" s="2">
        <v>4.2</v>
      </c>
      <c r="E71" s="2">
        <v>2.29</v>
      </c>
      <c r="F71" s="6">
        <v>1.2628999999999999</v>
      </c>
      <c r="G71" s="6">
        <v>1.1671</v>
      </c>
      <c r="J71" s="2">
        <f t="shared" si="0"/>
        <v>-0.27</v>
      </c>
      <c r="K71" s="2">
        <f t="shared" si="1"/>
        <v>1.6400000000000001</v>
      </c>
    </row>
    <row r="72" spans="1:11" x14ac:dyDescent="0.25">
      <c r="A72" s="4">
        <f t="shared" si="2"/>
        <v>45379</v>
      </c>
      <c r="B72" t="s">
        <v>81</v>
      </c>
      <c r="C72" s="2">
        <v>3.95</v>
      </c>
      <c r="D72" s="2">
        <v>4.2</v>
      </c>
      <c r="E72" s="2">
        <v>2.31</v>
      </c>
      <c r="F72" s="6">
        <v>1.2632000000000001</v>
      </c>
      <c r="G72" s="6">
        <v>1.1694</v>
      </c>
      <c r="J72" s="2">
        <f t="shared" si="0"/>
        <v>-0.25</v>
      </c>
      <c r="K72" s="2">
        <f t="shared" si="1"/>
        <v>1.6400000000000001</v>
      </c>
    </row>
    <row r="73" spans="1:11" x14ac:dyDescent="0.25">
      <c r="A73" s="4">
        <f t="shared" si="2"/>
        <v>45380</v>
      </c>
      <c r="B73" t="s">
        <v>82</v>
      </c>
      <c r="C73" s="2">
        <v>3.95</v>
      </c>
      <c r="D73" s="2" t="e">
        <v>#N/A</v>
      </c>
      <c r="E73" s="2">
        <v>2.29</v>
      </c>
      <c r="F73" s="6" t="e">
        <v>#N/A</v>
      </c>
      <c r="G73" s="6" t="e">
        <v>#N/A</v>
      </c>
      <c r="J73" s="2" t="e">
        <f t="shared" ref="J73:J136" si="3">C73-D73</f>
        <v>#N/A</v>
      </c>
      <c r="K73" s="2">
        <f t="shared" ref="K73:K136" si="4">C73-E73</f>
        <v>1.6600000000000001</v>
      </c>
    </row>
    <row r="74" spans="1:11" x14ac:dyDescent="0.25">
      <c r="A74" s="4">
        <f t="shared" si="2"/>
        <v>45383</v>
      </c>
      <c r="B74" t="s">
        <v>83</v>
      </c>
      <c r="C74" s="2" t="e">
        <v>#N/A</v>
      </c>
      <c r="D74" s="2">
        <v>4.33</v>
      </c>
      <c r="E74" s="2" t="e">
        <v>#N/A</v>
      </c>
      <c r="F74" s="6" t="e">
        <v>#N/A</v>
      </c>
      <c r="G74" s="6" t="e">
        <v>#N/A</v>
      </c>
      <c r="J74" s="2" t="e">
        <f t="shared" si="3"/>
        <v>#N/A</v>
      </c>
      <c r="K74" s="2" t="e">
        <f t="shared" si="4"/>
        <v>#N/A</v>
      </c>
    </row>
    <row r="75" spans="1:11" x14ac:dyDescent="0.25">
      <c r="A75" s="4">
        <f t="shared" si="2"/>
        <v>45384</v>
      </c>
      <c r="B75" t="s">
        <v>84</v>
      </c>
      <c r="C75" s="2">
        <v>4.08</v>
      </c>
      <c r="D75" s="2">
        <v>4.3600000000000003</v>
      </c>
      <c r="E75" s="2">
        <v>2.4</v>
      </c>
      <c r="F75" s="6">
        <v>1.2566999999999999</v>
      </c>
      <c r="G75" s="6">
        <v>1.1673</v>
      </c>
      <c r="J75" s="2">
        <f t="shared" si="3"/>
        <v>-0.28000000000000025</v>
      </c>
      <c r="K75" s="2">
        <f t="shared" si="4"/>
        <v>1.6800000000000002</v>
      </c>
    </row>
    <row r="76" spans="1:11" x14ac:dyDescent="0.25">
      <c r="A76" s="4">
        <f t="shared" si="2"/>
        <v>45385</v>
      </c>
      <c r="B76" t="s">
        <v>85</v>
      </c>
      <c r="C76" s="2">
        <v>4.04</v>
      </c>
      <c r="D76" s="2">
        <v>4.3600000000000003</v>
      </c>
      <c r="E76" s="2">
        <v>2.38</v>
      </c>
      <c r="F76" s="6">
        <v>1.2619</v>
      </c>
      <c r="G76" s="6">
        <v>1.1658999999999999</v>
      </c>
      <c r="J76" s="2">
        <f t="shared" si="3"/>
        <v>-0.32000000000000028</v>
      </c>
      <c r="K76" s="2">
        <f t="shared" si="4"/>
        <v>1.6600000000000001</v>
      </c>
    </row>
    <row r="77" spans="1:11" x14ac:dyDescent="0.25">
      <c r="A77" s="4">
        <f t="shared" si="2"/>
        <v>45386</v>
      </c>
      <c r="B77" t="s">
        <v>86</v>
      </c>
      <c r="C77" s="2">
        <v>4.0199999999999996</v>
      </c>
      <c r="D77" s="2">
        <v>4.3099999999999996</v>
      </c>
      <c r="E77" s="2">
        <v>2.36</v>
      </c>
      <c r="F77" s="6">
        <v>1.2667999999999999</v>
      </c>
      <c r="G77" s="6">
        <v>1.1657</v>
      </c>
      <c r="J77" s="2">
        <f t="shared" si="3"/>
        <v>-0.29000000000000004</v>
      </c>
      <c r="K77" s="2">
        <f t="shared" si="4"/>
        <v>1.6599999999999997</v>
      </c>
    </row>
    <row r="78" spans="1:11" x14ac:dyDescent="0.25">
      <c r="A78" s="4">
        <f t="shared" si="2"/>
        <v>45387</v>
      </c>
      <c r="B78" t="s">
        <v>87</v>
      </c>
      <c r="C78" s="2">
        <v>4.0599999999999996</v>
      </c>
      <c r="D78" s="2">
        <v>4.3899999999999997</v>
      </c>
      <c r="E78" s="2">
        <v>2.41</v>
      </c>
      <c r="F78" s="6">
        <v>1.2615000000000001</v>
      </c>
      <c r="G78" s="6">
        <v>1.1659999999999999</v>
      </c>
      <c r="J78" s="2">
        <f t="shared" si="3"/>
        <v>-0.33000000000000007</v>
      </c>
      <c r="K78" s="2">
        <f t="shared" si="4"/>
        <v>1.6499999999999995</v>
      </c>
    </row>
    <row r="79" spans="1:11" x14ac:dyDescent="0.25">
      <c r="A79" s="4">
        <f t="shared" ref="A79:A142" si="5">+A74+7</f>
        <v>45390</v>
      </c>
      <c r="B79" t="s">
        <v>88</v>
      </c>
      <c r="C79" s="2">
        <v>4.09</v>
      </c>
      <c r="D79" s="2">
        <v>4.42</v>
      </c>
      <c r="E79" s="2">
        <v>2.4300000000000002</v>
      </c>
      <c r="F79" s="6">
        <v>1.2646999999999999</v>
      </c>
      <c r="G79" s="6">
        <v>1.1653</v>
      </c>
      <c r="J79" s="2">
        <f t="shared" si="3"/>
        <v>-0.33000000000000007</v>
      </c>
      <c r="K79" s="2">
        <f t="shared" si="4"/>
        <v>1.6599999999999997</v>
      </c>
    </row>
    <row r="80" spans="1:11" x14ac:dyDescent="0.25">
      <c r="A80" s="4">
        <f t="shared" si="5"/>
        <v>45391</v>
      </c>
      <c r="B80" t="s">
        <v>89</v>
      </c>
      <c r="C80" s="2">
        <v>4.01</v>
      </c>
      <c r="D80" s="2">
        <v>4.3600000000000003</v>
      </c>
      <c r="E80" s="2">
        <v>2.37</v>
      </c>
      <c r="F80" s="6">
        <v>1.2675000000000001</v>
      </c>
      <c r="G80" s="6">
        <v>1.1674</v>
      </c>
      <c r="J80" s="2">
        <f t="shared" si="3"/>
        <v>-0.35000000000000053</v>
      </c>
      <c r="K80" s="2">
        <f t="shared" si="4"/>
        <v>1.6399999999999997</v>
      </c>
    </row>
    <row r="81" spans="1:11" x14ac:dyDescent="0.25">
      <c r="A81" s="4">
        <f t="shared" si="5"/>
        <v>45392</v>
      </c>
      <c r="B81" t="s">
        <v>90</v>
      </c>
      <c r="C81" s="2">
        <v>4.1500000000000004</v>
      </c>
      <c r="D81" s="2">
        <v>4.55</v>
      </c>
      <c r="E81" s="2">
        <v>2.4500000000000002</v>
      </c>
      <c r="F81" s="6">
        <v>1.2565999999999999</v>
      </c>
      <c r="G81" s="6">
        <v>1.1685000000000001</v>
      </c>
      <c r="J81" s="2">
        <f t="shared" si="3"/>
        <v>-0.39999999999999947</v>
      </c>
      <c r="K81" s="2">
        <f t="shared" si="4"/>
        <v>1.7000000000000002</v>
      </c>
    </row>
    <row r="82" spans="1:11" x14ac:dyDescent="0.25">
      <c r="A82" s="4">
        <f t="shared" si="5"/>
        <v>45393</v>
      </c>
      <c r="B82" t="s">
        <v>91</v>
      </c>
      <c r="C82" s="2">
        <v>4.1900000000000004</v>
      </c>
      <c r="D82" s="2">
        <v>4.5599999999999996</v>
      </c>
      <c r="E82" s="2">
        <v>2.46</v>
      </c>
      <c r="F82" s="6">
        <v>1.252</v>
      </c>
      <c r="G82" s="6">
        <v>1.1695</v>
      </c>
      <c r="J82" s="2">
        <f t="shared" si="3"/>
        <v>-0.36999999999999922</v>
      </c>
      <c r="K82" s="2">
        <f t="shared" si="4"/>
        <v>1.7300000000000004</v>
      </c>
    </row>
    <row r="83" spans="1:11" x14ac:dyDescent="0.25">
      <c r="A83" s="4">
        <f t="shared" si="5"/>
        <v>45394</v>
      </c>
      <c r="B83" t="s">
        <v>92</v>
      </c>
      <c r="C83" s="2">
        <v>4.13</v>
      </c>
      <c r="D83" s="2">
        <v>4.5</v>
      </c>
      <c r="E83" s="2">
        <v>2.36</v>
      </c>
      <c r="F83" s="6">
        <v>1.2435</v>
      </c>
      <c r="G83" s="6">
        <v>1.1698</v>
      </c>
      <c r="J83" s="2">
        <f t="shared" si="3"/>
        <v>-0.37000000000000011</v>
      </c>
      <c r="K83" s="2">
        <f t="shared" si="4"/>
        <v>1.77</v>
      </c>
    </row>
    <row r="84" spans="1:11" x14ac:dyDescent="0.25">
      <c r="A84" s="4">
        <f t="shared" si="5"/>
        <v>45397</v>
      </c>
      <c r="B84" t="s">
        <v>93</v>
      </c>
      <c r="C84" s="2">
        <v>4.22</v>
      </c>
      <c r="D84" s="2">
        <v>4.63</v>
      </c>
      <c r="E84" s="2">
        <v>2.44</v>
      </c>
      <c r="F84" s="6">
        <v>1.2451000000000001</v>
      </c>
      <c r="G84" s="6">
        <v>1.1716</v>
      </c>
      <c r="J84" s="2">
        <f t="shared" si="3"/>
        <v>-0.41000000000000014</v>
      </c>
      <c r="K84" s="2">
        <f t="shared" si="4"/>
        <v>1.7799999999999998</v>
      </c>
    </row>
    <row r="85" spans="1:11" x14ac:dyDescent="0.25">
      <c r="A85" s="4">
        <f t="shared" si="5"/>
        <v>45398</v>
      </c>
      <c r="B85" t="s">
        <v>94</v>
      </c>
      <c r="C85" s="2">
        <v>4.3</v>
      </c>
      <c r="D85" s="2">
        <v>4.67</v>
      </c>
      <c r="E85" s="2">
        <v>2.4900000000000002</v>
      </c>
      <c r="F85" s="6">
        <v>1.2442</v>
      </c>
      <c r="G85" s="6">
        <v>1.1701999999999999</v>
      </c>
      <c r="J85" s="2">
        <f t="shared" si="3"/>
        <v>-0.37000000000000011</v>
      </c>
      <c r="K85" s="2">
        <f t="shared" si="4"/>
        <v>1.8099999999999996</v>
      </c>
    </row>
    <row r="86" spans="1:11" x14ac:dyDescent="0.25">
      <c r="A86" s="4">
        <f t="shared" si="5"/>
        <v>45399</v>
      </c>
      <c r="B86" t="s">
        <v>95</v>
      </c>
      <c r="C86" s="2">
        <v>4.25</v>
      </c>
      <c r="D86" s="2">
        <v>4.59</v>
      </c>
      <c r="E86" s="2">
        <v>2.4700000000000002</v>
      </c>
      <c r="F86" s="6">
        <v>1.2450000000000001</v>
      </c>
      <c r="G86" s="6">
        <v>1.1706000000000001</v>
      </c>
      <c r="J86" s="2">
        <f t="shared" si="3"/>
        <v>-0.33999999999999986</v>
      </c>
      <c r="K86" s="2">
        <f t="shared" si="4"/>
        <v>1.7799999999999998</v>
      </c>
    </row>
    <row r="87" spans="1:11" x14ac:dyDescent="0.25">
      <c r="A87" s="4">
        <f t="shared" si="5"/>
        <v>45400</v>
      </c>
      <c r="B87" t="s">
        <v>96</v>
      </c>
      <c r="C87" s="2">
        <v>4.2699999999999996</v>
      </c>
      <c r="D87" s="2">
        <v>4.6399999999999997</v>
      </c>
      <c r="E87" s="2">
        <v>2.4900000000000002</v>
      </c>
      <c r="F87" s="6">
        <v>1.2444</v>
      </c>
      <c r="G87" s="6">
        <v>1.1679999999999999</v>
      </c>
      <c r="J87" s="2">
        <f t="shared" si="3"/>
        <v>-0.37000000000000011</v>
      </c>
      <c r="K87" s="2">
        <f t="shared" si="4"/>
        <v>1.7799999999999994</v>
      </c>
    </row>
    <row r="88" spans="1:11" x14ac:dyDescent="0.25">
      <c r="A88" s="4">
        <f t="shared" si="5"/>
        <v>45401</v>
      </c>
      <c r="B88" t="s">
        <v>97</v>
      </c>
      <c r="C88" s="2">
        <v>4.2300000000000004</v>
      </c>
      <c r="D88" s="2">
        <v>4.62</v>
      </c>
      <c r="E88" s="2">
        <v>2.5</v>
      </c>
      <c r="F88" s="6">
        <v>1.2434000000000001</v>
      </c>
      <c r="G88" s="6">
        <v>1.1653</v>
      </c>
      <c r="J88" s="2">
        <f t="shared" si="3"/>
        <v>-0.38999999999999968</v>
      </c>
      <c r="K88" s="2">
        <f t="shared" si="4"/>
        <v>1.7300000000000004</v>
      </c>
    </row>
    <row r="89" spans="1:11" x14ac:dyDescent="0.25">
      <c r="A89" s="4">
        <f t="shared" si="5"/>
        <v>45404</v>
      </c>
      <c r="B89" t="s">
        <v>98</v>
      </c>
      <c r="C89" s="2">
        <v>4.2</v>
      </c>
      <c r="D89" s="2">
        <v>4.62</v>
      </c>
      <c r="E89" s="2">
        <v>2.4900000000000002</v>
      </c>
      <c r="F89" s="6">
        <v>1.2331000000000001</v>
      </c>
      <c r="G89" s="6">
        <v>1.1584000000000001</v>
      </c>
      <c r="J89" s="2">
        <f t="shared" si="3"/>
        <v>-0.41999999999999993</v>
      </c>
      <c r="K89" s="2">
        <f t="shared" si="4"/>
        <v>1.71</v>
      </c>
    </row>
    <row r="90" spans="1:11" x14ac:dyDescent="0.25">
      <c r="A90" s="4">
        <f t="shared" si="5"/>
        <v>45405</v>
      </c>
      <c r="B90" t="s">
        <v>99</v>
      </c>
      <c r="C90" s="2">
        <v>4.2300000000000004</v>
      </c>
      <c r="D90" s="2">
        <v>4.6100000000000003</v>
      </c>
      <c r="E90" s="2">
        <v>2.5099999999999998</v>
      </c>
      <c r="F90" s="6">
        <v>1.2433000000000001</v>
      </c>
      <c r="G90" s="6">
        <v>1.1620999999999999</v>
      </c>
      <c r="J90" s="2">
        <f t="shared" si="3"/>
        <v>-0.37999999999999989</v>
      </c>
      <c r="K90" s="2">
        <f t="shared" si="4"/>
        <v>1.7200000000000006</v>
      </c>
    </row>
    <row r="91" spans="1:11" x14ac:dyDescent="0.25">
      <c r="A91" s="4">
        <f t="shared" si="5"/>
        <v>45406</v>
      </c>
      <c r="B91" t="s">
        <v>100</v>
      </c>
      <c r="C91" s="2">
        <v>4.33</v>
      </c>
      <c r="D91" s="2">
        <v>4.6500000000000004</v>
      </c>
      <c r="E91" s="2">
        <v>2.59</v>
      </c>
      <c r="F91" s="6">
        <v>1.2433000000000001</v>
      </c>
      <c r="G91" s="6">
        <v>1.1633</v>
      </c>
      <c r="J91" s="2">
        <f t="shared" si="3"/>
        <v>-0.32000000000000028</v>
      </c>
      <c r="K91" s="2">
        <f t="shared" si="4"/>
        <v>1.7400000000000002</v>
      </c>
    </row>
    <row r="92" spans="1:11" x14ac:dyDescent="0.25">
      <c r="A92" s="4">
        <f t="shared" si="5"/>
        <v>45407</v>
      </c>
      <c r="B92" t="s">
        <v>101</v>
      </c>
      <c r="C92" s="2">
        <v>4.3600000000000003</v>
      </c>
      <c r="D92" s="2">
        <v>4.7</v>
      </c>
      <c r="E92" s="2">
        <v>2.63</v>
      </c>
      <c r="F92" s="6">
        <v>1.2488999999999999</v>
      </c>
      <c r="G92" s="6">
        <v>1.1658999999999999</v>
      </c>
      <c r="J92" s="2">
        <f t="shared" si="3"/>
        <v>-0.33999999999999986</v>
      </c>
      <c r="K92" s="2">
        <f t="shared" si="4"/>
        <v>1.7300000000000004</v>
      </c>
    </row>
    <row r="93" spans="1:11" x14ac:dyDescent="0.25">
      <c r="A93" s="4">
        <f t="shared" si="5"/>
        <v>45408</v>
      </c>
      <c r="B93" t="s">
        <v>102</v>
      </c>
      <c r="C93" s="2">
        <v>4.33</v>
      </c>
      <c r="D93" s="2">
        <v>4.67</v>
      </c>
      <c r="E93" s="2">
        <v>2.58</v>
      </c>
      <c r="F93" s="6">
        <v>1.2462</v>
      </c>
      <c r="G93" s="6">
        <v>1.1669</v>
      </c>
      <c r="J93" s="2">
        <f t="shared" si="3"/>
        <v>-0.33999999999999986</v>
      </c>
      <c r="K93" s="2">
        <f t="shared" si="4"/>
        <v>1.75</v>
      </c>
    </row>
    <row r="94" spans="1:11" x14ac:dyDescent="0.25">
      <c r="A94" s="4">
        <f t="shared" si="5"/>
        <v>45411</v>
      </c>
      <c r="B94" t="s">
        <v>103</v>
      </c>
      <c r="C94" s="2">
        <v>4.28</v>
      </c>
      <c r="D94" s="2">
        <v>4.63</v>
      </c>
      <c r="E94" s="2">
        <v>2.5299999999999998</v>
      </c>
      <c r="F94" s="6">
        <v>1.2547999999999999</v>
      </c>
      <c r="G94" s="6">
        <v>1.1713</v>
      </c>
      <c r="J94" s="2">
        <f t="shared" si="3"/>
        <v>-0.34999999999999964</v>
      </c>
      <c r="K94" s="2">
        <f t="shared" si="4"/>
        <v>1.7500000000000004</v>
      </c>
    </row>
    <row r="95" spans="1:11" x14ac:dyDescent="0.25">
      <c r="A95" s="4">
        <f t="shared" si="5"/>
        <v>45412</v>
      </c>
      <c r="B95" t="s">
        <v>104</v>
      </c>
      <c r="C95" s="2">
        <v>4.3600000000000003</v>
      </c>
      <c r="D95" s="2">
        <v>4.6900000000000004</v>
      </c>
      <c r="E95" s="2">
        <v>2.59</v>
      </c>
      <c r="F95" s="6">
        <v>1.252</v>
      </c>
      <c r="G95" s="6">
        <v>1.171</v>
      </c>
      <c r="J95" s="2">
        <f t="shared" si="3"/>
        <v>-0.33000000000000007</v>
      </c>
      <c r="K95" s="2">
        <f t="shared" si="4"/>
        <v>1.7700000000000005</v>
      </c>
    </row>
    <row r="96" spans="1:11" x14ac:dyDescent="0.25">
      <c r="A96" s="4">
        <f t="shared" si="5"/>
        <v>45413</v>
      </c>
      <c r="B96" t="s">
        <v>105</v>
      </c>
      <c r="C96" s="2">
        <v>4.3600000000000003</v>
      </c>
      <c r="D96" s="2">
        <v>4.63</v>
      </c>
      <c r="E96" s="2">
        <v>2.58</v>
      </c>
      <c r="F96" s="6">
        <v>1.2492000000000001</v>
      </c>
      <c r="G96" s="6">
        <v>1.1693</v>
      </c>
      <c r="J96" s="2">
        <f t="shared" si="3"/>
        <v>-0.26999999999999957</v>
      </c>
      <c r="K96" s="2">
        <f t="shared" si="4"/>
        <v>1.7800000000000002</v>
      </c>
    </row>
    <row r="97" spans="1:11" x14ac:dyDescent="0.25">
      <c r="A97" s="4">
        <f t="shared" si="5"/>
        <v>45414</v>
      </c>
      <c r="B97" t="s">
        <v>106</v>
      </c>
      <c r="C97" s="2">
        <v>4.28</v>
      </c>
      <c r="D97" s="2">
        <v>4.58</v>
      </c>
      <c r="E97" s="2">
        <v>2.54</v>
      </c>
      <c r="F97" s="6">
        <v>1.2484999999999999</v>
      </c>
      <c r="G97" s="6">
        <v>1.1680999999999999</v>
      </c>
      <c r="J97" s="2">
        <f t="shared" si="3"/>
        <v>-0.29999999999999982</v>
      </c>
      <c r="K97" s="2">
        <f t="shared" si="4"/>
        <v>1.7400000000000002</v>
      </c>
    </row>
    <row r="98" spans="1:11" x14ac:dyDescent="0.25">
      <c r="A98" s="4">
        <f t="shared" si="5"/>
        <v>45415</v>
      </c>
      <c r="B98" t="s">
        <v>107</v>
      </c>
      <c r="C98" s="2">
        <v>4.22</v>
      </c>
      <c r="D98" s="2">
        <v>4.5</v>
      </c>
      <c r="E98" s="2">
        <v>2.4900000000000002</v>
      </c>
      <c r="F98" s="6">
        <v>1.2545999999999999</v>
      </c>
      <c r="G98" s="6">
        <v>1.1653</v>
      </c>
      <c r="J98" s="2">
        <f t="shared" si="3"/>
        <v>-0.28000000000000025</v>
      </c>
      <c r="K98" s="2">
        <f t="shared" si="4"/>
        <v>1.7299999999999995</v>
      </c>
    </row>
    <row r="99" spans="1:11" x14ac:dyDescent="0.25">
      <c r="A99" s="4">
        <f t="shared" si="5"/>
        <v>45418</v>
      </c>
      <c r="B99" t="s">
        <v>108</v>
      </c>
      <c r="C99" s="2" t="e">
        <v>#N/A</v>
      </c>
      <c r="D99" s="2">
        <v>4.49</v>
      </c>
      <c r="E99" s="2">
        <v>2.4700000000000002</v>
      </c>
      <c r="F99" s="6" t="e">
        <v>#N/A</v>
      </c>
      <c r="G99" s="6" t="e">
        <v>#N/A</v>
      </c>
      <c r="J99" s="2" t="e">
        <f t="shared" si="3"/>
        <v>#N/A</v>
      </c>
      <c r="K99" s="2" t="e">
        <f t="shared" si="4"/>
        <v>#N/A</v>
      </c>
    </row>
    <row r="100" spans="1:11" x14ac:dyDescent="0.25">
      <c r="A100" s="4">
        <f t="shared" si="5"/>
        <v>45419</v>
      </c>
      <c r="B100" t="s">
        <v>109</v>
      </c>
      <c r="C100" s="2">
        <v>4.13</v>
      </c>
      <c r="D100" s="2">
        <v>4.47</v>
      </c>
      <c r="E100" s="2">
        <v>2.4300000000000002</v>
      </c>
      <c r="F100" s="6">
        <v>1.2554000000000001</v>
      </c>
      <c r="G100" s="6">
        <v>1.1647000000000001</v>
      </c>
      <c r="J100" s="2">
        <f t="shared" si="3"/>
        <v>-0.33999999999999986</v>
      </c>
      <c r="K100" s="2">
        <f t="shared" si="4"/>
        <v>1.6999999999999997</v>
      </c>
    </row>
    <row r="101" spans="1:11" x14ac:dyDescent="0.25">
      <c r="A101" s="4">
        <f t="shared" si="5"/>
        <v>45420</v>
      </c>
      <c r="B101" t="s">
        <v>110</v>
      </c>
      <c r="C101" s="2">
        <v>4.13</v>
      </c>
      <c r="D101" s="2">
        <v>4.4800000000000004</v>
      </c>
      <c r="E101" s="2">
        <v>2.4700000000000002</v>
      </c>
      <c r="F101" s="6">
        <v>1.2493000000000001</v>
      </c>
      <c r="G101" s="6">
        <v>1.1621999999999999</v>
      </c>
      <c r="J101" s="2">
        <f t="shared" si="3"/>
        <v>-0.35000000000000053</v>
      </c>
      <c r="K101" s="2">
        <f t="shared" si="4"/>
        <v>1.6599999999999997</v>
      </c>
    </row>
    <row r="102" spans="1:11" x14ac:dyDescent="0.25">
      <c r="A102" s="4">
        <f t="shared" si="5"/>
        <v>45421</v>
      </c>
      <c r="B102" t="s">
        <v>111</v>
      </c>
      <c r="C102" s="2">
        <v>4.1399999999999997</v>
      </c>
      <c r="D102" s="2">
        <v>4.45</v>
      </c>
      <c r="E102" s="2">
        <v>2.4900000000000002</v>
      </c>
      <c r="F102" s="6">
        <v>1.2512000000000001</v>
      </c>
      <c r="G102" s="6">
        <v>1.1611</v>
      </c>
      <c r="J102" s="2">
        <f t="shared" si="3"/>
        <v>-0.3100000000000005</v>
      </c>
      <c r="K102" s="2">
        <f t="shared" si="4"/>
        <v>1.6499999999999995</v>
      </c>
    </row>
    <row r="103" spans="1:11" x14ac:dyDescent="0.25">
      <c r="A103" s="4">
        <f t="shared" si="5"/>
        <v>45422</v>
      </c>
      <c r="B103" t="s">
        <v>112</v>
      </c>
      <c r="C103" s="2">
        <v>4.17</v>
      </c>
      <c r="D103" s="2">
        <v>4.5</v>
      </c>
      <c r="E103" s="2">
        <v>2.52</v>
      </c>
      <c r="F103" s="6">
        <v>1.2507999999999999</v>
      </c>
      <c r="G103" s="6">
        <v>1.1619999999999999</v>
      </c>
      <c r="J103" s="2">
        <f t="shared" si="3"/>
        <v>-0.33000000000000007</v>
      </c>
      <c r="K103" s="2">
        <f t="shared" si="4"/>
        <v>1.65</v>
      </c>
    </row>
    <row r="104" spans="1:11" x14ac:dyDescent="0.25">
      <c r="A104" s="4">
        <f t="shared" si="5"/>
        <v>45425</v>
      </c>
      <c r="B104" t="s">
        <v>113</v>
      </c>
      <c r="C104" s="2">
        <v>4.17</v>
      </c>
      <c r="D104" s="2">
        <v>4.4800000000000004</v>
      </c>
      <c r="E104" s="2">
        <v>2.5099999999999998</v>
      </c>
      <c r="F104" s="6">
        <v>1.2563</v>
      </c>
      <c r="G104" s="6">
        <v>1.1628000000000001</v>
      </c>
      <c r="J104" s="2">
        <f t="shared" si="3"/>
        <v>-0.3100000000000005</v>
      </c>
      <c r="K104" s="2">
        <f t="shared" si="4"/>
        <v>1.6600000000000001</v>
      </c>
    </row>
    <row r="105" spans="1:11" x14ac:dyDescent="0.25">
      <c r="A105" s="4">
        <f t="shared" si="5"/>
        <v>45426</v>
      </c>
      <c r="B105" t="s">
        <v>114</v>
      </c>
      <c r="C105" s="2">
        <v>4.16</v>
      </c>
      <c r="D105" s="2">
        <v>4.45</v>
      </c>
      <c r="E105" s="2">
        <v>2.54</v>
      </c>
      <c r="F105" s="6">
        <v>1.2588999999999999</v>
      </c>
      <c r="G105" s="6">
        <v>1.1629</v>
      </c>
      <c r="J105" s="2">
        <f t="shared" si="3"/>
        <v>-0.29000000000000004</v>
      </c>
      <c r="K105" s="2">
        <f t="shared" si="4"/>
        <v>1.62</v>
      </c>
    </row>
    <row r="106" spans="1:11" x14ac:dyDescent="0.25">
      <c r="A106" s="4">
        <f t="shared" si="5"/>
        <v>45427</v>
      </c>
      <c r="B106" t="s">
        <v>115</v>
      </c>
      <c r="C106" s="2">
        <v>4.0599999999999996</v>
      </c>
      <c r="D106" s="2">
        <v>4.3600000000000003</v>
      </c>
      <c r="E106" s="2">
        <v>2.42</v>
      </c>
      <c r="F106" s="6">
        <v>1.2648999999999999</v>
      </c>
      <c r="G106" s="6">
        <v>1.1649</v>
      </c>
      <c r="J106" s="2">
        <f t="shared" si="3"/>
        <v>-0.30000000000000071</v>
      </c>
      <c r="K106" s="2">
        <f t="shared" si="4"/>
        <v>1.6399999999999997</v>
      </c>
    </row>
    <row r="107" spans="1:11" x14ac:dyDescent="0.25">
      <c r="A107" s="4">
        <f t="shared" si="5"/>
        <v>45428</v>
      </c>
      <c r="B107" t="s">
        <v>116</v>
      </c>
      <c r="C107" s="2">
        <v>4.07</v>
      </c>
      <c r="D107" s="2">
        <v>4.38</v>
      </c>
      <c r="E107" s="2">
        <v>2.46</v>
      </c>
      <c r="F107" s="6">
        <v>1.2667999999999999</v>
      </c>
      <c r="G107" s="6">
        <v>1.1654</v>
      </c>
      <c r="J107" s="2">
        <f t="shared" si="3"/>
        <v>-0.30999999999999961</v>
      </c>
      <c r="K107" s="2">
        <f t="shared" si="4"/>
        <v>1.6100000000000003</v>
      </c>
    </row>
    <row r="108" spans="1:11" x14ac:dyDescent="0.25">
      <c r="A108" s="4">
        <f t="shared" si="5"/>
        <v>45429</v>
      </c>
      <c r="B108" t="s">
        <v>117</v>
      </c>
      <c r="C108" s="2">
        <v>4.12</v>
      </c>
      <c r="D108" s="2">
        <v>4.42</v>
      </c>
      <c r="E108" s="2">
        <v>2.52</v>
      </c>
      <c r="F108" s="6">
        <v>1.2698</v>
      </c>
      <c r="G108" s="6">
        <v>1.1675</v>
      </c>
      <c r="J108" s="2">
        <f t="shared" si="3"/>
        <v>-0.29999999999999982</v>
      </c>
      <c r="K108" s="2">
        <f t="shared" si="4"/>
        <v>1.6</v>
      </c>
    </row>
    <row r="109" spans="1:11" x14ac:dyDescent="0.25">
      <c r="A109" s="4">
        <f t="shared" si="5"/>
        <v>45432</v>
      </c>
      <c r="B109" t="s">
        <v>118</v>
      </c>
      <c r="C109" s="2">
        <v>4.17</v>
      </c>
      <c r="D109" s="2">
        <v>4.4400000000000004</v>
      </c>
      <c r="E109" s="2">
        <v>2.5299999999999998</v>
      </c>
      <c r="F109" s="6">
        <v>1.2707999999999999</v>
      </c>
      <c r="G109" s="6">
        <v>1.1696</v>
      </c>
      <c r="J109" s="2">
        <f t="shared" si="3"/>
        <v>-0.27000000000000046</v>
      </c>
      <c r="K109" s="2">
        <f t="shared" si="4"/>
        <v>1.6400000000000001</v>
      </c>
    </row>
    <row r="110" spans="1:11" x14ac:dyDescent="0.25">
      <c r="A110" s="4">
        <f t="shared" si="5"/>
        <v>45433</v>
      </c>
      <c r="B110" t="s">
        <v>119</v>
      </c>
      <c r="C110" s="2">
        <v>4.13</v>
      </c>
      <c r="D110" s="2">
        <v>4.41</v>
      </c>
      <c r="E110" s="2">
        <v>2.5099999999999998</v>
      </c>
      <c r="F110" s="6">
        <v>1.2723</v>
      </c>
      <c r="G110" s="6">
        <v>1.1715</v>
      </c>
      <c r="J110" s="2">
        <f t="shared" si="3"/>
        <v>-0.28000000000000025</v>
      </c>
      <c r="K110" s="2">
        <f t="shared" si="4"/>
        <v>1.62</v>
      </c>
    </row>
    <row r="111" spans="1:11" x14ac:dyDescent="0.25">
      <c r="A111" s="4">
        <f t="shared" si="5"/>
        <v>45434</v>
      </c>
      <c r="B111" t="s">
        <v>120</v>
      </c>
      <c r="C111" s="2">
        <v>4.2300000000000004</v>
      </c>
      <c r="D111" s="2">
        <v>4.43</v>
      </c>
      <c r="E111" s="2">
        <v>2.54</v>
      </c>
      <c r="F111" s="6">
        <v>1.2724</v>
      </c>
      <c r="G111" s="6">
        <v>1.1745000000000001</v>
      </c>
      <c r="J111" s="2">
        <f t="shared" si="3"/>
        <v>-0.19999999999999929</v>
      </c>
      <c r="K111" s="2">
        <f t="shared" si="4"/>
        <v>1.6900000000000004</v>
      </c>
    </row>
    <row r="112" spans="1:11" x14ac:dyDescent="0.25">
      <c r="A112" s="4">
        <f t="shared" si="5"/>
        <v>45435</v>
      </c>
      <c r="B112" t="s">
        <v>121</v>
      </c>
      <c r="C112" s="2">
        <v>4.26</v>
      </c>
      <c r="D112" s="2">
        <v>4.47</v>
      </c>
      <c r="E112" s="2">
        <v>2.59</v>
      </c>
      <c r="F112" s="6">
        <v>1.2712000000000001</v>
      </c>
      <c r="G112" s="6">
        <v>1.1742999999999999</v>
      </c>
      <c r="J112" s="2">
        <f t="shared" si="3"/>
        <v>-0.20999999999999996</v>
      </c>
      <c r="K112" s="2">
        <f t="shared" si="4"/>
        <v>1.67</v>
      </c>
    </row>
    <row r="113" spans="1:11" x14ac:dyDescent="0.25">
      <c r="A113" s="4">
        <f t="shared" si="5"/>
        <v>45436</v>
      </c>
      <c r="B113" t="s">
        <v>122</v>
      </c>
      <c r="C113" s="2">
        <v>4.26</v>
      </c>
      <c r="D113" s="2">
        <v>4.46</v>
      </c>
      <c r="E113" s="2">
        <v>2.58</v>
      </c>
      <c r="F113" s="6">
        <v>1.2738</v>
      </c>
      <c r="G113" s="6">
        <v>1.1744000000000001</v>
      </c>
      <c r="J113" s="2">
        <f t="shared" si="3"/>
        <v>-0.20000000000000018</v>
      </c>
      <c r="K113" s="2">
        <f t="shared" si="4"/>
        <v>1.6799999999999997</v>
      </c>
    </row>
    <row r="114" spans="1:11" x14ac:dyDescent="0.25">
      <c r="A114" s="4">
        <f t="shared" si="5"/>
        <v>45439</v>
      </c>
      <c r="B114" t="s">
        <v>123</v>
      </c>
      <c r="C114" s="2">
        <v>4.26</v>
      </c>
      <c r="D114" s="2" t="e">
        <v>#N/A</v>
      </c>
      <c r="E114" s="2">
        <v>2.5499999999999998</v>
      </c>
      <c r="F114" s="6" t="e">
        <v>#N/A</v>
      </c>
      <c r="G114" s="6" t="e">
        <v>#N/A</v>
      </c>
      <c r="J114" s="2" t="e">
        <f t="shared" si="3"/>
        <v>#N/A</v>
      </c>
      <c r="K114" s="2">
        <f t="shared" si="4"/>
        <v>1.71</v>
      </c>
    </row>
    <row r="115" spans="1:11" x14ac:dyDescent="0.25">
      <c r="A115" s="4">
        <f t="shared" si="5"/>
        <v>45440</v>
      </c>
      <c r="B115" t="s">
        <v>124</v>
      </c>
      <c r="C115" s="2">
        <v>4.2699999999999996</v>
      </c>
      <c r="D115" s="2">
        <v>4.54</v>
      </c>
      <c r="E115" s="2">
        <v>2.6</v>
      </c>
      <c r="F115" s="6">
        <v>1.2777000000000001</v>
      </c>
      <c r="G115" s="6">
        <v>1.1749000000000001</v>
      </c>
      <c r="J115" s="2">
        <f t="shared" si="3"/>
        <v>-0.27000000000000046</v>
      </c>
      <c r="K115" s="2">
        <f t="shared" si="4"/>
        <v>1.6699999999999995</v>
      </c>
    </row>
    <row r="116" spans="1:11" x14ac:dyDescent="0.25">
      <c r="A116" s="4">
        <f t="shared" si="5"/>
        <v>45441</v>
      </c>
      <c r="B116" t="s">
        <v>125</v>
      </c>
      <c r="C116" s="2">
        <v>4.41</v>
      </c>
      <c r="D116" s="2">
        <v>4.6100000000000003</v>
      </c>
      <c r="E116" s="2">
        <v>2.69</v>
      </c>
      <c r="F116" s="6">
        <v>1.2715000000000001</v>
      </c>
      <c r="G116" s="6">
        <v>1.1757</v>
      </c>
      <c r="J116" s="2">
        <f t="shared" si="3"/>
        <v>-0.20000000000000018</v>
      </c>
      <c r="K116" s="2">
        <f t="shared" si="4"/>
        <v>1.7200000000000002</v>
      </c>
    </row>
    <row r="117" spans="1:11" x14ac:dyDescent="0.25">
      <c r="A117" s="4">
        <f t="shared" si="5"/>
        <v>45442</v>
      </c>
      <c r="B117" t="s">
        <v>126</v>
      </c>
      <c r="C117" s="2">
        <v>4.34</v>
      </c>
      <c r="D117" s="2">
        <v>4.55</v>
      </c>
      <c r="E117" s="2">
        <v>2.66</v>
      </c>
      <c r="F117" s="6">
        <v>1.2739</v>
      </c>
      <c r="G117" s="6">
        <v>1.1751</v>
      </c>
      <c r="J117" s="2">
        <f t="shared" si="3"/>
        <v>-0.20999999999999996</v>
      </c>
      <c r="K117" s="2">
        <f t="shared" si="4"/>
        <v>1.6799999999999997</v>
      </c>
    </row>
    <row r="118" spans="1:11" x14ac:dyDescent="0.25">
      <c r="A118" s="4">
        <f t="shared" si="5"/>
        <v>45443</v>
      </c>
      <c r="B118" t="s">
        <v>127</v>
      </c>
      <c r="C118" s="2">
        <v>4.33</v>
      </c>
      <c r="D118" s="2">
        <v>4.51</v>
      </c>
      <c r="E118" s="2">
        <v>2.67</v>
      </c>
      <c r="F118" s="6">
        <v>1.2730999999999999</v>
      </c>
      <c r="G118" s="6">
        <v>1.1727000000000001</v>
      </c>
      <c r="J118" s="2">
        <f t="shared" si="3"/>
        <v>-0.17999999999999972</v>
      </c>
      <c r="K118" s="2">
        <f t="shared" si="4"/>
        <v>1.6600000000000001</v>
      </c>
    </row>
    <row r="119" spans="1:11" x14ac:dyDescent="0.25">
      <c r="A119" s="4">
        <f t="shared" si="5"/>
        <v>45446</v>
      </c>
      <c r="B119" t="s">
        <v>128</v>
      </c>
      <c r="C119" s="2">
        <v>4.22</v>
      </c>
      <c r="D119" s="2">
        <v>4.41</v>
      </c>
      <c r="E119" s="2">
        <v>2.59</v>
      </c>
      <c r="F119" s="6">
        <v>1.2771999999999999</v>
      </c>
      <c r="G119" s="6">
        <v>1.175</v>
      </c>
      <c r="J119" s="2">
        <f t="shared" si="3"/>
        <v>-0.19000000000000039</v>
      </c>
      <c r="K119" s="2">
        <f t="shared" si="4"/>
        <v>1.63</v>
      </c>
    </row>
    <row r="120" spans="1:11" x14ac:dyDescent="0.25">
      <c r="A120" s="4">
        <f t="shared" si="5"/>
        <v>45447</v>
      </c>
      <c r="B120" t="s">
        <v>129</v>
      </c>
      <c r="C120" s="2">
        <v>4.17</v>
      </c>
      <c r="D120" s="2">
        <v>4.33</v>
      </c>
      <c r="E120" s="2">
        <v>2.54</v>
      </c>
      <c r="F120" s="6">
        <v>1.278</v>
      </c>
      <c r="G120" s="6">
        <v>1.1746000000000001</v>
      </c>
      <c r="J120" s="2">
        <f t="shared" si="3"/>
        <v>-0.16000000000000014</v>
      </c>
      <c r="K120" s="2">
        <f t="shared" si="4"/>
        <v>1.63</v>
      </c>
    </row>
    <row r="121" spans="1:11" x14ac:dyDescent="0.25">
      <c r="A121" s="4">
        <f t="shared" si="5"/>
        <v>45448</v>
      </c>
      <c r="B121" t="s">
        <v>130</v>
      </c>
      <c r="C121" s="2">
        <v>4.1900000000000004</v>
      </c>
      <c r="D121" s="2">
        <v>4.29</v>
      </c>
      <c r="E121" s="2">
        <v>2.5099999999999998</v>
      </c>
      <c r="F121" s="6">
        <v>1.276</v>
      </c>
      <c r="G121" s="6">
        <v>1.1741999999999999</v>
      </c>
      <c r="J121" s="2">
        <f t="shared" si="3"/>
        <v>-9.9999999999999645E-2</v>
      </c>
      <c r="K121" s="2">
        <f t="shared" si="4"/>
        <v>1.6800000000000006</v>
      </c>
    </row>
    <row r="122" spans="1:11" x14ac:dyDescent="0.25">
      <c r="A122" s="4">
        <f t="shared" si="5"/>
        <v>45449</v>
      </c>
      <c r="B122" t="s">
        <v>131</v>
      </c>
      <c r="C122" s="2">
        <v>4.17</v>
      </c>
      <c r="D122" s="2">
        <v>4.28</v>
      </c>
      <c r="E122" s="2">
        <v>2.54</v>
      </c>
      <c r="F122" s="6">
        <v>1.2773000000000001</v>
      </c>
      <c r="G122" s="6">
        <v>1.1741999999999999</v>
      </c>
      <c r="J122" s="2">
        <f t="shared" si="3"/>
        <v>-0.11000000000000032</v>
      </c>
      <c r="K122" s="2">
        <f t="shared" si="4"/>
        <v>1.63</v>
      </c>
    </row>
    <row r="123" spans="1:11" x14ac:dyDescent="0.25">
      <c r="A123" s="4">
        <f t="shared" si="5"/>
        <v>45450</v>
      </c>
      <c r="B123" t="s">
        <v>132</v>
      </c>
      <c r="C123" s="2">
        <v>4.25</v>
      </c>
      <c r="D123" s="2">
        <v>4.43</v>
      </c>
      <c r="E123" s="2">
        <v>2.62</v>
      </c>
      <c r="F123" s="6">
        <v>1.2724</v>
      </c>
      <c r="G123" s="6">
        <v>1.1767000000000001</v>
      </c>
      <c r="J123" s="2">
        <f t="shared" si="3"/>
        <v>-0.17999999999999972</v>
      </c>
      <c r="K123" s="2">
        <f t="shared" si="4"/>
        <v>1.63</v>
      </c>
    </row>
    <row r="124" spans="1:11" x14ac:dyDescent="0.25">
      <c r="A124" s="4">
        <f t="shared" si="5"/>
        <v>45453</v>
      </c>
      <c r="B124" t="s">
        <v>133</v>
      </c>
      <c r="C124" s="2">
        <v>4.33</v>
      </c>
      <c r="D124" s="2">
        <v>4.47</v>
      </c>
      <c r="E124" s="2">
        <v>2.67</v>
      </c>
      <c r="F124" s="6">
        <v>1.2717000000000001</v>
      </c>
      <c r="G124" s="6">
        <v>1.1847000000000001</v>
      </c>
      <c r="J124" s="2">
        <f t="shared" si="3"/>
        <v>-0.13999999999999968</v>
      </c>
      <c r="K124" s="2">
        <f t="shared" si="4"/>
        <v>1.6600000000000001</v>
      </c>
    </row>
    <row r="125" spans="1:11" x14ac:dyDescent="0.25">
      <c r="A125" s="4">
        <f t="shared" si="5"/>
        <v>45454</v>
      </c>
      <c r="B125" t="s">
        <v>134</v>
      </c>
      <c r="C125" s="2">
        <v>4.26</v>
      </c>
      <c r="D125" s="2">
        <v>4.3899999999999997</v>
      </c>
      <c r="E125" s="2">
        <v>2.62</v>
      </c>
      <c r="F125" s="6">
        <v>1.2712000000000001</v>
      </c>
      <c r="G125" s="6">
        <v>1.1855</v>
      </c>
      <c r="J125" s="2">
        <f t="shared" si="3"/>
        <v>-0.12999999999999989</v>
      </c>
      <c r="K125" s="2">
        <f t="shared" si="4"/>
        <v>1.6399999999999997</v>
      </c>
    </row>
    <row r="126" spans="1:11" x14ac:dyDescent="0.25">
      <c r="A126" s="4">
        <f t="shared" si="5"/>
        <v>45455</v>
      </c>
      <c r="B126" t="s">
        <v>135</v>
      </c>
      <c r="C126" s="2">
        <v>4.1100000000000003</v>
      </c>
      <c r="D126" s="2">
        <v>4.3099999999999996</v>
      </c>
      <c r="E126" s="2">
        <v>2.54</v>
      </c>
      <c r="F126" s="6">
        <v>1.2843</v>
      </c>
      <c r="G126" s="6">
        <v>1.1839</v>
      </c>
      <c r="J126" s="2">
        <f t="shared" si="3"/>
        <v>-0.19999999999999929</v>
      </c>
      <c r="K126" s="2">
        <f t="shared" si="4"/>
        <v>1.5700000000000003</v>
      </c>
    </row>
    <row r="127" spans="1:11" x14ac:dyDescent="0.25">
      <c r="A127" s="4">
        <f t="shared" si="5"/>
        <v>45456</v>
      </c>
      <c r="B127" t="s">
        <v>136</v>
      </c>
      <c r="C127" s="2">
        <v>4.13</v>
      </c>
      <c r="D127" s="2">
        <v>4.24</v>
      </c>
      <c r="E127" s="2">
        <v>2.4700000000000002</v>
      </c>
      <c r="F127" s="6">
        <v>1.2766999999999999</v>
      </c>
      <c r="G127" s="6">
        <v>1.1852</v>
      </c>
      <c r="J127" s="2">
        <f t="shared" si="3"/>
        <v>-0.11000000000000032</v>
      </c>
      <c r="K127" s="2">
        <f t="shared" si="4"/>
        <v>1.6599999999999997</v>
      </c>
    </row>
    <row r="128" spans="1:11" x14ac:dyDescent="0.25">
      <c r="A128" s="4">
        <f t="shared" si="5"/>
        <v>45457</v>
      </c>
      <c r="B128" t="s">
        <v>137</v>
      </c>
      <c r="C128" s="2">
        <v>4.05</v>
      </c>
      <c r="D128" s="2">
        <v>4.2</v>
      </c>
      <c r="E128" s="2">
        <v>2.37</v>
      </c>
      <c r="F128" s="6">
        <v>1.2666999999999999</v>
      </c>
      <c r="G128" s="6">
        <v>1.1852</v>
      </c>
      <c r="J128" s="2">
        <f t="shared" si="3"/>
        <v>-0.15000000000000036</v>
      </c>
      <c r="K128" s="2">
        <f t="shared" si="4"/>
        <v>1.6799999999999997</v>
      </c>
    </row>
    <row r="129" spans="1:11" x14ac:dyDescent="0.25">
      <c r="A129" s="4">
        <f t="shared" si="5"/>
        <v>45460</v>
      </c>
      <c r="B129" t="s">
        <v>138</v>
      </c>
      <c r="C129" s="2">
        <v>4.1100000000000003</v>
      </c>
      <c r="D129" s="2">
        <v>4.28</v>
      </c>
      <c r="E129" s="2">
        <v>2.41</v>
      </c>
      <c r="F129" s="6">
        <v>1.268</v>
      </c>
      <c r="G129" s="6">
        <v>1.1833</v>
      </c>
      <c r="J129" s="2">
        <f t="shared" si="3"/>
        <v>-0.16999999999999993</v>
      </c>
      <c r="K129" s="2">
        <f t="shared" si="4"/>
        <v>1.7000000000000002</v>
      </c>
    </row>
    <row r="130" spans="1:11" x14ac:dyDescent="0.25">
      <c r="A130" s="4">
        <f t="shared" si="5"/>
        <v>45461</v>
      </c>
      <c r="B130" t="s">
        <v>139</v>
      </c>
      <c r="C130" s="2">
        <v>4.04</v>
      </c>
      <c r="D130" s="2">
        <v>4.22</v>
      </c>
      <c r="E130" s="2">
        <v>2.39</v>
      </c>
      <c r="F130" s="6">
        <v>1.2689999999999999</v>
      </c>
      <c r="G130" s="6">
        <v>1.1817</v>
      </c>
      <c r="J130" s="2">
        <f t="shared" si="3"/>
        <v>-0.17999999999999972</v>
      </c>
      <c r="K130" s="2">
        <f t="shared" si="4"/>
        <v>1.65</v>
      </c>
    </row>
    <row r="131" spans="1:11" x14ac:dyDescent="0.25">
      <c r="A131" s="4">
        <f t="shared" si="5"/>
        <v>45462</v>
      </c>
      <c r="B131" t="s">
        <v>140</v>
      </c>
      <c r="C131" s="2">
        <v>4.07</v>
      </c>
      <c r="D131" s="2" t="e">
        <v>#N/A</v>
      </c>
      <c r="E131" s="2">
        <v>2.41</v>
      </c>
      <c r="F131" s="6">
        <v>1.2732000000000001</v>
      </c>
      <c r="G131" s="6">
        <v>1.1845000000000001</v>
      </c>
      <c r="J131" s="2" t="e">
        <f t="shared" si="3"/>
        <v>#N/A</v>
      </c>
      <c r="K131" s="2">
        <f t="shared" si="4"/>
        <v>1.6600000000000001</v>
      </c>
    </row>
    <row r="132" spans="1:11" x14ac:dyDescent="0.25">
      <c r="A132" s="4">
        <f t="shared" si="5"/>
        <v>45463</v>
      </c>
      <c r="B132" t="s">
        <v>141</v>
      </c>
      <c r="C132" s="2">
        <v>4.05</v>
      </c>
      <c r="D132" s="2">
        <v>4.25</v>
      </c>
      <c r="E132" s="2">
        <v>2.42</v>
      </c>
      <c r="F132" s="6">
        <v>1.2685999999999999</v>
      </c>
      <c r="G132" s="6">
        <v>1.1831</v>
      </c>
      <c r="J132" s="2">
        <f t="shared" si="3"/>
        <v>-0.20000000000000018</v>
      </c>
      <c r="K132" s="2">
        <f t="shared" si="4"/>
        <v>1.63</v>
      </c>
    </row>
    <row r="133" spans="1:11" x14ac:dyDescent="0.25">
      <c r="A133" s="4">
        <f t="shared" si="5"/>
        <v>45464</v>
      </c>
      <c r="B133" t="s">
        <v>142</v>
      </c>
      <c r="C133" s="2">
        <v>4.07</v>
      </c>
      <c r="D133" s="2">
        <v>4.25</v>
      </c>
      <c r="E133" s="2">
        <v>2.4</v>
      </c>
      <c r="F133" s="6">
        <v>1.2625999999999999</v>
      </c>
      <c r="G133" s="6">
        <v>1.1819999999999999</v>
      </c>
      <c r="J133" s="2">
        <f t="shared" si="3"/>
        <v>-0.17999999999999972</v>
      </c>
      <c r="K133" s="2">
        <f t="shared" si="4"/>
        <v>1.6700000000000004</v>
      </c>
    </row>
    <row r="134" spans="1:11" x14ac:dyDescent="0.25">
      <c r="A134" s="4">
        <f t="shared" si="5"/>
        <v>45467</v>
      </c>
      <c r="B134" t="s">
        <v>143</v>
      </c>
      <c r="C134" s="2">
        <v>4.07</v>
      </c>
      <c r="D134" s="2">
        <v>4.25</v>
      </c>
      <c r="E134" s="2">
        <v>2.41</v>
      </c>
      <c r="F134" s="6">
        <v>1.2687999999999999</v>
      </c>
      <c r="G134" s="6">
        <v>1.1823999999999999</v>
      </c>
      <c r="J134" s="2">
        <f t="shared" si="3"/>
        <v>-0.17999999999999972</v>
      </c>
      <c r="K134" s="2">
        <f t="shared" si="4"/>
        <v>1.6600000000000001</v>
      </c>
    </row>
    <row r="135" spans="1:11" x14ac:dyDescent="0.25">
      <c r="A135" s="4">
        <f t="shared" si="5"/>
        <v>45468</v>
      </c>
      <c r="B135" t="s">
        <v>144</v>
      </c>
      <c r="C135" s="2">
        <v>4.07</v>
      </c>
      <c r="D135" s="2">
        <v>4.2300000000000004</v>
      </c>
      <c r="E135" s="2">
        <v>2.4</v>
      </c>
      <c r="F135" s="6">
        <v>1.2672000000000001</v>
      </c>
      <c r="G135" s="6">
        <v>1.1840999999999999</v>
      </c>
      <c r="J135" s="2">
        <f t="shared" si="3"/>
        <v>-0.16000000000000014</v>
      </c>
      <c r="K135" s="2">
        <f t="shared" si="4"/>
        <v>1.6700000000000004</v>
      </c>
    </row>
    <row r="136" spans="1:11" x14ac:dyDescent="0.25">
      <c r="A136" s="4">
        <f t="shared" si="5"/>
        <v>45469</v>
      </c>
      <c r="B136" t="s">
        <v>145</v>
      </c>
      <c r="C136" s="2">
        <v>4.13</v>
      </c>
      <c r="D136" s="2">
        <v>4.32</v>
      </c>
      <c r="E136" s="2">
        <v>2.46</v>
      </c>
      <c r="F136" s="6">
        <v>1.2623</v>
      </c>
      <c r="G136" s="6">
        <v>1.1819</v>
      </c>
      <c r="J136" s="2">
        <f t="shared" si="3"/>
        <v>-0.19000000000000039</v>
      </c>
      <c r="K136" s="2">
        <f t="shared" si="4"/>
        <v>1.67</v>
      </c>
    </row>
    <row r="137" spans="1:11" x14ac:dyDescent="0.25">
      <c r="A137" s="4">
        <f t="shared" si="5"/>
        <v>45470</v>
      </c>
      <c r="B137" t="s">
        <v>146</v>
      </c>
      <c r="C137" s="2">
        <v>4.13</v>
      </c>
      <c r="D137" s="2">
        <v>4.29</v>
      </c>
      <c r="E137" s="2">
        <v>2.4500000000000002</v>
      </c>
      <c r="F137" s="6">
        <v>1.2650999999999999</v>
      </c>
      <c r="G137" s="6">
        <v>1.1809000000000001</v>
      </c>
      <c r="J137" s="2">
        <f t="shared" ref="J137:J200" si="6">C137-D137</f>
        <v>-0.16000000000000014</v>
      </c>
      <c r="K137" s="2">
        <f t="shared" ref="K137:K200" si="7">C137-E137</f>
        <v>1.6799999999999997</v>
      </c>
    </row>
    <row r="138" spans="1:11" x14ac:dyDescent="0.25">
      <c r="A138" s="4">
        <f t="shared" si="5"/>
        <v>45471</v>
      </c>
      <c r="B138" t="s">
        <v>147</v>
      </c>
      <c r="C138" s="2">
        <v>4.17</v>
      </c>
      <c r="D138" s="2">
        <v>4.3600000000000003</v>
      </c>
      <c r="E138" s="2">
        <v>2.5</v>
      </c>
      <c r="F138" s="6">
        <v>1.2642</v>
      </c>
      <c r="G138" s="6">
        <v>1.1796</v>
      </c>
      <c r="J138" s="2">
        <f t="shared" si="6"/>
        <v>-0.19000000000000039</v>
      </c>
      <c r="K138" s="2">
        <f t="shared" si="7"/>
        <v>1.67</v>
      </c>
    </row>
    <row r="139" spans="1:11" x14ac:dyDescent="0.25">
      <c r="A139" s="4">
        <f t="shared" si="5"/>
        <v>45474</v>
      </c>
      <c r="B139" t="s">
        <v>148</v>
      </c>
      <c r="C139" s="2">
        <v>4.28</v>
      </c>
      <c r="D139" s="2">
        <v>4.4800000000000004</v>
      </c>
      <c r="E139" s="2">
        <v>2.61</v>
      </c>
      <c r="F139" s="6">
        <v>1.2646999999999999</v>
      </c>
      <c r="G139" s="6">
        <v>1.1786000000000001</v>
      </c>
      <c r="J139" s="2">
        <f t="shared" si="6"/>
        <v>-0.20000000000000018</v>
      </c>
      <c r="K139" s="2">
        <f t="shared" si="7"/>
        <v>1.6700000000000004</v>
      </c>
    </row>
    <row r="140" spans="1:11" x14ac:dyDescent="0.25">
      <c r="A140" s="4">
        <f t="shared" si="5"/>
        <v>45475</v>
      </c>
      <c r="B140" t="s">
        <v>149</v>
      </c>
      <c r="C140" s="2">
        <v>4.24</v>
      </c>
      <c r="D140" s="2">
        <v>4.43</v>
      </c>
      <c r="E140" s="2">
        <v>2.6</v>
      </c>
      <c r="F140" s="6">
        <v>1.2676000000000001</v>
      </c>
      <c r="G140" s="6">
        <v>1.1798999999999999</v>
      </c>
      <c r="J140" s="2">
        <f t="shared" si="6"/>
        <v>-0.1899999999999995</v>
      </c>
      <c r="K140" s="2">
        <f t="shared" si="7"/>
        <v>1.6400000000000001</v>
      </c>
    </row>
    <row r="141" spans="1:11" x14ac:dyDescent="0.25">
      <c r="A141" s="4">
        <f t="shared" si="5"/>
        <v>45476</v>
      </c>
      <c r="B141" t="s">
        <v>150</v>
      </c>
      <c r="C141" s="2">
        <v>4.16</v>
      </c>
      <c r="D141" s="2">
        <v>4.3600000000000003</v>
      </c>
      <c r="E141" s="2">
        <v>2.56</v>
      </c>
      <c r="F141" s="6">
        <v>1.2762</v>
      </c>
      <c r="G141" s="6">
        <v>1.181</v>
      </c>
      <c r="J141" s="2">
        <f t="shared" si="6"/>
        <v>-0.20000000000000018</v>
      </c>
      <c r="K141" s="2">
        <f t="shared" si="7"/>
        <v>1.6</v>
      </c>
    </row>
    <row r="142" spans="1:11" x14ac:dyDescent="0.25">
      <c r="A142" s="4">
        <f t="shared" si="5"/>
        <v>45477</v>
      </c>
      <c r="B142" t="s">
        <v>151</v>
      </c>
      <c r="C142" s="2">
        <v>4.2</v>
      </c>
      <c r="D142" s="2" t="e">
        <v>#N/A</v>
      </c>
      <c r="E142" s="2">
        <v>2.59</v>
      </c>
      <c r="F142" s="6">
        <v>1.2762</v>
      </c>
      <c r="G142" s="6">
        <v>1.1808000000000001</v>
      </c>
      <c r="J142" s="2" t="e">
        <f t="shared" si="6"/>
        <v>#N/A</v>
      </c>
      <c r="K142" s="2">
        <f t="shared" si="7"/>
        <v>1.6100000000000003</v>
      </c>
    </row>
    <row r="143" spans="1:11" x14ac:dyDescent="0.25">
      <c r="A143" s="4">
        <f t="shared" ref="A143:A206" si="8">+A138+7</f>
        <v>45478</v>
      </c>
      <c r="B143" t="s">
        <v>152</v>
      </c>
      <c r="C143" s="2">
        <v>4.1399999999999997</v>
      </c>
      <c r="D143" s="2">
        <v>4.28</v>
      </c>
      <c r="E143" s="2">
        <v>2.5299999999999998</v>
      </c>
      <c r="F143" s="6">
        <v>1.2798</v>
      </c>
      <c r="G143" s="6">
        <v>1.1823999999999999</v>
      </c>
      <c r="J143" s="2">
        <f t="shared" si="6"/>
        <v>-0.14000000000000057</v>
      </c>
      <c r="K143" s="2">
        <f t="shared" si="7"/>
        <v>1.6099999999999999</v>
      </c>
    </row>
    <row r="144" spans="1:11" x14ac:dyDescent="0.25">
      <c r="A144" s="4">
        <f t="shared" si="8"/>
        <v>45481</v>
      </c>
      <c r="B144" t="s">
        <v>153</v>
      </c>
      <c r="C144" s="2">
        <v>4.1100000000000003</v>
      </c>
      <c r="D144" s="2">
        <v>4.28</v>
      </c>
      <c r="E144" s="2">
        <v>2.5099999999999998</v>
      </c>
      <c r="F144" s="6">
        <v>1.2833000000000001</v>
      </c>
      <c r="G144" s="6">
        <v>1.1843999999999999</v>
      </c>
      <c r="J144" s="2">
        <f t="shared" si="6"/>
        <v>-0.16999999999999993</v>
      </c>
      <c r="K144" s="2">
        <f t="shared" si="7"/>
        <v>1.6000000000000005</v>
      </c>
    </row>
    <row r="145" spans="1:11" x14ac:dyDescent="0.25">
      <c r="A145" s="4">
        <f t="shared" si="8"/>
        <v>45482</v>
      </c>
      <c r="B145" t="s">
        <v>154</v>
      </c>
      <c r="C145" s="2">
        <v>4.16</v>
      </c>
      <c r="D145" s="2">
        <v>4.3</v>
      </c>
      <c r="E145" s="2">
        <v>2.5499999999999998</v>
      </c>
      <c r="F145" s="6">
        <v>1.2797000000000001</v>
      </c>
      <c r="G145" s="6">
        <v>1.1832</v>
      </c>
      <c r="J145" s="2">
        <f t="shared" si="6"/>
        <v>-0.13999999999999968</v>
      </c>
      <c r="K145" s="2">
        <f t="shared" si="7"/>
        <v>1.6100000000000003</v>
      </c>
    </row>
    <row r="146" spans="1:11" x14ac:dyDescent="0.25">
      <c r="A146" s="4">
        <f t="shared" si="8"/>
        <v>45483</v>
      </c>
      <c r="B146" t="s">
        <v>155</v>
      </c>
      <c r="C146" s="2">
        <v>4.12</v>
      </c>
      <c r="D146" s="2">
        <v>4.28</v>
      </c>
      <c r="E146" s="2">
        <v>2.5299999999999998</v>
      </c>
      <c r="F146" s="6">
        <v>1.2829999999999999</v>
      </c>
      <c r="G146" s="6">
        <v>1.1854</v>
      </c>
      <c r="J146" s="2">
        <f t="shared" si="6"/>
        <v>-0.16000000000000014</v>
      </c>
      <c r="K146" s="2">
        <f t="shared" si="7"/>
        <v>1.5900000000000003</v>
      </c>
    </row>
    <row r="147" spans="1:11" x14ac:dyDescent="0.25">
      <c r="A147" s="4">
        <f t="shared" si="8"/>
        <v>45484</v>
      </c>
      <c r="B147" t="s">
        <v>156</v>
      </c>
      <c r="C147" s="2">
        <v>4.08</v>
      </c>
      <c r="D147" s="2">
        <v>4.2</v>
      </c>
      <c r="E147" s="2">
        <v>2.4900000000000002</v>
      </c>
      <c r="F147" s="6">
        <v>1.2924</v>
      </c>
      <c r="G147" s="6">
        <v>1.1879999999999999</v>
      </c>
      <c r="J147" s="2">
        <f t="shared" si="6"/>
        <v>-0.12000000000000011</v>
      </c>
      <c r="K147" s="2">
        <f t="shared" si="7"/>
        <v>1.5899999999999999</v>
      </c>
    </row>
    <row r="148" spans="1:11" x14ac:dyDescent="0.25">
      <c r="A148" s="4">
        <f t="shared" si="8"/>
        <v>45485</v>
      </c>
      <c r="B148" t="s">
        <v>157</v>
      </c>
      <c r="C148" s="2">
        <v>4.12</v>
      </c>
      <c r="D148" s="2">
        <v>4.18</v>
      </c>
      <c r="E148" s="2">
        <v>2.4900000000000002</v>
      </c>
      <c r="F148" s="6">
        <v>1.2988999999999999</v>
      </c>
      <c r="G148" s="6">
        <v>1.1907000000000001</v>
      </c>
      <c r="J148" s="2">
        <f t="shared" si="6"/>
        <v>-5.9999999999999609E-2</v>
      </c>
      <c r="K148" s="2">
        <f t="shared" si="7"/>
        <v>1.63</v>
      </c>
    </row>
    <row r="149" spans="1:11" x14ac:dyDescent="0.25">
      <c r="A149" s="4">
        <f t="shared" si="8"/>
        <v>45488</v>
      </c>
      <c r="B149" t="s">
        <v>158</v>
      </c>
      <c r="C149" s="2">
        <v>4.1100000000000003</v>
      </c>
      <c r="D149" s="2">
        <v>4.2300000000000004</v>
      </c>
      <c r="E149" s="2">
        <v>2.48</v>
      </c>
      <c r="F149" s="6">
        <v>1.2984</v>
      </c>
      <c r="G149" s="6">
        <v>1.1893</v>
      </c>
      <c r="J149" s="2">
        <f t="shared" si="6"/>
        <v>-0.12000000000000011</v>
      </c>
      <c r="K149" s="2">
        <f t="shared" si="7"/>
        <v>1.6300000000000003</v>
      </c>
    </row>
    <row r="150" spans="1:11" x14ac:dyDescent="0.25">
      <c r="A150" s="4">
        <f t="shared" si="8"/>
        <v>45489</v>
      </c>
      <c r="B150" t="s">
        <v>159</v>
      </c>
      <c r="C150" s="2">
        <v>4.05</v>
      </c>
      <c r="D150" s="2">
        <v>4.17</v>
      </c>
      <c r="E150" s="2">
        <v>2.42</v>
      </c>
      <c r="F150" s="6">
        <v>1.2948</v>
      </c>
      <c r="G150" s="6">
        <v>1.1900999999999999</v>
      </c>
      <c r="J150" s="2">
        <f t="shared" si="6"/>
        <v>-0.12000000000000011</v>
      </c>
      <c r="K150" s="2">
        <f t="shared" si="7"/>
        <v>1.63</v>
      </c>
    </row>
    <row r="151" spans="1:11" x14ac:dyDescent="0.25">
      <c r="A151" s="4">
        <f t="shared" si="8"/>
        <v>45490</v>
      </c>
      <c r="B151" t="s">
        <v>160</v>
      </c>
      <c r="C151" s="2">
        <v>4.07</v>
      </c>
      <c r="D151" s="2">
        <v>4.16</v>
      </c>
      <c r="E151" s="2">
        <v>2.42</v>
      </c>
      <c r="F151" s="6">
        <v>1.3013999999999999</v>
      </c>
      <c r="G151" s="6">
        <v>1.1902999999999999</v>
      </c>
      <c r="J151" s="2">
        <f t="shared" si="6"/>
        <v>-8.9999999999999858E-2</v>
      </c>
      <c r="K151" s="2">
        <f t="shared" si="7"/>
        <v>1.6500000000000004</v>
      </c>
    </row>
    <row r="152" spans="1:11" x14ac:dyDescent="0.25">
      <c r="A152" s="4">
        <f t="shared" si="8"/>
        <v>45491</v>
      </c>
      <c r="B152" t="s">
        <v>161</v>
      </c>
      <c r="C152" s="2">
        <v>4.07</v>
      </c>
      <c r="D152" s="2">
        <v>4.2</v>
      </c>
      <c r="E152" s="2">
        <v>2.44</v>
      </c>
      <c r="F152" s="6">
        <v>1.2978000000000001</v>
      </c>
      <c r="G152" s="6">
        <v>1.1891</v>
      </c>
      <c r="J152" s="2">
        <f t="shared" si="6"/>
        <v>-0.12999999999999989</v>
      </c>
      <c r="K152" s="2">
        <f t="shared" si="7"/>
        <v>1.6300000000000003</v>
      </c>
    </row>
    <row r="153" spans="1:11" x14ac:dyDescent="0.25">
      <c r="A153" s="4">
        <f t="shared" si="8"/>
        <v>45492</v>
      </c>
      <c r="B153" t="s">
        <v>162</v>
      </c>
      <c r="C153" s="2">
        <v>4.13</v>
      </c>
      <c r="D153" s="2">
        <v>4.25</v>
      </c>
      <c r="E153" s="2">
        <v>2.4700000000000002</v>
      </c>
      <c r="F153" s="6">
        <v>1.2917000000000001</v>
      </c>
      <c r="G153" s="6">
        <v>1.1860999999999999</v>
      </c>
      <c r="J153" s="2">
        <f t="shared" si="6"/>
        <v>-0.12000000000000011</v>
      </c>
      <c r="K153" s="2">
        <f t="shared" si="7"/>
        <v>1.6599999999999997</v>
      </c>
    </row>
    <row r="154" spans="1:11" x14ac:dyDescent="0.25">
      <c r="A154" s="4">
        <f t="shared" si="8"/>
        <v>45495</v>
      </c>
      <c r="B154" t="s">
        <v>163</v>
      </c>
      <c r="C154" s="2">
        <v>4.17</v>
      </c>
      <c r="D154" s="2">
        <v>4.26</v>
      </c>
      <c r="E154" s="2">
        <v>2.4900000000000002</v>
      </c>
      <c r="F154" s="6">
        <v>1.2912999999999999</v>
      </c>
      <c r="G154" s="6">
        <v>1.1862999999999999</v>
      </c>
      <c r="J154" s="2">
        <f t="shared" si="6"/>
        <v>-8.9999999999999858E-2</v>
      </c>
      <c r="K154" s="2">
        <f t="shared" si="7"/>
        <v>1.6799999999999997</v>
      </c>
    </row>
    <row r="155" spans="1:11" x14ac:dyDescent="0.25">
      <c r="A155" s="4">
        <f t="shared" si="8"/>
        <v>45496</v>
      </c>
      <c r="B155" t="s">
        <v>164</v>
      </c>
      <c r="C155" s="2">
        <v>4.13</v>
      </c>
      <c r="D155" s="2">
        <v>4.25</v>
      </c>
      <c r="E155" s="2">
        <v>2.4500000000000002</v>
      </c>
      <c r="F155" s="6">
        <v>1.2907999999999999</v>
      </c>
      <c r="G155" s="6">
        <v>1.1901999999999999</v>
      </c>
      <c r="J155" s="2">
        <f t="shared" si="6"/>
        <v>-0.12000000000000011</v>
      </c>
      <c r="K155" s="2">
        <f t="shared" si="7"/>
        <v>1.6799999999999997</v>
      </c>
    </row>
    <row r="156" spans="1:11" x14ac:dyDescent="0.25">
      <c r="A156" s="4">
        <f t="shared" si="8"/>
        <v>45497</v>
      </c>
      <c r="B156" t="s">
        <v>165</v>
      </c>
      <c r="C156" s="2">
        <v>4.16</v>
      </c>
      <c r="D156" s="2">
        <v>4.28</v>
      </c>
      <c r="E156" s="2">
        <v>2.46</v>
      </c>
      <c r="F156" s="6">
        <v>1.2918000000000001</v>
      </c>
      <c r="G156" s="6">
        <v>1.1901999999999999</v>
      </c>
      <c r="J156" s="2">
        <f t="shared" si="6"/>
        <v>-0.12000000000000011</v>
      </c>
      <c r="K156" s="2">
        <f t="shared" si="7"/>
        <v>1.7000000000000002</v>
      </c>
    </row>
    <row r="157" spans="1:11" x14ac:dyDescent="0.25">
      <c r="A157" s="4">
        <f t="shared" si="8"/>
        <v>45498</v>
      </c>
      <c r="B157" t="s">
        <v>166</v>
      </c>
      <c r="C157" s="2">
        <v>4.1399999999999997</v>
      </c>
      <c r="D157" s="2">
        <v>4.2699999999999996</v>
      </c>
      <c r="E157" s="2">
        <v>2.44</v>
      </c>
      <c r="F157" s="6">
        <v>1.2877000000000001</v>
      </c>
      <c r="G157" s="6">
        <v>1.1861999999999999</v>
      </c>
      <c r="J157" s="2">
        <f t="shared" si="6"/>
        <v>-0.12999999999999989</v>
      </c>
      <c r="K157" s="2">
        <f t="shared" si="7"/>
        <v>1.6999999999999997</v>
      </c>
    </row>
    <row r="158" spans="1:11" x14ac:dyDescent="0.25">
      <c r="A158" s="4">
        <f t="shared" si="8"/>
        <v>45499</v>
      </c>
      <c r="B158" t="s">
        <v>167</v>
      </c>
      <c r="C158" s="2">
        <v>4.0999999999999996</v>
      </c>
      <c r="D158" s="2">
        <v>4.2</v>
      </c>
      <c r="E158" s="2">
        <v>2.4</v>
      </c>
      <c r="F158" s="6">
        <v>1.2853000000000001</v>
      </c>
      <c r="G158" s="6">
        <v>1.1839999999999999</v>
      </c>
      <c r="J158" s="2">
        <f t="shared" si="6"/>
        <v>-0.10000000000000053</v>
      </c>
      <c r="K158" s="2">
        <f t="shared" si="7"/>
        <v>1.6999999999999997</v>
      </c>
    </row>
    <row r="159" spans="1:11" x14ac:dyDescent="0.25">
      <c r="A159" s="4">
        <f t="shared" si="8"/>
        <v>45502</v>
      </c>
      <c r="B159" t="s">
        <v>168</v>
      </c>
      <c r="C159" s="2">
        <v>4.05</v>
      </c>
      <c r="D159" s="2">
        <v>4.17</v>
      </c>
      <c r="E159" s="2">
        <v>2.36</v>
      </c>
      <c r="F159" s="6">
        <v>1.2847</v>
      </c>
      <c r="G159" s="6">
        <v>1.1878</v>
      </c>
      <c r="J159" s="2">
        <f t="shared" si="6"/>
        <v>-0.12000000000000011</v>
      </c>
      <c r="K159" s="2">
        <f t="shared" si="7"/>
        <v>1.69</v>
      </c>
    </row>
    <row r="160" spans="1:11" x14ac:dyDescent="0.25">
      <c r="A160" s="4">
        <f t="shared" si="8"/>
        <v>45503</v>
      </c>
      <c r="B160" t="s">
        <v>169</v>
      </c>
      <c r="C160" s="2">
        <v>4.03</v>
      </c>
      <c r="D160" s="2">
        <v>4.1500000000000004</v>
      </c>
      <c r="E160" s="2">
        <v>2.34</v>
      </c>
      <c r="F160" s="6">
        <v>1.2827999999999999</v>
      </c>
      <c r="G160" s="6">
        <v>1.1872</v>
      </c>
      <c r="J160" s="2">
        <f t="shared" si="6"/>
        <v>-0.12000000000000011</v>
      </c>
      <c r="K160" s="2">
        <f t="shared" si="7"/>
        <v>1.6900000000000004</v>
      </c>
    </row>
    <row r="161" spans="1:11" x14ac:dyDescent="0.25">
      <c r="A161" s="4">
        <f t="shared" si="8"/>
        <v>45504</v>
      </c>
      <c r="B161" t="s">
        <v>170</v>
      </c>
      <c r="C161" s="2">
        <v>3.96</v>
      </c>
      <c r="D161" s="2">
        <v>4.09</v>
      </c>
      <c r="E161" s="2">
        <v>2.29</v>
      </c>
      <c r="F161" s="6">
        <v>1.2844</v>
      </c>
      <c r="G161" s="6">
        <v>1.1869000000000001</v>
      </c>
      <c r="J161" s="2">
        <f t="shared" si="6"/>
        <v>-0.12999999999999989</v>
      </c>
      <c r="K161" s="2">
        <f t="shared" si="7"/>
        <v>1.67</v>
      </c>
    </row>
    <row r="162" spans="1:11" x14ac:dyDescent="0.25">
      <c r="A162" s="4">
        <f t="shared" si="8"/>
        <v>45505</v>
      </c>
      <c r="B162" t="s">
        <v>171</v>
      </c>
      <c r="C162" s="2">
        <v>3.89</v>
      </c>
      <c r="D162" s="2">
        <v>3.99</v>
      </c>
      <c r="E162" s="2">
        <v>2.25</v>
      </c>
      <c r="F162" s="6">
        <v>1.2793000000000001</v>
      </c>
      <c r="G162" s="6">
        <v>1.1854</v>
      </c>
      <c r="J162" s="2">
        <f t="shared" si="6"/>
        <v>-0.10000000000000009</v>
      </c>
      <c r="K162" s="2">
        <f t="shared" si="7"/>
        <v>1.6400000000000001</v>
      </c>
    </row>
    <row r="163" spans="1:11" x14ac:dyDescent="0.25">
      <c r="A163" s="4">
        <f t="shared" si="8"/>
        <v>45506</v>
      </c>
      <c r="B163" t="s">
        <v>172</v>
      </c>
      <c r="C163" s="2">
        <v>3.83</v>
      </c>
      <c r="D163" s="2">
        <v>3.8</v>
      </c>
      <c r="E163" s="2">
        <v>2.17</v>
      </c>
      <c r="F163" s="6">
        <v>1.2806999999999999</v>
      </c>
      <c r="G163" s="6">
        <v>1.1725000000000001</v>
      </c>
      <c r="J163" s="2">
        <f t="shared" si="6"/>
        <v>3.0000000000000249E-2</v>
      </c>
      <c r="K163" s="2">
        <f t="shared" si="7"/>
        <v>1.6600000000000001</v>
      </c>
    </row>
    <row r="164" spans="1:11" x14ac:dyDescent="0.25">
      <c r="A164" s="4">
        <f t="shared" si="8"/>
        <v>45509</v>
      </c>
      <c r="B164" t="s">
        <v>173</v>
      </c>
      <c r="C164" s="2">
        <v>3.88</v>
      </c>
      <c r="D164" s="2">
        <v>3.78</v>
      </c>
      <c r="E164" s="2">
        <v>2.1800000000000002</v>
      </c>
      <c r="F164" s="6">
        <v>1.2759</v>
      </c>
      <c r="G164" s="6">
        <v>1.1620999999999999</v>
      </c>
      <c r="J164" s="2">
        <f t="shared" si="6"/>
        <v>0.10000000000000009</v>
      </c>
      <c r="K164" s="2">
        <f t="shared" si="7"/>
        <v>1.6999999999999997</v>
      </c>
    </row>
    <row r="165" spans="1:11" x14ac:dyDescent="0.25">
      <c r="A165" s="4">
        <f t="shared" si="8"/>
        <v>45510</v>
      </c>
      <c r="B165" t="s">
        <v>174</v>
      </c>
      <c r="C165" s="2">
        <v>3.93</v>
      </c>
      <c r="D165" s="2">
        <v>3.9</v>
      </c>
      <c r="E165" s="2">
        <v>2.2200000000000002</v>
      </c>
      <c r="F165" s="6">
        <v>1.2706</v>
      </c>
      <c r="G165" s="6">
        <v>1.1619999999999999</v>
      </c>
      <c r="J165" s="2">
        <f t="shared" si="6"/>
        <v>3.0000000000000249E-2</v>
      </c>
      <c r="K165" s="2">
        <f t="shared" si="7"/>
        <v>1.71</v>
      </c>
    </row>
    <row r="166" spans="1:11" x14ac:dyDescent="0.25">
      <c r="A166" s="4">
        <f t="shared" si="8"/>
        <v>45511</v>
      </c>
      <c r="B166" t="s">
        <v>175</v>
      </c>
      <c r="C166" s="2">
        <v>3.95</v>
      </c>
      <c r="D166" s="2">
        <v>3.96</v>
      </c>
      <c r="E166" s="2">
        <v>2.27</v>
      </c>
      <c r="F166" s="6">
        <v>1.2721</v>
      </c>
      <c r="G166" s="6">
        <v>1.1637</v>
      </c>
      <c r="J166" s="2">
        <f t="shared" si="6"/>
        <v>-9.9999999999997868E-3</v>
      </c>
      <c r="K166" s="2">
        <f t="shared" si="7"/>
        <v>1.6800000000000002</v>
      </c>
    </row>
    <row r="167" spans="1:11" x14ac:dyDescent="0.25">
      <c r="A167" s="4">
        <f t="shared" si="8"/>
        <v>45512</v>
      </c>
      <c r="B167" t="s">
        <v>176</v>
      </c>
      <c r="C167" s="2">
        <v>3.99</v>
      </c>
      <c r="D167" s="2">
        <v>3.99</v>
      </c>
      <c r="E167" s="2">
        <v>2.27</v>
      </c>
      <c r="F167" s="6">
        <v>1.2715000000000001</v>
      </c>
      <c r="G167" s="6">
        <v>1.1657999999999999</v>
      </c>
      <c r="J167" s="2">
        <f t="shared" si="6"/>
        <v>0</v>
      </c>
      <c r="K167" s="2">
        <f t="shared" si="7"/>
        <v>1.7200000000000002</v>
      </c>
    </row>
    <row r="168" spans="1:11" x14ac:dyDescent="0.25">
      <c r="A168" s="4">
        <f t="shared" si="8"/>
        <v>45513</v>
      </c>
      <c r="B168" t="s">
        <v>177</v>
      </c>
      <c r="C168" s="2">
        <v>3.95</v>
      </c>
      <c r="D168" s="2">
        <v>3.94</v>
      </c>
      <c r="E168" s="2">
        <v>2.23</v>
      </c>
      <c r="F168" s="6">
        <v>1.2764</v>
      </c>
      <c r="G168" s="6">
        <v>1.1686000000000001</v>
      </c>
      <c r="J168" s="2">
        <f t="shared" si="6"/>
        <v>1.0000000000000231E-2</v>
      </c>
      <c r="K168" s="2">
        <f t="shared" si="7"/>
        <v>1.7200000000000002</v>
      </c>
    </row>
    <row r="169" spans="1:11" x14ac:dyDescent="0.25">
      <c r="A169" s="4">
        <f t="shared" si="8"/>
        <v>45516</v>
      </c>
      <c r="B169" t="s">
        <v>178</v>
      </c>
      <c r="C169" s="2">
        <v>3.92</v>
      </c>
      <c r="D169" s="2">
        <v>3.9</v>
      </c>
      <c r="E169" s="2">
        <v>2.2200000000000002</v>
      </c>
      <c r="F169" s="6">
        <v>1.2785</v>
      </c>
      <c r="G169" s="6">
        <v>1.1695</v>
      </c>
      <c r="J169" s="2">
        <f t="shared" si="6"/>
        <v>2.0000000000000018E-2</v>
      </c>
      <c r="K169" s="2">
        <f t="shared" si="7"/>
        <v>1.6999999999999997</v>
      </c>
    </row>
    <row r="170" spans="1:11" x14ac:dyDescent="0.25">
      <c r="A170" s="4">
        <f t="shared" si="8"/>
        <v>45517</v>
      </c>
      <c r="B170" t="s">
        <v>179</v>
      </c>
      <c r="C170" s="2">
        <v>3.89</v>
      </c>
      <c r="D170" s="2">
        <v>3.85</v>
      </c>
      <c r="E170" s="2">
        <v>2.1800000000000002</v>
      </c>
      <c r="F170" s="6">
        <v>1.2824</v>
      </c>
      <c r="G170" s="6">
        <v>1.1706000000000001</v>
      </c>
      <c r="J170" s="2">
        <f t="shared" si="6"/>
        <v>4.0000000000000036E-2</v>
      </c>
      <c r="K170" s="2">
        <f t="shared" si="7"/>
        <v>1.71</v>
      </c>
    </row>
    <row r="171" spans="1:11" x14ac:dyDescent="0.25">
      <c r="A171" s="4">
        <f t="shared" si="8"/>
        <v>45518</v>
      </c>
      <c r="B171" t="s">
        <v>180</v>
      </c>
      <c r="C171" s="2">
        <v>3.83</v>
      </c>
      <c r="D171" s="2">
        <v>3.83</v>
      </c>
      <c r="E171" s="2">
        <v>2.19</v>
      </c>
      <c r="F171" s="6">
        <v>1.2856000000000001</v>
      </c>
      <c r="G171" s="6">
        <v>1.1649</v>
      </c>
      <c r="J171" s="2">
        <f t="shared" si="6"/>
        <v>0</v>
      </c>
      <c r="K171" s="2">
        <f t="shared" si="7"/>
        <v>1.6400000000000001</v>
      </c>
    </row>
    <row r="172" spans="1:11" x14ac:dyDescent="0.25">
      <c r="A172" s="4">
        <f t="shared" si="8"/>
        <v>45519</v>
      </c>
      <c r="B172" t="s">
        <v>181</v>
      </c>
      <c r="C172" s="2">
        <v>3.92</v>
      </c>
      <c r="D172" s="2">
        <v>3.92</v>
      </c>
      <c r="E172" s="2">
        <v>2.2599999999999998</v>
      </c>
      <c r="F172" s="6">
        <v>1.2853000000000001</v>
      </c>
      <c r="G172" s="6">
        <v>1.1701999999999999</v>
      </c>
      <c r="J172" s="2">
        <f t="shared" si="6"/>
        <v>0</v>
      </c>
      <c r="K172" s="2">
        <f t="shared" si="7"/>
        <v>1.6600000000000001</v>
      </c>
    </row>
    <row r="173" spans="1:11" x14ac:dyDescent="0.25">
      <c r="A173" s="4">
        <f t="shared" si="8"/>
        <v>45520</v>
      </c>
      <c r="B173" t="s">
        <v>182</v>
      </c>
      <c r="C173" s="2">
        <v>3.92</v>
      </c>
      <c r="D173" s="2">
        <v>3.89</v>
      </c>
      <c r="E173" s="2">
        <v>2.25</v>
      </c>
      <c r="F173" s="6">
        <v>1.2889999999999999</v>
      </c>
      <c r="G173" s="6">
        <v>1.1728000000000001</v>
      </c>
      <c r="J173" s="2">
        <f t="shared" si="6"/>
        <v>2.9999999999999805E-2</v>
      </c>
      <c r="K173" s="2">
        <f t="shared" si="7"/>
        <v>1.67</v>
      </c>
    </row>
    <row r="174" spans="1:11" x14ac:dyDescent="0.25">
      <c r="A174" s="4">
        <f t="shared" si="8"/>
        <v>45523</v>
      </c>
      <c r="B174" t="s">
        <v>183</v>
      </c>
      <c r="C174" s="2">
        <v>3.92</v>
      </c>
      <c r="D174" s="2">
        <v>3.86</v>
      </c>
      <c r="E174" s="2">
        <v>2.25</v>
      </c>
      <c r="F174" s="6">
        <v>1.2986</v>
      </c>
      <c r="G174" s="6">
        <v>1.1736</v>
      </c>
      <c r="J174" s="2">
        <f t="shared" si="6"/>
        <v>6.0000000000000053E-2</v>
      </c>
      <c r="K174" s="2">
        <f t="shared" si="7"/>
        <v>1.67</v>
      </c>
    </row>
    <row r="175" spans="1:11" x14ac:dyDescent="0.25">
      <c r="A175" s="4">
        <f t="shared" si="8"/>
        <v>45524</v>
      </c>
      <c r="B175" t="s">
        <v>184</v>
      </c>
      <c r="C175" s="2">
        <v>3.91</v>
      </c>
      <c r="D175" s="2">
        <v>3.82</v>
      </c>
      <c r="E175" s="2">
        <v>2.21</v>
      </c>
      <c r="F175" s="6">
        <v>1.3030999999999999</v>
      </c>
      <c r="G175" s="6">
        <v>1.1727000000000001</v>
      </c>
      <c r="J175" s="2">
        <f t="shared" si="6"/>
        <v>9.0000000000000302E-2</v>
      </c>
      <c r="K175" s="2">
        <f t="shared" si="7"/>
        <v>1.7000000000000002</v>
      </c>
    </row>
    <row r="176" spans="1:11" x14ac:dyDescent="0.25">
      <c r="A176" s="4">
        <f t="shared" si="8"/>
        <v>45525</v>
      </c>
      <c r="B176" t="s">
        <v>185</v>
      </c>
      <c r="C176" s="2">
        <v>3.89</v>
      </c>
      <c r="D176" s="2">
        <v>3.79</v>
      </c>
      <c r="E176" s="2">
        <v>2.2000000000000002</v>
      </c>
      <c r="F176" s="6">
        <v>1.3061</v>
      </c>
      <c r="G176" s="6">
        <v>1.1739999999999999</v>
      </c>
      <c r="J176" s="2">
        <f t="shared" si="6"/>
        <v>0.10000000000000009</v>
      </c>
      <c r="K176" s="2">
        <f t="shared" si="7"/>
        <v>1.69</v>
      </c>
    </row>
    <row r="177" spans="1:11" x14ac:dyDescent="0.25">
      <c r="A177" s="4">
        <f t="shared" si="8"/>
        <v>45526</v>
      </c>
      <c r="B177" t="s">
        <v>186</v>
      </c>
      <c r="C177" s="2">
        <v>3.96</v>
      </c>
      <c r="D177" s="2">
        <v>3.86</v>
      </c>
      <c r="E177" s="2">
        <v>2.2599999999999998</v>
      </c>
      <c r="F177" s="6">
        <v>1.3103</v>
      </c>
      <c r="G177" s="6">
        <v>1.1788000000000001</v>
      </c>
      <c r="J177" s="2">
        <f t="shared" si="6"/>
        <v>0.10000000000000009</v>
      </c>
      <c r="K177" s="2">
        <f t="shared" si="7"/>
        <v>1.7000000000000002</v>
      </c>
    </row>
    <row r="178" spans="1:11" x14ac:dyDescent="0.25">
      <c r="A178" s="4">
        <f t="shared" si="8"/>
        <v>45527</v>
      </c>
      <c r="B178" t="s">
        <v>187</v>
      </c>
      <c r="C178" s="2">
        <v>3.92</v>
      </c>
      <c r="D178" s="2">
        <v>3.81</v>
      </c>
      <c r="E178" s="2">
        <v>2.23</v>
      </c>
      <c r="F178" s="6">
        <v>1.3189</v>
      </c>
      <c r="G178" s="6">
        <v>1.1800999999999999</v>
      </c>
      <c r="J178" s="2">
        <f t="shared" si="6"/>
        <v>0.10999999999999988</v>
      </c>
      <c r="K178" s="2">
        <f t="shared" si="7"/>
        <v>1.69</v>
      </c>
    </row>
    <row r="179" spans="1:11" x14ac:dyDescent="0.25">
      <c r="A179" s="4">
        <f t="shared" si="8"/>
        <v>45530</v>
      </c>
      <c r="B179" t="s">
        <v>188</v>
      </c>
      <c r="C179" s="2">
        <v>3.94</v>
      </c>
      <c r="D179" s="2">
        <v>3.82</v>
      </c>
      <c r="E179" s="2">
        <v>2.25</v>
      </c>
      <c r="F179" s="6" t="e">
        <v>#N/A</v>
      </c>
      <c r="G179" s="6" t="e">
        <v>#N/A</v>
      </c>
      <c r="J179" s="2">
        <f t="shared" si="6"/>
        <v>0.12000000000000011</v>
      </c>
      <c r="K179" s="2">
        <f t="shared" si="7"/>
        <v>1.69</v>
      </c>
    </row>
    <row r="180" spans="1:11" x14ac:dyDescent="0.25">
      <c r="A180" s="4">
        <f t="shared" si="8"/>
        <v>45531</v>
      </c>
      <c r="B180" t="s">
        <v>189</v>
      </c>
      <c r="C180" s="2">
        <v>3.99</v>
      </c>
      <c r="D180" s="2">
        <v>3.83</v>
      </c>
      <c r="E180" s="2">
        <v>2.2799999999999998</v>
      </c>
      <c r="F180" s="6">
        <v>1.3234999999999999</v>
      </c>
      <c r="G180" s="6">
        <v>1.1852</v>
      </c>
      <c r="J180" s="2">
        <f t="shared" si="6"/>
        <v>0.16000000000000014</v>
      </c>
      <c r="K180" s="2">
        <f t="shared" si="7"/>
        <v>1.7100000000000004</v>
      </c>
    </row>
    <row r="181" spans="1:11" x14ac:dyDescent="0.25">
      <c r="A181" s="4">
        <f t="shared" si="8"/>
        <v>45532</v>
      </c>
      <c r="B181" t="s">
        <v>190</v>
      </c>
      <c r="C181" s="2">
        <v>4.01</v>
      </c>
      <c r="D181" s="2">
        <v>3.84</v>
      </c>
      <c r="E181" s="2">
        <v>2.27</v>
      </c>
      <c r="F181" s="6">
        <v>1.3212999999999999</v>
      </c>
      <c r="G181" s="6">
        <v>1.1871</v>
      </c>
      <c r="J181" s="2">
        <f t="shared" si="6"/>
        <v>0.16999999999999993</v>
      </c>
      <c r="K181" s="2">
        <f t="shared" si="7"/>
        <v>1.7399999999999998</v>
      </c>
    </row>
    <row r="182" spans="1:11" x14ac:dyDescent="0.25">
      <c r="A182" s="4">
        <f t="shared" si="8"/>
        <v>45533</v>
      </c>
      <c r="B182" t="s">
        <v>191</v>
      </c>
      <c r="C182" s="2">
        <v>4.0199999999999996</v>
      </c>
      <c r="D182" s="2">
        <v>3.87</v>
      </c>
      <c r="E182" s="2">
        <v>2.27</v>
      </c>
      <c r="F182" s="6">
        <v>1.3154999999999999</v>
      </c>
      <c r="G182" s="6">
        <v>1.1883999999999999</v>
      </c>
      <c r="J182" s="2">
        <f t="shared" si="6"/>
        <v>0.14999999999999947</v>
      </c>
      <c r="K182" s="2">
        <f t="shared" si="7"/>
        <v>1.7499999999999996</v>
      </c>
    </row>
    <row r="183" spans="1:11" x14ac:dyDescent="0.25">
      <c r="A183" s="4">
        <f t="shared" si="8"/>
        <v>45534</v>
      </c>
      <c r="B183" t="s">
        <v>192</v>
      </c>
      <c r="C183" s="2">
        <v>4.03</v>
      </c>
      <c r="D183" s="2">
        <v>3.91</v>
      </c>
      <c r="E183" s="2">
        <v>2.2999999999999998</v>
      </c>
      <c r="F183" s="6">
        <v>1.3144</v>
      </c>
      <c r="G183" s="6">
        <v>1.1875</v>
      </c>
      <c r="J183" s="2">
        <f t="shared" si="6"/>
        <v>0.12000000000000011</v>
      </c>
      <c r="K183" s="2">
        <f t="shared" si="7"/>
        <v>1.7300000000000004</v>
      </c>
    </row>
    <row r="184" spans="1:11" x14ac:dyDescent="0.25">
      <c r="A184" s="4">
        <f t="shared" si="8"/>
        <v>45537</v>
      </c>
      <c r="B184" t="s">
        <v>193</v>
      </c>
      <c r="C184" s="2">
        <v>4.0599999999999996</v>
      </c>
      <c r="D184" s="2" t="e">
        <v>#N/A</v>
      </c>
      <c r="E184" s="2">
        <v>2.34</v>
      </c>
      <c r="F184" s="6">
        <v>1.3151999999999999</v>
      </c>
      <c r="G184" s="6">
        <v>1.1880999999999999</v>
      </c>
      <c r="J184" s="2" t="e">
        <f t="shared" si="6"/>
        <v>#N/A</v>
      </c>
      <c r="K184" s="2">
        <f t="shared" si="7"/>
        <v>1.7199999999999998</v>
      </c>
    </row>
    <row r="185" spans="1:11" x14ac:dyDescent="0.25">
      <c r="A185" s="4">
        <f t="shared" si="8"/>
        <v>45538</v>
      </c>
      <c r="B185" t="s">
        <v>194</v>
      </c>
      <c r="C185" s="2">
        <v>3.99</v>
      </c>
      <c r="D185" s="2">
        <v>3.84</v>
      </c>
      <c r="E185" s="2">
        <v>2.27</v>
      </c>
      <c r="F185" s="6">
        <v>1.3095000000000001</v>
      </c>
      <c r="G185" s="6">
        <v>1.1858</v>
      </c>
      <c r="J185" s="2">
        <f t="shared" si="6"/>
        <v>0.15000000000000036</v>
      </c>
      <c r="K185" s="2">
        <f t="shared" si="7"/>
        <v>1.7200000000000002</v>
      </c>
    </row>
    <row r="186" spans="1:11" x14ac:dyDescent="0.25">
      <c r="A186" s="4">
        <f t="shared" si="8"/>
        <v>45539</v>
      </c>
      <c r="B186" t="s">
        <v>195</v>
      </c>
      <c r="C186" s="2">
        <v>3.93</v>
      </c>
      <c r="D186" s="2">
        <v>3.77</v>
      </c>
      <c r="E186" s="2">
        <v>2.21</v>
      </c>
      <c r="F186" s="6">
        <v>1.3161</v>
      </c>
      <c r="G186" s="6">
        <v>1.1866000000000001</v>
      </c>
      <c r="J186" s="2">
        <f t="shared" si="6"/>
        <v>0.16000000000000014</v>
      </c>
      <c r="K186" s="2">
        <f t="shared" si="7"/>
        <v>1.7200000000000002</v>
      </c>
    </row>
    <row r="187" spans="1:11" x14ac:dyDescent="0.25">
      <c r="A187" s="4">
        <f t="shared" si="8"/>
        <v>45540</v>
      </c>
      <c r="B187" t="s">
        <v>196</v>
      </c>
      <c r="C187" s="2">
        <v>3.91</v>
      </c>
      <c r="D187" s="2">
        <v>3.73</v>
      </c>
      <c r="E187" s="2">
        <v>2.2000000000000002</v>
      </c>
      <c r="F187" s="6">
        <v>1.3158000000000001</v>
      </c>
      <c r="G187" s="6">
        <v>1.1876</v>
      </c>
      <c r="J187" s="2">
        <f t="shared" si="6"/>
        <v>0.18000000000000016</v>
      </c>
      <c r="K187" s="2">
        <f t="shared" si="7"/>
        <v>1.71</v>
      </c>
    </row>
    <row r="188" spans="1:11" x14ac:dyDescent="0.25">
      <c r="A188" s="4">
        <f t="shared" si="8"/>
        <v>45541</v>
      </c>
      <c r="B188" t="s">
        <v>197</v>
      </c>
      <c r="C188" s="2">
        <v>3.92</v>
      </c>
      <c r="D188" s="2">
        <v>3.72</v>
      </c>
      <c r="E188" s="2">
        <v>2.2000000000000002</v>
      </c>
      <c r="F188" s="6">
        <v>1.3160000000000001</v>
      </c>
      <c r="G188" s="6">
        <v>1.1854</v>
      </c>
      <c r="J188" s="2">
        <f t="shared" si="6"/>
        <v>0.19999999999999973</v>
      </c>
      <c r="K188" s="2">
        <f t="shared" si="7"/>
        <v>1.7199999999999998</v>
      </c>
    </row>
    <row r="189" spans="1:11" x14ac:dyDescent="0.25">
      <c r="A189" s="4">
        <f t="shared" si="8"/>
        <v>45544</v>
      </c>
      <c r="B189" t="s">
        <v>198</v>
      </c>
      <c r="C189" s="2">
        <v>3.86</v>
      </c>
      <c r="D189" s="2">
        <v>3.7</v>
      </c>
      <c r="E189" s="2">
        <v>2.17</v>
      </c>
      <c r="F189" s="6">
        <v>1.3079000000000001</v>
      </c>
      <c r="G189" s="6">
        <v>1.1845000000000001</v>
      </c>
      <c r="J189" s="2">
        <f t="shared" si="6"/>
        <v>0.1599999999999997</v>
      </c>
      <c r="K189" s="2">
        <f t="shared" si="7"/>
        <v>1.69</v>
      </c>
    </row>
    <row r="190" spans="1:11" x14ac:dyDescent="0.25">
      <c r="A190" s="4">
        <f t="shared" si="8"/>
        <v>45545</v>
      </c>
      <c r="B190" t="s">
        <v>199</v>
      </c>
      <c r="C190" s="2">
        <v>3.83</v>
      </c>
      <c r="D190" s="2">
        <v>3.65</v>
      </c>
      <c r="E190" s="2">
        <v>2.14</v>
      </c>
      <c r="F190" s="6">
        <v>1.3057000000000001</v>
      </c>
      <c r="G190" s="6">
        <v>1.1850000000000001</v>
      </c>
      <c r="J190" s="2">
        <f t="shared" si="6"/>
        <v>0.18000000000000016</v>
      </c>
      <c r="K190" s="2">
        <f t="shared" si="7"/>
        <v>1.69</v>
      </c>
    </row>
    <row r="191" spans="1:11" x14ac:dyDescent="0.25">
      <c r="A191" s="4">
        <f t="shared" si="8"/>
        <v>45546</v>
      </c>
      <c r="B191" t="s">
        <v>200</v>
      </c>
      <c r="C191" s="2">
        <v>3.77</v>
      </c>
      <c r="D191" s="2">
        <v>3.65</v>
      </c>
      <c r="E191" s="2">
        <v>2.11</v>
      </c>
      <c r="F191" s="6">
        <v>1.3015000000000001</v>
      </c>
      <c r="G191" s="6">
        <v>1.1820999999999999</v>
      </c>
      <c r="J191" s="2">
        <f t="shared" si="6"/>
        <v>0.12000000000000011</v>
      </c>
      <c r="K191" s="2">
        <f t="shared" si="7"/>
        <v>1.6600000000000001</v>
      </c>
    </row>
    <row r="192" spans="1:11" x14ac:dyDescent="0.25">
      <c r="A192" s="4">
        <f t="shared" si="8"/>
        <v>45547</v>
      </c>
      <c r="B192" t="s">
        <v>201</v>
      </c>
      <c r="C192" s="2">
        <v>3.79</v>
      </c>
      <c r="D192" s="2">
        <v>3.68</v>
      </c>
      <c r="E192" s="2">
        <v>2.16</v>
      </c>
      <c r="F192" s="6">
        <v>1.3079000000000001</v>
      </c>
      <c r="G192" s="6">
        <v>1.1847000000000001</v>
      </c>
      <c r="J192" s="2">
        <f t="shared" si="6"/>
        <v>0.10999999999999988</v>
      </c>
      <c r="K192" s="2">
        <f t="shared" si="7"/>
        <v>1.63</v>
      </c>
    </row>
    <row r="193" spans="1:11" x14ac:dyDescent="0.25">
      <c r="A193" s="4">
        <f t="shared" si="8"/>
        <v>45548</v>
      </c>
      <c r="B193" t="s">
        <v>202</v>
      </c>
      <c r="C193" s="2">
        <v>3.76</v>
      </c>
      <c r="D193" s="2">
        <v>3.66</v>
      </c>
      <c r="E193" s="2">
        <v>2.14</v>
      </c>
      <c r="F193" s="6">
        <v>1.3154999999999999</v>
      </c>
      <c r="G193" s="6">
        <v>1.1862999999999999</v>
      </c>
      <c r="J193" s="2">
        <f t="shared" si="6"/>
        <v>9.9999999999999645E-2</v>
      </c>
      <c r="K193" s="2">
        <f t="shared" si="7"/>
        <v>1.6199999999999997</v>
      </c>
    </row>
    <row r="194" spans="1:11" x14ac:dyDescent="0.25">
      <c r="A194" s="4">
        <f t="shared" si="8"/>
        <v>45551</v>
      </c>
      <c r="B194" t="s">
        <v>203</v>
      </c>
      <c r="C194" s="2">
        <v>3.76</v>
      </c>
      <c r="D194" s="2">
        <v>3.63</v>
      </c>
      <c r="E194" s="2">
        <v>2.12</v>
      </c>
      <c r="F194" s="6">
        <v>1.32</v>
      </c>
      <c r="G194" s="6">
        <v>1.1865000000000001</v>
      </c>
      <c r="J194" s="2">
        <f t="shared" si="6"/>
        <v>0.12999999999999989</v>
      </c>
      <c r="K194" s="2">
        <f t="shared" si="7"/>
        <v>1.6399999999999997</v>
      </c>
    </row>
    <row r="195" spans="1:11" x14ac:dyDescent="0.25">
      <c r="A195" s="4">
        <f t="shared" si="8"/>
        <v>45552</v>
      </c>
      <c r="B195" t="s">
        <v>204</v>
      </c>
      <c r="C195" s="2">
        <v>3.77</v>
      </c>
      <c r="D195" s="2">
        <v>3.65</v>
      </c>
      <c r="E195" s="2">
        <v>2.15</v>
      </c>
      <c r="F195" s="6">
        <v>1.3188</v>
      </c>
      <c r="G195" s="6">
        <v>1.1854</v>
      </c>
      <c r="J195" s="2">
        <f t="shared" si="6"/>
        <v>0.12000000000000011</v>
      </c>
      <c r="K195" s="2">
        <f t="shared" si="7"/>
        <v>1.62</v>
      </c>
    </row>
    <row r="196" spans="1:11" x14ac:dyDescent="0.25">
      <c r="A196" s="4">
        <f t="shared" si="8"/>
        <v>45553</v>
      </c>
      <c r="B196" t="s">
        <v>205</v>
      </c>
      <c r="C196" s="2">
        <v>3.84</v>
      </c>
      <c r="D196" s="2">
        <v>3.7</v>
      </c>
      <c r="E196" s="2">
        <v>2.2000000000000002</v>
      </c>
      <c r="F196" s="6">
        <v>1.3211999999999999</v>
      </c>
      <c r="G196" s="6">
        <v>1.1883999999999999</v>
      </c>
      <c r="J196" s="2">
        <f t="shared" si="6"/>
        <v>0.13999999999999968</v>
      </c>
      <c r="K196" s="2">
        <f t="shared" si="7"/>
        <v>1.6399999999999997</v>
      </c>
    </row>
    <row r="197" spans="1:11" x14ac:dyDescent="0.25">
      <c r="A197" s="4">
        <f t="shared" si="8"/>
        <v>45554</v>
      </c>
      <c r="B197" t="s">
        <v>206</v>
      </c>
      <c r="C197" s="2">
        <v>3.89</v>
      </c>
      <c r="D197" s="2">
        <v>3.73</v>
      </c>
      <c r="E197" s="2">
        <v>2.19</v>
      </c>
      <c r="F197" s="6">
        <v>1.325</v>
      </c>
      <c r="G197" s="6">
        <v>1.1904999999999999</v>
      </c>
      <c r="J197" s="2">
        <f t="shared" si="6"/>
        <v>0.16000000000000014</v>
      </c>
      <c r="K197" s="2">
        <f t="shared" si="7"/>
        <v>1.7000000000000002</v>
      </c>
    </row>
    <row r="198" spans="1:11" x14ac:dyDescent="0.25">
      <c r="A198" s="4">
        <f t="shared" si="8"/>
        <v>45555</v>
      </c>
      <c r="B198" t="s">
        <v>207</v>
      </c>
      <c r="C198" s="2">
        <v>3.9</v>
      </c>
      <c r="D198" s="2">
        <v>3.73</v>
      </c>
      <c r="E198" s="2">
        <v>2.19</v>
      </c>
      <c r="F198" s="6">
        <v>1.3281000000000001</v>
      </c>
      <c r="G198" s="6">
        <v>1.1917</v>
      </c>
      <c r="J198" s="2">
        <f t="shared" si="6"/>
        <v>0.16999999999999993</v>
      </c>
      <c r="K198" s="2">
        <f t="shared" si="7"/>
        <v>1.71</v>
      </c>
    </row>
    <row r="199" spans="1:11" x14ac:dyDescent="0.25">
      <c r="A199" s="4">
        <f t="shared" si="8"/>
        <v>45558</v>
      </c>
      <c r="B199" t="s">
        <v>208</v>
      </c>
      <c r="C199" s="2">
        <v>3.92</v>
      </c>
      <c r="D199" s="2">
        <v>3.75</v>
      </c>
      <c r="E199" s="2">
        <v>2.15</v>
      </c>
      <c r="F199" s="6">
        <v>1.335</v>
      </c>
      <c r="G199" s="6">
        <v>1.1992</v>
      </c>
      <c r="J199" s="2">
        <f t="shared" si="6"/>
        <v>0.16999999999999993</v>
      </c>
      <c r="K199" s="2">
        <f t="shared" si="7"/>
        <v>1.77</v>
      </c>
    </row>
    <row r="200" spans="1:11" x14ac:dyDescent="0.25">
      <c r="A200" s="4">
        <f t="shared" si="8"/>
        <v>45559</v>
      </c>
      <c r="B200" t="s">
        <v>209</v>
      </c>
      <c r="C200" s="2">
        <v>3.93</v>
      </c>
      <c r="D200" s="2">
        <v>3.74</v>
      </c>
      <c r="E200" s="2">
        <v>2.14</v>
      </c>
      <c r="F200" s="6">
        <v>1.339</v>
      </c>
      <c r="G200" s="6">
        <v>1.2007000000000001</v>
      </c>
      <c r="J200" s="2">
        <f t="shared" si="6"/>
        <v>0.18999999999999995</v>
      </c>
      <c r="K200" s="2">
        <f t="shared" si="7"/>
        <v>1.79</v>
      </c>
    </row>
    <row r="201" spans="1:11" x14ac:dyDescent="0.25">
      <c r="A201" s="4">
        <f t="shared" si="8"/>
        <v>45560</v>
      </c>
      <c r="B201" t="s">
        <v>210</v>
      </c>
      <c r="C201" s="2">
        <v>3.99</v>
      </c>
      <c r="D201" s="2">
        <v>3.79</v>
      </c>
      <c r="E201" s="2">
        <v>2.1800000000000002</v>
      </c>
      <c r="F201" s="6">
        <v>1.3374999999999999</v>
      </c>
      <c r="G201" s="6">
        <v>1.1971000000000001</v>
      </c>
      <c r="J201" s="2">
        <f t="shared" ref="J201:J264" si="9">C201-D201</f>
        <v>0.20000000000000018</v>
      </c>
      <c r="K201" s="2">
        <f t="shared" ref="K201:K264" si="10">C201-E201</f>
        <v>1.81</v>
      </c>
    </row>
    <row r="202" spans="1:11" x14ac:dyDescent="0.25">
      <c r="A202" s="4">
        <f t="shared" si="8"/>
        <v>45561</v>
      </c>
      <c r="B202" t="s">
        <v>211</v>
      </c>
      <c r="C202" s="2">
        <v>4.0199999999999996</v>
      </c>
      <c r="D202" s="2">
        <v>3.79</v>
      </c>
      <c r="E202" s="2">
        <v>2.17</v>
      </c>
      <c r="F202" s="6">
        <v>1.3395999999999999</v>
      </c>
      <c r="G202" s="6">
        <v>1.1996</v>
      </c>
      <c r="J202" s="2">
        <f t="shared" si="9"/>
        <v>0.22999999999999954</v>
      </c>
      <c r="K202" s="2">
        <f t="shared" si="10"/>
        <v>1.8499999999999996</v>
      </c>
    </row>
    <row r="203" spans="1:11" x14ac:dyDescent="0.25">
      <c r="A203" s="4">
        <f t="shared" si="8"/>
        <v>45562</v>
      </c>
      <c r="B203" t="s">
        <v>212</v>
      </c>
      <c r="C203" s="2">
        <v>3.97</v>
      </c>
      <c r="D203" s="2">
        <v>3.75</v>
      </c>
      <c r="E203" s="2">
        <v>2.13</v>
      </c>
      <c r="F203" s="6">
        <v>1.3408</v>
      </c>
      <c r="G203" s="6">
        <v>1.1994</v>
      </c>
      <c r="J203" s="2">
        <f t="shared" si="9"/>
        <v>0.2200000000000002</v>
      </c>
      <c r="K203" s="2">
        <f t="shared" si="10"/>
        <v>1.8400000000000003</v>
      </c>
    </row>
    <row r="204" spans="1:11" x14ac:dyDescent="0.25">
      <c r="A204" s="4">
        <f t="shared" si="8"/>
        <v>45565</v>
      </c>
      <c r="B204" t="s">
        <v>213</v>
      </c>
      <c r="C204" s="2">
        <v>4</v>
      </c>
      <c r="D204" s="2">
        <v>3.81</v>
      </c>
      <c r="E204" s="2">
        <v>2.14</v>
      </c>
      <c r="F204" s="6">
        <v>1.3412999999999999</v>
      </c>
      <c r="G204" s="6">
        <v>1.202</v>
      </c>
      <c r="J204" s="2">
        <f t="shared" si="9"/>
        <v>0.18999999999999995</v>
      </c>
      <c r="K204" s="2">
        <f t="shared" si="10"/>
        <v>1.8599999999999999</v>
      </c>
    </row>
    <row r="205" spans="1:11" x14ac:dyDescent="0.25">
      <c r="A205" s="4">
        <f t="shared" si="8"/>
        <v>45566</v>
      </c>
      <c r="B205" t="s">
        <v>214</v>
      </c>
      <c r="C205" s="2">
        <v>3.94</v>
      </c>
      <c r="D205" s="2">
        <v>3.74</v>
      </c>
      <c r="E205" s="2">
        <v>2.0499999999999998</v>
      </c>
      <c r="F205" s="6">
        <v>1.3289</v>
      </c>
      <c r="G205" s="6">
        <v>1.1997</v>
      </c>
      <c r="J205" s="2">
        <f t="shared" si="9"/>
        <v>0.19999999999999973</v>
      </c>
      <c r="K205" s="2">
        <f t="shared" si="10"/>
        <v>1.8900000000000001</v>
      </c>
    </row>
    <row r="206" spans="1:11" x14ac:dyDescent="0.25">
      <c r="A206" s="4">
        <f t="shared" si="8"/>
        <v>45567</v>
      </c>
      <c r="B206" t="s">
        <v>215</v>
      </c>
      <c r="C206" s="2">
        <v>4.04</v>
      </c>
      <c r="D206" s="2">
        <v>3.79</v>
      </c>
      <c r="E206" s="2">
        <v>2.1</v>
      </c>
      <c r="F206" s="6">
        <v>1.3250999999999999</v>
      </c>
      <c r="G206" s="6">
        <v>1.2005999999999999</v>
      </c>
      <c r="J206" s="2">
        <f t="shared" si="9"/>
        <v>0.25</v>
      </c>
      <c r="K206" s="2">
        <f t="shared" si="10"/>
        <v>1.94</v>
      </c>
    </row>
    <row r="207" spans="1:11" x14ac:dyDescent="0.25">
      <c r="A207" s="4">
        <f t="shared" ref="A207:A270" si="11">+A202+7</f>
        <v>45568</v>
      </c>
      <c r="B207" t="s">
        <v>216</v>
      </c>
      <c r="C207" s="2">
        <v>4.0199999999999996</v>
      </c>
      <c r="D207" s="2">
        <v>3.85</v>
      </c>
      <c r="E207" s="2">
        <v>2.15</v>
      </c>
      <c r="F207" s="6">
        <v>1.3108</v>
      </c>
      <c r="G207" s="6">
        <v>1.1898</v>
      </c>
      <c r="J207" s="2">
        <f t="shared" si="9"/>
        <v>0.16999999999999948</v>
      </c>
      <c r="K207" s="2">
        <f t="shared" si="10"/>
        <v>1.8699999999999997</v>
      </c>
    </row>
    <row r="208" spans="1:11" x14ac:dyDescent="0.25">
      <c r="A208" s="4">
        <f t="shared" si="11"/>
        <v>45569</v>
      </c>
      <c r="B208" t="s">
        <v>217</v>
      </c>
      <c r="C208" s="2">
        <v>4.1399999999999997</v>
      </c>
      <c r="D208" s="2">
        <v>3.98</v>
      </c>
      <c r="E208" s="2">
        <v>2.2200000000000002</v>
      </c>
      <c r="F208" s="6">
        <v>1.3112999999999999</v>
      </c>
      <c r="G208" s="6">
        <v>1.1954</v>
      </c>
      <c r="J208" s="2">
        <f t="shared" si="9"/>
        <v>0.1599999999999997</v>
      </c>
      <c r="K208" s="2">
        <f t="shared" si="10"/>
        <v>1.9199999999999995</v>
      </c>
    </row>
    <row r="209" spans="1:11" x14ac:dyDescent="0.25">
      <c r="A209" s="4">
        <f t="shared" si="11"/>
        <v>45572</v>
      </c>
      <c r="B209" t="s">
        <v>218</v>
      </c>
      <c r="C209" s="2">
        <v>4.2</v>
      </c>
      <c r="D209" s="2">
        <v>4.03</v>
      </c>
      <c r="E209" s="2">
        <v>2.25</v>
      </c>
      <c r="F209" s="6">
        <v>1.3079000000000001</v>
      </c>
      <c r="G209" s="6">
        <v>1.1917</v>
      </c>
      <c r="J209" s="2">
        <f t="shared" si="9"/>
        <v>0.16999999999999993</v>
      </c>
      <c r="K209" s="2">
        <f t="shared" si="10"/>
        <v>1.9500000000000002</v>
      </c>
    </row>
    <row r="210" spans="1:11" x14ac:dyDescent="0.25">
      <c r="A210" s="4">
        <f t="shared" si="11"/>
        <v>45573</v>
      </c>
      <c r="B210" t="s">
        <v>219</v>
      </c>
      <c r="C210" s="2">
        <v>4.18</v>
      </c>
      <c r="D210" s="2">
        <v>4.04</v>
      </c>
      <c r="E210" s="2">
        <v>2.2400000000000002</v>
      </c>
      <c r="F210" s="6">
        <v>1.3092999999999999</v>
      </c>
      <c r="G210" s="6">
        <v>1.1935</v>
      </c>
      <c r="J210" s="2">
        <f t="shared" si="9"/>
        <v>0.13999999999999968</v>
      </c>
      <c r="K210" s="2">
        <f t="shared" si="10"/>
        <v>1.9399999999999995</v>
      </c>
    </row>
    <row r="211" spans="1:11" x14ac:dyDescent="0.25">
      <c r="A211" s="4">
        <f t="shared" si="11"/>
        <v>45574</v>
      </c>
      <c r="B211" t="s">
        <v>220</v>
      </c>
      <c r="C211" s="2" t="e">
        <v>#N/A</v>
      </c>
      <c r="D211" s="2">
        <v>4.0599999999999996</v>
      </c>
      <c r="E211" s="2" t="e">
        <v>#N/A</v>
      </c>
      <c r="F211" s="6">
        <v>1.3071999999999999</v>
      </c>
      <c r="G211" s="6">
        <v>1.194</v>
      </c>
      <c r="J211" s="2" t="e">
        <f t="shared" si="9"/>
        <v>#N/A</v>
      </c>
      <c r="K211" s="2" t="e">
        <f t="shared" si="10"/>
        <v>#N/A</v>
      </c>
    </row>
    <row r="212" spans="1:11" x14ac:dyDescent="0.25">
      <c r="A212" s="4">
        <f t="shared" si="11"/>
        <v>45575</v>
      </c>
      <c r="B212" t="s">
        <v>221</v>
      </c>
      <c r="C212" s="2">
        <v>4.22</v>
      </c>
      <c r="D212" s="2">
        <v>4.09</v>
      </c>
      <c r="E212" s="2">
        <v>2.25</v>
      </c>
      <c r="F212" s="6">
        <v>1.3048999999999999</v>
      </c>
      <c r="G212" s="6">
        <v>1.1946000000000001</v>
      </c>
      <c r="J212" s="2">
        <f t="shared" si="9"/>
        <v>0.12999999999999989</v>
      </c>
      <c r="K212" s="2">
        <f t="shared" si="10"/>
        <v>1.9699999999999998</v>
      </c>
    </row>
    <row r="213" spans="1:11" x14ac:dyDescent="0.25">
      <c r="A213" s="4">
        <f t="shared" si="11"/>
        <v>45576</v>
      </c>
      <c r="B213" t="s">
        <v>222</v>
      </c>
      <c r="C213" s="2">
        <v>4.2</v>
      </c>
      <c r="D213" s="2">
        <v>4.08</v>
      </c>
      <c r="E213" s="2">
        <v>2.2599999999999998</v>
      </c>
      <c r="F213" s="6">
        <v>1.3075000000000001</v>
      </c>
      <c r="G213" s="6">
        <v>1.1948000000000001</v>
      </c>
      <c r="J213" s="2">
        <f t="shared" si="9"/>
        <v>0.12000000000000011</v>
      </c>
      <c r="K213" s="2">
        <f t="shared" si="10"/>
        <v>1.9400000000000004</v>
      </c>
    </row>
    <row r="214" spans="1:11" x14ac:dyDescent="0.25">
      <c r="A214" s="4">
        <f t="shared" si="11"/>
        <v>45579</v>
      </c>
      <c r="B214" t="s">
        <v>223</v>
      </c>
      <c r="C214" s="2">
        <v>4.24</v>
      </c>
      <c r="D214" s="2" t="e">
        <v>#N/A</v>
      </c>
      <c r="E214" s="2">
        <v>2.27</v>
      </c>
      <c r="F214" s="6">
        <v>1.3057000000000001</v>
      </c>
      <c r="G214" s="6">
        <v>1.1964999999999999</v>
      </c>
      <c r="J214" s="2" t="e">
        <f t="shared" si="9"/>
        <v>#N/A</v>
      </c>
      <c r="K214" s="2">
        <f t="shared" si="10"/>
        <v>1.9700000000000002</v>
      </c>
    </row>
    <row r="215" spans="1:11" x14ac:dyDescent="0.25">
      <c r="A215" s="4">
        <f t="shared" si="11"/>
        <v>45580</v>
      </c>
      <c r="B215" t="s">
        <v>224</v>
      </c>
      <c r="C215" s="2">
        <v>4.17</v>
      </c>
      <c r="D215" s="2">
        <v>4.03</v>
      </c>
      <c r="E215" s="2">
        <v>2.2200000000000002</v>
      </c>
      <c r="F215" s="6">
        <v>1.3093999999999999</v>
      </c>
      <c r="G215" s="6">
        <v>1.2010000000000001</v>
      </c>
      <c r="J215" s="2">
        <f t="shared" si="9"/>
        <v>0.13999999999999968</v>
      </c>
      <c r="K215" s="2">
        <f t="shared" si="10"/>
        <v>1.9499999999999997</v>
      </c>
    </row>
    <row r="216" spans="1:11" x14ac:dyDescent="0.25">
      <c r="A216" s="4">
        <f t="shared" si="11"/>
        <v>45581</v>
      </c>
      <c r="B216" t="s">
        <v>225</v>
      </c>
      <c r="C216" s="2">
        <v>4.07</v>
      </c>
      <c r="D216" s="2">
        <v>4.0199999999999996</v>
      </c>
      <c r="E216" s="2">
        <v>2.19</v>
      </c>
      <c r="F216" s="6">
        <v>1.3008999999999999</v>
      </c>
      <c r="G216" s="6">
        <v>1.1957</v>
      </c>
      <c r="J216" s="2">
        <f t="shared" si="9"/>
        <v>5.0000000000000711E-2</v>
      </c>
      <c r="K216" s="2">
        <f t="shared" si="10"/>
        <v>1.8800000000000003</v>
      </c>
    </row>
    <row r="217" spans="1:11" x14ac:dyDescent="0.25">
      <c r="A217" s="4">
        <f t="shared" si="11"/>
        <v>45582</v>
      </c>
      <c r="B217" t="s">
        <v>226</v>
      </c>
      <c r="C217" s="2">
        <v>4.09</v>
      </c>
      <c r="D217" s="2">
        <v>4.09</v>
      </c>
      <c r="E217" s="2">
        <v>2.2000000000000002</v>
      </c>
      <c r="F217" s="6">
        <v>1.2997000000000001</v>
      </c>
      <c r="G217" s="6">
        <v>1.2002999999999999</v>
      </c>
      <c r="J217" s="2">
        <f t="shared" si="9"/>
        <v>0</v>
      </c>
      <c r="K217" s="2">
        <f t="shared" si="10"/>
        <v>1.8899999999999997</v>
      </c>
    </row>
    <row r="218" spans="1:11" x14ac:dyDescent="0.25">
      <c r="A218" s="4">
        <f t="shared" si="11"/>
        <v>45583</v>
      </c>
      <c r="B218" t="s">
        <v>227</v>
      </c>
      <c r="C218" s="2">
        <v>4.05</v>
      </c>
      <c r="D218" s="2">
        <v>4.08</v>
      </c>
      <c r="E218" s="2">
        <v>2.19</v>
      </c>
      <c r="F218" s="6">
        <v>1.3036000000000001</v>
      </c>
      <c r="G218" s="6">
        <v>1.2005999999999999</v>
      </c>
      <c r="J218" s="2">
        <f t="shared" si="9"/>
        <v>-3.0000000000000249E-2</v>
      </c>
      <c r="K218" s="2">
        <f t="shared" si="10"/>
        <v>1.8599999999999999</v>
      </c>
    </row>
    <row r="219" spans="1:11" x14ac:dyDescent="0.25">
      <c r="A219" s="4">
        <f t="shared" si="11"/>
        <v>45586</v>
      </c>
      <c r="B219" t="s">
        <v>228</v>
      </c>
      <c r="C219" s="2">
        <v>4.1399999999999997</v>
      </c>
      <c r="D219" s="2">
        <v>4.1900000000000004</v>
      </c>
      <c r="E219" s="2">
        <v>2.29</v>
      </c>
      <c r="F219" s="6">
        <v>1.3002</v>
      </c>
      <c r="G219" s="6">
        <v>1.1999</v>
      </c>
      <c r="J219" s="2">
        <f t="shared" si="9"/>
        <v>-5.0000000000000711E-2</v>
      </c>
      <c r="K219" s="2">
        <f t="shared" si="10"/>
        <v>1.8499999999999996</v>
      </c>
    </row>
    <row r="220" spans="1:11" x14ac:dyDescent="0.25">
      <c r="A220" s="4">
        <f t="shared" si="11"/>
        <v>45587</v>
      </c>
      <c r="B220" t="s">
        <v>229</v>
      </c>
      <c r="C220" s="2">
        <v>4.16</v>
      </c>
      <c r="D220" s="2">
        <v>4.2</v>
      </c>
      <c r="E220" s="2">
        <v>2.31</v>
      </c>
      <c r="F220" s="6">
        <v>1.2975000000000001</v>
      </c>
      <c r="G220" s="6">
        <v>1.2002999999999999</v>
      </c>
      <c r="J220" s="2">
        <f t="shared" si="9"/>
        <v>-4.0000000000000036E-2</v>
      </c>
      <c r="K220" s="2">
        <f t="shared" si="10"/>
        <v>1.85</v>
      </c>
    </row>
    <row r="221" spans="1:11" x14ac:dyDescent="0.25">
      <c r="A221" s="4">
        <f t="shared" si="11"/>
        <v>45588</v>
      </c>
      <c r="B221" t="s">
        <v>230</v>
      </c>
      <c r="C221" s="2">
        <v>4.21</v>
      </c>
      <c r="D221" s="2">
        <v>4.24</v>
      </c>
      <c r="E221" s="2">
        <v>2.3199999999999998</v>
      </c>
      <c r="F221" s="6">
        <v>1.2948</v>
      </c>
      <c r="G221" s="6">
        <v>1.2016</v>
      </c>
      <c r="J221" s="2">
        <f t="shared" si="9"/>
        <v>-3.0000000000000249E-2</v>
      </c>
      <c r="K221" s="2">
        <f t="shared" si="10"/>
        <v>1.8900000000000001</v>
      </c>
    </row>
    <row r="222" spans="1:11" x14ac:dyDescent="0.25">
      <c r="A222" s="4">
        <f t="shared" si="11"/>
        <v>45589</v>
      </c>
      <c r="B222" t="s">
        <v>231</v>
      </c>
      <c r="C222" s="2">
        <v>4.2300000000000004</v>
      </c>
      <c r="D222" s="2">
        <v>4.21</v>
      </c>
      <c r="E222" s="2">
        <v>2.27</v>
      </c>
      <c r="F222" s="6">
        <v>1.2961</v>
      </c>
      <c r="G222" s="6">
        <v>1.2002999999999999</v>
      </c>
      <c r="J222" s="2">
        <f t="shared" si="9"/>
        <v>2.0000000000000462E-2</v>
      </c>
      <c r="K222" s="2">
        <f t="shared" si="10"/>
        <v>1.9600000000000004</v>
      </c>
    </row>
    <row r="223" spans="1:11" x14ac:dyDescent="0.25">
      <c r="A223" s="4">
        <f t="shared" si="11"/>
        <v>45590</v>
      </c>
      <c r="B223" t="s">
        <v>232</v>
      </c>
      <c r="C223" s="2">
        <v>4.24</v>
      </c>
      <c r="D223" s="2">
        <v>4.25</v>
      </c>
      <c r="E223" s="2">
        <v>2.2999999999999998</v>
      </c>
      <c r="F223" s="6">
        <v>1.2990999999999999</v>
      </c>
      <c r="G223" s="6">
        <v>1.1994</v>
      </c>
      <c r="J223" s="2">
        <f t="shared" si="9"/>
        <v>-9.9999999999997868E-3</v>
      </c>
      <c r="K223" s="2">
        <f t="shared" si="10"/>
        <v>1.9400000000000004</v>
      </c>
    </row>
    <row r="224" spans="1:11" x14ac:dyDescent="0.25">
      <c r="A224" s="4">
        <f t="shared" si="11"/>
        <v>45593</v>
      </c>
      <c r="B224" t="s">
        <v>233</v>
      </c>
      <c r="C224" s="2">
        <v>4.25</v>
      </c>
      <c r="D224" s="2">
        <v>4.28</v>
      </c>
      <c r="E224" s="2">
        <v>2.2799999999999998</v>
      </c>
      <c r="F224" s="6">
        <v>1.2996000000000001</v>
      </c>
      <c r="G224" s="6">
        <v>1.2005999999999999</v>
      </c>
      <c r="J224" s="2">
        <f t="shared" si="9"/>
        <v>-3.0000000000000249E-2</v>
      </c>
      <c r="K224" s="2">
        <f t="shared" si="10"/>
        <v>1.9700000000000002</v>
      </c>
    </row>
    <row r="225" spans="1:11" x14ac:dyDescent="0.25">
      <c r="A225" s="4">
        <f t="shared" si="11"/>
        <v>45594</v>
      </c>
      <c r="B225" t="s">
        <v>234</v>
      </c>
      <c r="C225" s="2">
        <v>4.29</v>
      </c>
      <c r="D225" s="2">
        <v>4.28</v>
      </c>
      <c r="E225" s="2">
        <v>2.33</v>
      </c>
      <c r="F225" s="6">
        <v>1.2996000000000001</v>
      </c>
      <c r="G225" s="6">
        <v>1.2033</v>
      </c>
      <c r="J225" s="2">
        <f t="shared" si="9"/>
        <v>9.9999999999997868E-3</v>
      </c>
      <c r="K225" s="2">
        <f t="shared" si="10"/>
        <v>1.96</v>
      </c>
    </row>
    <row r="226" spans="1:11" x14ac:dyDescent="0.25">
      <c r="A226" s="4">
        <f t="shared" si="11"/>
        <v>45595</v>
      </c>
      <c r="B226" t="s">
        <v>235</v>
      </c>
      <c r="C226" s="2">
        <v>4.37</v>
      </c>
      <c r="D226" s="2">
        <v>4.29</v>
      </c>
      <c r="E226" s="2">
        <v>2.4</v>
      </c>
      <c r="F226" s="6">
        <v>1.2996000000000001</v>
      </c>
      <c r="G226" s="6">
        <v>1.1978</v>
      </c>
      <c r="J226" s="2">
        <f t="shared" si="9"/>
        <v>8.0000000000000071E-2</v>
      </c>
      <c r="K226" s="2">
        <f t="shared" si="10"/>
        <v>1.9700000000000002</v>
      </c>
    </row>
    <row r="227" spans="1:11" x14ac:dyDescent="0.25">
      <c r="A227" s="4">
        <f t="shared" si="11"/>
        <v>45596</v>
      </c>
      <c r="B227" t="s">
        <v>236</v>
      </c>
      <c r="C227" s="2">
        <v>4.43</v>
      </c>
      <c r="D227" s="2">
        <v>4.28</v>
      </c>
      <c r="E227" s="2">
        <v>2.39</v>
      </c>
      <c r="F227" s="6">
        <v>1.2856000000000001</v>
      </c>
      <c r="G227" s="6">
        <v>1.1841999999999999</v>
      </c>
      <c r="J227" s="2">
        <f t="shared" si="9"/>
        <v>0.14999999999999947</v>
      </c>
      <c r="K227" s="2">
        <f t="shared" si="10"/>
        <v>2.0399999999999996</v>
      </c>
    </row>
    <row r="228" spans="1:11" x14ac:dyDescent="0.25">
      <c r="A228" s="4">
        <f t="shared" si="11"/>
        <v>45597</v>
      </c>
      <c r="B228" t="s">
        <v>237</v>
      </c>
      <c r="C228" s="2">
        <v>4.46</v>
      </c>
      <c r="D228" s="2">
        <v>4.37</v>
      </c>
      <c r="E228" s="2">
        <v>2.41</v>
      </c>
      <c r="F228" s="6">
        <v>1.296</v>
      </c>
      <c r="G228" s="6">
        <v>1.1946000000000001</v>
      </c>
      <c r="J228" s="2">
        <f t="shared" si="9"/>
        <v>8.9999999999999858E-2</v>
      </c>
      <c r="K228" s="2">
        <f t="shared" si="10"/>
        <v>2.0499999999999998</v>
      </c>
    </row>
    <row r="229" spans="1:11" x14ac:dyDescent="0.25">
      <c r="A229" s="4">
        <f t="shared" si="11"/>
        <v>45600</v>
      </c>
      <c r="B229" t="s">
        <v>238</v>
      </c>
      <c r="C229" s="2">
        <v>4.46</v>
      </c>
      <c r="D229" s="2">
        <v>4.3099999999999996</v>
      </c>
      <c r="E229" s="2">
        <v>2.4</v>
      </c>
      <c r="F229" s="6">
        <v>1.2981</v>
      </c>
      <c r="G229" s="6">
        <v>1.1909000000000001</v>
      </c>
      <c r="J229" s="2">
        <f t="shared" si="9"/>
        <v>0.15000000000000036</v>
      </c>
      <c r="K229" s="2">
        <f t="shared" si="10"/>
        <v>2.06</v>
      </c>
    </row>
    <row r="230" spans="1:11" x14ac:dyDescent="0.25">
      <c r="A230" s="4">
        <f t="shared" si="11"/>
        <v>45601</v>
      </c>
      <c r="B230" t="s">
        <v>239</v>
      </c>
      <c r="C230" s="2">
        <v>4.5199999999999996</v>
      </c>
      <c r="D230" s="2">
        <v>4.26</v>
      </c>
      <c r="E230" s="2">
        <v>2.42</v>
      </c>
      <c r="F230" s="6">
        <v>1.3002</v>
      </c>
      <c r="G230" s="6">
        <v>1.1926000000000001</v>
      </c>
      <c r="J230" s="2">
        <f t="shared" si="9"/>
        <v>0.25999999999999979</v>
      </c>
      <c r="K230" s="2">
        <f t="shared" si="10"/>
        <v>2.0999999999999996</v>
      </c>
    </row>
    <row r="231" spans="1:11" x14ac:dyDescent="0.25">
      <c r="A231" s="4">
        <f t="shared" si="11"/>
        <v>45602</v>
      </c>
      <c r="B231" t="s">
        <v>240</v>
      </c>
      <c r="C231" s="2">
        <v>4.54</v>
      </c>
      <c r="D231" s="2">
        <v>4.42</v>
      </c>
      <c r="E231" s="2">
        <v>2.41</v>
      </c>
      <c r="F231" s="6">
        <v>1.2889999999999999</v>
      </c>
      <c r="G231" s="6">
        <v>1.2005999999999999</v>
      </c>
      <c r="J231" s="2">
        <f t="shared" si="9"/>
        <v>0.12000000000000011</v>
      </c>
      <c r="K231" s="2">
        <f t="shared" si="10"/>
        <v>2.13</v>
      </c>
    </row>
    <row r="232" spans="1:11" x14ac:dyDescent="0.25">
      <c r="A232" s="4">
        <f t="shared" si="11"/>
        <v>45603</v>
      </c>
      <c r="B232" t="s">
        <v>241</v>
      </c>
      <c r="C232" s="2">
        <v>4.4800000000000004</v>
      </c>
      <c r="D232" s="2">
        <v>4.3099999999999996</v>
      </c>
      <c r="E232" s="2">
        <v>2.44</v>
      </c>
      <c r="F232" s="6">
        <v>1.2996000000000001</v>
      </c>
      <c r="G232" s="6">
        <v>1.2020999999999999</v>
      </c>
      <c r="J232" s="2">
        <f t="shared" si="9"/>
        <v>0.17000000000000082</v>
      </c>
      <c r="K232" s="2">
        <f t="shared" si="10"/>
        <v>2.0400000000000005</v>
      </c>
    </row>
    <row r="233" spans="1:11" x14ac:dyDescent="0.25">
      <c r="A233" s="4">
        <f t="shared" si="11"/>
        <v>45604</v>
      </c>
      <c r="B233" t="s">
        <v>242</v>
      </c>
      <c r="C233" s="2">
        <v>4.43</v>
      </c>
      <c r="D233" s="2">
        <v>4.3</v>
      </c>
      <c r="E233" s="2">
        <v>2.35</v>
      </c>
      <c r="F233" s="6">
        <v>1.2939000000000001</v>
      </c>
      <c r="G233" s="6">
        <v>1.2037</v>
      </c>
      <c r="J233" s="2">
        <f t="shared" si="9"/>
        <v>0.12999999999999989</v>
      </c>
      <c r="K233" s="2">
        <f t="shared" si="10"/>
        <v>2.0799999999999996</v>
      </c>
    </row>
    <row r="234" spans="1:11" x14ac:dyDescent="0.25">
      <c r="A234" s="4">
        <f t="shared" si="11"/>
        <v>45607</v>
      </c>
      <c r="B234" t="s">
        <v>243</v>
      </c>
      <c r="C234" s="2">
        <v>4.43</v>
      </c>
      <c r="D234" s="2" t="e">
        <v>#N/A</v>
      </c>
      <c r="E234" s="2">
        <v>2.33</v>
      </c>
      <c r="F234" s="6">
        <v>1.2869999999999999</v>
      </c>
      <c r="G234" s="6">
        <v>1.2087000000000001</v>
      </c>
      <c r="J234" s="2" t="e">
        <f t="shared" si="9"/>
        <v>#N/A</v>
      </c>
      <c r="K234" s="2">
        <f t="shared" si="10"/>
        <v>2.0999999999999996</v>
      </c>
    </row>
    <row r="235" spans="1:11" x14ac:dyDescent="0.25">
      <c r="A235" s="4">
        <f t="shared" si="11"/>
        <v>45608</v>
      </c>
      <c r="B235" t="s">
        <v>244</v>
      </c>
      <c r="C235" s="2">
        <v>4.53</v>
      </c>
      <c r="D235" s="2">
        <v>4.43</v>
      </c>
      <c r="E235" s="2">
        <v>2.4</v>
      </c>
      <c r="F235" s="6">
        <v>1.2764</v>
      </c>
      <c r="G235" s="6">
        <v>1.2030000000000001</v>
      </c>
      <c r="J235" s="2">
        <f t="shared" si="9"/>
        <v>0.10000000000000053</v>
      </c>
      <c r="K235" s="2">
        <f t="shared" si="10"/>
        <v>2.1300000000000003</v>
      </c>
    </row>
    <row r="236" spans="1:11" x14ac:dyDescent="0.25">
      <c r="A236" s="4">
        <f t="shared" si="11"/>
        <v>45609</v>
      </c>
      <c r="B236" t="s">
        <v>245</v>
      </c>
      <c r="C236" s="2">
        <v>4.54</v>
      </c>
      <c r="D236" s="2">
        <v>4.4400000000000004</v>
      </c>
      <c r="E236" s="2">
        <v>2.41</v>
      </c>
      <c r="F236" s="6">
        <v>1.2724</v>
      </c>
      <c r="G236" s="6">
        <v>1.2017</v>
      </c>
      <c r="J236" s="2">
        <f t="shared" si="9"/>
        <v>9.9999999999999645E-2</v>
      </c>
      <c r="K236" s="2">
        <f t="shared" si="10"/>
        <v>2.13</v>
      </c>
    </row>
    <row r="237" spans="1:11" x14ac:dyDescent="0.25">
      <c r="A237" s="4">
        <f t="shared" si="11"/>
        <v>45610</v>
      </c>
      <c r="B237" t="s">
        <v>246</v>
      </c>
      <c r="C237" s="2">
        <v>4.4800000000000004</v>
      </c>
      <c r="D237" s="2">
        <v>4.43</v>
      </c>
      <c r="E237" s="2">
        <v>2.35</v>
      </c>
      <c r="F237" s="6">
        <v>1.2707999999999999</v>
      </c>
      <c r="G237" s="6">
        <v>1.2016</v>
      </c>
      <c r="J237" s="2">
        <f t="shared" si="9"/>
        <v>5.0000000000000711E-2</v>
      </c>
      <c r="K237" s="2">
        <f t="shared" si="10"/>
        <v>2.1300000000000003</v>
      </c>
    </row>
    <row r="238" spans="1:11" x14ac:dyDescent="0.25">
      <c r="A238" s="4">
        <f t="shared" si="11"/>
        <v>45611</v>
      </c>
      <c r="B238" t="s">
        <v>247</v>
      </c>
      <c r="C238" s="2">
        <v>4.46</v>
      </c>
      <c r="D238" s="2">
        <v>4.43</v>
      </c>
      <c r="E238" s="2">
        <v>2.34</v>
      </c>
      <c r="F238" s="6">
        <v>1.2628999999999999</v>
      </c>
      <c r="G238" s="6">
        <v>1.1987000000000001</v>
      </c>
      <c r="J238" s="2">
        <f t="shared" si="9"/>
        <v>3.0000000000000249E-2</v>
      </c>
      <c r="K238" s="2">
        <f t="shared" si="10"/>
        <v>2.12</v>
      </c>
    </row>
    <row r="239" spans="1:11" x14ac:dyDescent="0.25">
      <c r="A239" s="4">
        <f t="shared" si="11"/>
        <v>45614</v>
      </c>
      <c r="B239" t="s">
        <v>248</v>
      </c>
      <c r="C239" s="2">
        <v>4.46</v>
      </c>
      <c r="D239" s="2">
        <v>4.42</v>
      </c>
      <c r="E239" s="2">
        <v>2.37</v>
      </c>
      <c r="F239" s="6">
        <v>1.264</v>
      </c>
      <c r="G239" s="6">
        <v>1.1954</v>
      </c>
      <c r="J239" s="2">
        <f t="shared" si="9"/>
        <v>4.0000000000000036E-2</v>
      </c>
      <c r="K239" s="2">
        <f t="shared" si="10"/>
        <v>2.09</v>
      </c>
    </row>
    <row r="240" spans="1:11" x14ac:dyDescent="0.25">
      <c r="A240" s="4">
        <f t="shared" si="11"/>
        <v>45615</v>
      </c>
      <c r="B240" t="s">
        <v>249</v>
      </c>
      <c r="C240" s="2">
        <v>4.4400000000000004</v>
      </c>
      <c r="D240" s="2">
        <v>4.3899999999999997</v>
      </c>
      <c r="E240" s="2">
        <v>2.35</v>
      </c>
      <c r="F240" s="6">
        <v>1.2665</v>
      </c>
      <c r="G240" s="6">
        <v>1.1962999999999999</v>
      </c>
      <c r="J240" s="2">
        <f t="shared" si="9"/>
        <v>5.0000000000000711E-2</v>
      </c>
      <c r="K240" s="2">
        <f t="shared" si="10"/>
        <v>2.0900000000000003</v>
      </c>
    </row>
    <row r="241" spans="1:11" x14ac:dyDescent="0.25">
      <c r="A241" s="4">
        <f t="shared" si="11"/>
        <v>45616</v>
      </c>
      <c r="B241" t="s">
        <v>250</v>
      </c>
      <c r="C241" s="2">
        <v>4.46</v>
      </c>
      <c r="D241" s="2">
        <v>4.41</v>
      </c>
      <c r="E241" s="2">
        <v>2.35</v>
      </c>
      <c r="F241" s="6">
        <v>1.2653000000000001</v>
      </c>
      <c r="G241" s="6">
        <v>1.2025999999999999</v>
      </c>
      <c r="J241" s="2">
        <f t="shared" si="9"/>
        <v>4.9999999999999822E-2</v>
      </c>
      <c r="K241" s="2">
        <f t="shared" si="10"/>
        <v>2.11</v>
      </c>
    </row>
    <row r="242" spans="1:11" x14ac:dyDescent="0.25">
      <c r="A242" s="4">
        <f t="shared" si="11"/>
        <v>45617</v>
      </c>
      <c r="B242" t="s">
        <v>251</v>
      </c>
      <c r="C242" s="2">
        <v>4.43</v>
      </c>
      <c r="D242" s="2">
        <v>4.43</v>
      </c>
      <c r="E242" s="2">
        <v>2.33</v>
      </c>
      <c r="F242" s="6">
        <v>1.2618</v>
      </c>
      <c r="G242" s="6">
        <v>1.2004999999999999</v>
      </c>
      <c r="J242" s="2">
        <f t="shared" si="9"/>
        <v>0</v>
      </c>
      <c r="K242" s="2">
        <f t="shared" si="10"/>
        <v>2.0999999999999996</v>
      </c>
    </row>
    <row r="243" spans="1:11" x14ac:dyDescent="0.25">
      <c r="A243" s="4">
        <f t="shared" si="11"/>
        <v>45618</v>
      </c>
      <c r="B243" t="s">
        <v>252</v>
      </c>
      <c r="C243" s="2">
        <v>4.3899999999999997</v>
      </c>
      <c r="D243" s="2">
        <v>4.41</v>
      </c>
      <c r="E243" s="2">
        <v>2.2599999999999998</v>
      </c>
      <c r="F243" s="6">
        <v>1.2526999999999999</v>
      </c>
      <c r="G243" s="6">
        <v>1.2033</v>
      </c>
      <c r="J243" s="2">
        <f t="shared" si="9"/>
        <v>-2.0000000000000462E-2</v>
      </c>
      <c r="K243" s="2">
        <f t="shared" si="10"/>
        <v>2.13</v>
      </c>
    </row>
    <row r="244" spans="1:11" x14ac:dyDescent="0.25">
      <c r="A244" s="4">
        <f t="shared" si="11"/>
        <v>45621</v>
      </c>
      <c r="B244" t="s">
        <v>253</v>
      </c>
      <c r="C244" s="2">
        <v>4.3499999999999996</v>
      </c>
      <c r="D244" s="2">
        <v>4.2699999999999996</v>
      </c>
      <c r="E244" s="2">
        <v>2.2000000000000002</v>
      </c>
      <c r="F244" s="6">
        <v>1.2551000000000001</v>
      </c>
      <c r="G244" s="6">
        <v>1.1966000000000001</v>
      </c>
      <c r="J244" s="2">
        <f t="shared" si="9"/>
        <v>8.0000000000000071E-2</v>
      </c>
      <c r="K244" s="2">
        <f t="shared" si="10"/>
        <v>2.1499999999999995</v>
      </c>
    </row>
    <row r="245" spans="1:11" x14ac:dyDescent="0.25">
      <c r="A245" s="4">
        <f t="shared" si="11"/>
        <v>45622</v>
      </c>
      <c r="B245" t="s">
        <v>254</v>
      </c>
      <c r="C245" s="2">
        <v>4.34</v>
      </c>
      <c r="D245" s="2">
        <v>4.3</v>
      </c>
      <c r="E245" s="2">
        <v>2.1800000000000002</v>
      </c>
      <c r="F245" s="6">
        <v>1.2563</v>
      </c>
      <c r="G245" s="6">
        <v>1.1988000000000001</v>
      </c>
      <c r="J245" s="2">
        <f t="shared" si="9"/>
        <v>4.0000000000000036E-2</v>
      </c>
      <c r="K245" s="2">
        <f t="shared" si="10"/>
        <v>2.1599999999999997</v>
      </c>
    </row>
    <row r="246" spans="1:11" x14ac:dyDescent="0.25">
      <c r="A246" s="4">
        <f t="shared" si="11"/>
        <v>45623</v>
      </c>
      <c r="B246" t="s">
        <v>255</v>
      </c>
      <c r="C246" s="2">
        <v>4.29</v>
      </c>
      <c r="D246" s="2">
        <v>4.25</v>
      </c>
      <c r="E246" s="2">
        <v>2.17</v>
      </c>
      <c r="F246" s="6">
        <v>1.2677</v>
      </c>
      <c r="G246" s="6">
        <v>1.1993</v>
      </c>
      <c r="J246" s="2">
        <f t="shared" si="9"/>
        <v>4.0000000000000036E-2</v>
      </c>
      <c r="K246" s="2">
        <f t="shared" si="10"/>
        <v>2.12</v>
      </c>
    </row>
    <row r="247" spans="1:11" x14ac:dyDescent="0.25">
      <c r="A247" s="4">
        <f t="shared" si="11"/>
        <v>45624</v>
      </c>
      <c r="B247" t="s">
        <v>256</v>
      </c>
      <c r="C247" s="2">
        <v>4.28</v>
      </c>
      <c r="D247" s="2" t="e">
        <v>#N/A</v>
      </c>
      <c r="E247" s="2">
        <v>2.13</v>
      </c>
      <c r="F247" s="6">
        <v>1.2682</v>
      </c>
      <c r="G247" s="6">
        <v>1.2019</v>
      </c>
      <c r="J247" s="2" t="e">
        <f t="shared" si="9"/>
        <v>#N/A</v>
      </c>
      <c r="K247" s="2">
        <f t="shared" si="10"/>
        <v>2.1500000000000004</v>
      </c>
    </row>
    <row r="248" spans="1:11" x14ac:dyDescent="0.25">
      <c r="A248" s="4">
        <f t="shared" si="11"/>
        <v>45625</v>
      </c>
      <c r="B248" t="s">
        <v>257</v>
      </c>
      <c r="C248" s="2">
        <v>4.24</v>
      </c>
      <c r="D248" s="2">
        <v>4.18</v>
      </c>
      <c r="E248" s="2">
        <v>2.08</v>
      </c>
      <c r="F248" s="6">
        <v>1.2707999999999999</v>
      </c>
      <c r="G248" s="6">
        <v>1.2033</v>
      </c>
      <c r="J248" s="2">
        <f t="shared" si="9"/>
        <v>6.0000000000000497E-2</v>
      </c>
      <c r="K248" s="2">
        <f t="shared" si="10"/>
        <v>2.16</v>
      </c>
    </row>
    <row r="249" spans="1:11" x14ac:dyDescent="0.25">
      <c r="A249" s="4">
        <f t="shared" si="11"/>
        <v>45628</v>
      </c>
      <c r="B249" t="s">
        <v>258</v>
      </c>
      <c r="C249" s="2">
        <v>4.22</v>
      </c>
      <c r="D249" s="2">
        <v>4.1900000000000004</v>
      </c>
      <c r="E249" s="2">
        <v>2.04</v>
      </c>
      <c r="F249" s="6">
        <v>1.2628999999999999</v>
      </c>
      <c r="G249" s="6">
        <v>1.2061999999999999</v>
      </c>
      <c r="J249" s="2">
        <f t="shared" si="9"/>
        <v>2.9999999999999361E-2</v>
      </c>
      <c r="K249" s="2">
        <f t="shared" si="10"/>
        <v>2.1799999999999997</v>
      </c>
    </row>
    <row r="250" spans="1:11" x14ac:dyDescent="0.25">
      <c r="A250" s="4">
        <f t="shared" si="11"/>
        <v>45629</v>
      </c>
      <c r="B250" t="s">
        <v>259</v>
      </c>
      <c r="C250" s="2">
        <v>4.24</v>
      </c>
      <c r="D250" s="2">
        <v>4.2300000000000004</v>
      </c>
      <c r="E250" s="2">
        <v>2.06</v>
      </c>
      <c r="F250" s="6">
        <v>1.2662</v>
      </c>
      <c r="G250" s="6">
        <v>1.204</v>
      </c>
      <c r="J250" s="2">
        <f t="shared" si="9"/>
        <v>9.9999999999997868E-3</v>
      </c>
      <c r="K250" s="2">
        <f t="shared" si="10"/>
        <v>2.1800000000000002</v>
      </c>
    </row>
    <row r="251" spans="1:11" x14ac:dyDescent="0.25">
      <c r="A251" s="4">
        <f t="shared" si="11"/>
        <v>45630</v>
      </c>
      <c r="B251" t="s">
        <v>260</v>
      </c>
      <c r="C251" s="2">
        <v>4.24</v>
      </c>
      <c r="D251" s="2">
        <v>4.1900000000000004</v>
      </c>
      <c r="E251" s="2">
        <v>2.0499999999999998</v>
      </c>
      <c r="F251" s="6">
        <v>1.2707999999999999</v>
      </c>
      <c r="G251" s="6">
        <v>1.2070000000000001</v>
      </c>
      <c r="J251" s="2">
        <f t="shared" si="9"/>
        <v>4.9999999999999822E-2</v>
      </c>
      <c r="K251" s="2">
        <f t="shared" si="10"/>
        <v>2.1900000000000004</v>
      </c>
    </row>
    <row r="252" spans="1:11" x14ac:dyDescent="0.25">
      <c r="A252" s="4">
        <f t="shared" si="11"/>
        <v>45631</v>
      </c>
      <c r="B252" t="s">
        <v>261</v>
      </c>
      <c r="C252" s="2">
        <v>4.2699999999999996</v>
      </c>
      <c r="D252" s="2">
        <v>4.17</v>
      </c>
      <c r="E252" s="2">
        <v>2.1</v>
      </c>
      <c r="F252" s="6">
        <v>1.2757000000000001</v>
      </c>
      <c r="G252" s="6">
        <v>1.2065999999999999</v>
      </c>
      <c r="J252" s="2">
        <f t="shared" si="9"/>
        <v>9.9999999999999645E-2</v>
      </c>
      <c r="K252" s="2">
        <f t="shared" si="10"/>
        <v>2.1699999999999995</v>
      </c>
    </row>
    <row r="253" spans="1:11" x14ac:dyDescent="0.25">
      <c r="A253" s="4">
        <f t="shared" si="11"/>
        <v>45632</v>
      </c>
      <c r="B253" t="s">
        <v>262</v>
      </c>
      <c r="C253" s="2">
        <v>4.28</v>
      </c>
      <c r="D253" s="2">
        <v>4.1500000000000004</v>
      </c>
      <c r="E253" s="2">
        <v>2.1</v>
      </c>
      <c r="F253" s="6">
        <v>1.2743</v>
      </c>
      <c r="G253" s="6">
        <v>1.2063999999999999</v>
      </c>
      <c r="J253" s="2">
        <f t="shared" si="9"/>
        <v>0.12999999999999989</v>
      </c>
      <c r="K253" s="2">
        <f t="shared" si="10"/>
        <v>2.1800000000000002</v>
      </c>
    </row>
    <row r="254" spans="1:11" x14ac:dyDescent="0.25">
      <c r="A254" s="4">
        <f t="shared" si="11"/>
        <v>45635</v>
      </c>
      <c r="B254" t="s">
        <v>263</v>
      </c>
      <c r="C254" s="2">
        <v>4.28</v>
      </c>
      <c r="D254" s="2">
        <v>4.2</v>
      </c>
      <c r="E254" s="2">
        <v>2.12</v>
      </c>
      <c r="F254" s="6">
        <v>1.2796000000000001</v>
      </c>
      <c r="G254" s="6">
        <v>1.2081</v>
      </c>
      <c r="J254" s="2">
        <f t="shared" si="9"/>
        <v>8.0000000000000071E-2</v>
      </c>
      <c r="K254" s="2">
        <f t="shared" si="10"/>
        <v>2.16</v>
      </c>
    </row>
    <row r="255" spans="1:11" x14ac:dyDescent="0.25">
      <c r="A255" s="4">
        <f t="shared" si="11"/>
        <v>45636</v>
      </c>
      <c r="B255" t="s">
        <v>264</v>
      </c>
      <c r="C255" s="2">
        <v>4.33</v>
      </c>
      <c r="D255" s="2">
        <v>4.22</v>
      </c>
      <c r="E255" s="2">
        <v>2.12</v>
      </c>
      <c r="F255" s="6">
        <v>1.2738</v>
      </c>
      <c r="G255" s="6">
        <v>1.2126999999999999</v>
      </c>
      <c r="J255" s="2">
        <f t="shared" si="9"/>
        <v>0.11000000000000032</v>
      </c>
      <c r="K255" s="2">
        <f t="shared" si="10"/>
        <v>2.21</v>
      </c>
    </row>
    <row r="256" spans="1:11" x14ac:dyDescent="0.25">
      <c r="A256" s="4">
        <f t="shared" si="11"/>
        <v>45637</v>
      </c>
      <c r="B256" t="s">
        <v>265</v>
      </c>
      <c r="C256" s="2">
        <v>4.33</v>
      </c>
      <c r="D256" s="2">
        <v>4.26</v>
      </c>
      <c r="E256" s="2">
        <v>2.14</v>
      </c>
      <c r="F256" s="6">
        <v>1.2744</v>
      </c>
      <c r="G256" s="6">
        <v>1.2148000000000001</v>
      </c>
      <c r="J256" s="2">
        <f t="shared" si="9"/>
        <v>7.0000000000000284E-2</v>
      </c>
      <c r="K256" s="2">
        <f t="shared" si="10"/>
        <v>2.19</v>
      </c>
    </row>
    <row r="257" spans="1:11" x14ac:dyDescent="0.25">
      <c r="A257" s="4">
        <f t="shared" si="11"/>
        <v>45638</v>
      </c>
      <c r="B257" t="s">
        <v>266</v>
      </c>
      <c r="C257" s="2">
        <v>4.37</v>
      </c>
      <c r="D257" s="2">
        <v>4.32</v>
      </c>
      <c r="E257" s="2">
        <v>2.21</v>
      </c>
      <c r="F257" s="6">
        <v>1.2689999999999999</v>
      </c>
      <c r="G257" s="6">
        <v>1.2116</v>
      </c>
      <c r="J257" s="2">
        <f t="shared" si="9"/>
        <v>4.9999999999999822E-2</v>
      </c>
      <c r="K257" s="2">
        <f t="shared" si="10"/>
        <v>2.16</v>
      </c>
    </row>
    <row r="258" spans="1:11" x14ac:dyDescent="0.25">
      <c r="A258" s="4">
        <f t="shared" si="11"/>
        <v>45639</v>
      </c>
      <c r="B258" t="s">
        <v>267</v>
      </c>
      <c r="C258" s="2">
        <v>4.42</v>
      </c>
      <c r="D258" s="2">
        <v>4.4000000000000004</v>
      </c>
      <c r="E258" s="2">
        <v>2.2599999999999998</v>
      </c>
      <c r="F258" s="6">
        <v>1.2614000000000001</v>
      </c>
      <c r="G258" s="6">
        <v>1.2025999999999999</v>
      </c>
      <c r="J258" s="2">
        <f t="shared" si="9"/>
        <v>1.9999999999999574E-2</v>
      </c>
      <c r="K258" s="2">
        <f t="shared" si="10"/>
        <v>2.16</v>
      </c>
    </row>
    <row r="259" spans="1:11" x14ac:dyDescent="0.25">
      <c r="A259" s="4">
        <f t="shared" si="11"/>
        <v>45642</v>
      </c>
      <c r="B259" t="s">
        <v>268</v>
      </c>
      <c r="C259" s="2">
        <v>4.4400000000000004</v>
      </c>
      <c r="D259" s="2">
        <v>4.3899999999999997</v>
      </c>
      <c r="E259" s="2">
        <v>2.2400000000000002</v>
      </c>
      <c r="F259" s="6">
        <v>1.2690999999999999</v>
      </c>
      <c r="G259" s="6">
        <v>1.2079</v>
      </c>
      <c r="J259" s="2">
        <f t="shared" si="9"/>
        <v>5.0000000000000711E-2</v>
      </c>
      <c r="K259" s="2">
        <f t="shared" si="10"/>
        <v>2.2000000000000002</v>
      </c>
    </row>
    <row r="260" spans="1:11" x14ac:dyDescent="0.25">
      <c r="A260" s="4">
        <f t="shared" si="11"/>
        <v>45643</v>
      </c>
      <c r="B260" t="s">
        <v>269</v>
      </c>
      <c r="C260" s="2">
        <v>4.5199999999999996</v>
      </c>
      <c r="D260" s="2">
        <v>4.4000000000000004</v>
      </c>
      <c r="E260" s="2">
        <v>2.2400000000000002</v>
      </c>
      <c r="F260" s="6">
        <v>1.2710999999999999</v>
      </c>
      <c r="G260" s="6">
        <v>1.2105999999999999</v>
      </c>
      <c r="J260" s="2">
        <f t="shared" si="9"/>
        <v>0.11999999999999922</v>
      </c>
      <c r="K260" s="2">
        <f t="shared" si="10"/>
        <v>2.2799999999999994</v>
      </c>
    </row>
    <row r="261" spans="1:11" x14ac:dyDescent="0.25">
      <c r="A261" s="4">
        <f t="shared" si="11"/>
        <v>45644</v>
      </c>
      <c r="B261" t="s">
        <v>270</v>
      </c>
      <c r="C261" s="2">
        <v>4.55</v>
      </c>
      <c r="D261" s="2">
        <v>4.5</v>
      </c>
      <c r="E261" s="2">
        <v>2.2599999999999998</v>
      </c>
      <c r="F261" s="6">
        <v>1.2693000000000001</v>
      </c>
      <c r="G261" s="6">
        <v>1.2118</v>
      </c>
      <c r="J261" s="2">
        <f t="shared" si="9"/>
        <v>4.9999999999999822E-2</v>
      </c>
      <c r="K261" s="2">
        <f t="shared" si="10"/>
        <v>2.29</v>
      </c>
    </row>
    <row r="262" spans="1:11" x14ac:dyDescent="0.25">
      <c r="A262" s="4">
        <f t="shared" si="11"/>
        <v>45645</v>
      </c>
      <c r="B262" t="s">
        <v>271</v>
      </c>
      <c r="C262" s="2">
        <v>4.6100000000000003</v>
      </c>
      <c r="D262" s="2">
        <v>4.57</v>
      </c>
      <c r="E262" s="2">
        <v>2.31</v>
      </c>
      <c r="F262" s="6">
        <v>1.2551000000000001</v>
      </c>
      <c r="G262" s="6">
        <v>1.2090000000000001</v>
      </c>
      <c r="J262" s="2">
        <f t="shared" si="9"/>
        <v>4.0000000000000036E-2</v>
      </c>
      <c r="K262" s="2">
        <f t="shared" si="10"/>
        <v>2.3000000000000003</v>
      </c>
    </row>
    <row r="263" spans="1:11" x14ac:dyDescent="0.25">
      <c r="A263" s="4">
        <f t="shared" si="11"/>
        <v>45646</v>
      </c>
      <c r="B263" t="s">
        <v>272</v>
      </c>
      <c r="C263" s="2">
        <v>4.5199999999999996</v>
      </c>
      <c r="D263" s="2">
        <v>4.5199999999999996</v>
      </c>
      <c r="E263" s="2">
        <v>2.29</v>
      </c>
      <c r="F263" s="6">
        <v>1.2541</v>
      </c>
      <c r="G263" s="6">
        <v>1.2061999999999999</v>
      </c>
      <c r="J263" s="2">
        <f t="shared" si="9"/>
        <v>0</v>
      </c>
      <c r="K263" s="2">
        <f t="shared" si="10"/>
        <v>2.2299999999999995</v>
      </c>
    </row>
    <row r="264" spans="1:11" x14ac:dyDescent="0.25">
      <c r="A264" s="4">
        <f t="shared" si="11"/>
        <v>45649</v>
      </c>
      <c r="B264" t="s">
        <v>273</v>
      </c>
      <c r="C264" s="2">
        <v>4.5599999999999996</v>
      </c>
      <c r="D264" s="2">
        <v>4.59</v>
      </c>
      <c r="E264" s="2">
        <v>2.33</v>
      </c>
      <c r="F264" s="6">
        <v>1.2519</v>
      </c>
      <c r="G264" s="6">
        <v>1.2047000000000001</v>
      </c>
      <c r="J264" s="2">
        <f t="shared" si="9"/>
        <v>-3.0000000000000249E-2</v>
      </c>
      <c r="K264" s="2">
        <f t="shared" si="10"/>
        <v>2.2299999999999995</v>
      </c>
    </row>
    <row r="265" spans="1:11" x14ac:dyDescent="0.25">
      <c r="A265" s="4">
        <f t="shared" si="11"/>
        <v>45650</v>
      </c>
      <c r="B265" t="s">
        <v>274</v>
      </c>
      <c r="C265" s="2">
        <v>4.5999999999999996</v>
      </c>
      <c r="D265" s="2">
        <v>4.59</v>
      </c>
      <c r="E265" s="2">
        <v>2.33</v>
      </c>
      <c r="F265" s="6">
        <v>1.2539</v>
      </c>
      <c r="G265" s="6">
        <v>1.2065999999999999</v>
      </c>
      <c r="J265" s="2">
        <f t="shared" ref="J265:J328" si="12">C265-D265</f>
        <v>9.9999999999997868E-3</v>
      </c>
      <c r="K265" s="2">
        <f t="shared" ref="K265:K328" si="13">C265-E265</f>
        <v>2.2699999999999996</v>
      </c>
    </row>
    <row r="266" spans="1:11" x14ac:dyDescent="0.25">
      <c r="A266" s="4">
        <f t="shared" si="11"/>
        <v>45651</v>
      </c>
      <c r="B266" t="s">
        <v>275</v>
      </c>
      <c r="C266" s="2" t="e">
        <v>#N/A</v>
      </c>
      <c r="D266" s="2" t="e">
        <v>#N/A</v>
      </c>
      <c r="E266" s="2">
        <v>2.33</v>
      </c>
      <c r="F266" s="6" t="e">
        <v>#N/A</v>
      </c>
      <c r="G266" s="6" t="e">
        <v>#N/A</v>
      </c>
      <c r="J266" s="2" t="e">
        <f t="shared" si="12"/>
        <v>#N/A</v>
      </c>
      <c r="K266" s="2" t="e">
        <f t="shared" si="13"/>
        <v>#N/A</v>
      </c>
    </row>
    <row r="267" spans="1:11" x14ac:dyDescent="0.25">
      <c r="A267" s="4">
        <f t="shared" si="11"/>
        <v>45652</v>
      </c>
      <c r="B267" t="s">
        <v>276</v>
      </c>
      <c r="C267" s="2" t="e">
        <v>#N/A</v>
      </c>
      <c r="D267" s="2">
        <v>4.58</v>
      </c>
      <c r="E267" s="2">
        <v>2.33</v>
      </c>
      <c r="F267" s="6" t="e">
        <v>#N/A</v>
      </c>
      <c r="G267" s="6" t="e">
        <v>#N/A</v>
      </c>
      <c r="J267" s="2" t="e">
        <f t="shared" si="12"/>
        <v>#N/A</v>
      </c>
      <c r="K267" s="2" t="e">
        <f t="shared" si="13"/>
        <v>#N/A</v>
      </c>
    </row>
    <row r="268" spans="1:11" x14ac:dyDescent="0.25">
      <c r="A268" s="4">
        <f t="shared" si="11"/>
        <v>45653</v>
      </c>
      <c r="B268" t="s">
        <v>277</v>
      </c>
      <c r="C268" s="2">
        <v>4.6399999999999997</v>
      </c>
      <c r="D268" s="2">
        <v>4.62</v>
      </c>
      <c r="E268" s="2">
        <v>2.4</v>
      </c>
      <c r="F268" s="6">
        <v>1.2577</v>
      </c>
      <c r="G268" s="6">
        <v>1.2068000000000001</v>
      </c>
      <c r="J268" s="2">
        <f t="shared" si="12"/>
        <v>1.9999999999999574E-2</v>
      </c>
      <c r="K268" s="2">
        <f t="shared" si="13"/>
        <v>2.2399999999999998</v>
      </c>
    </row>
    <row r="269" spans="1:11" x14ac:dyDescent="0.25">
      <c r="A269" s="4">
        <f t="shared" si="11"/>
        <v>45656</v>
      </c>
      <c r="B269" t="s">
        <v>278</v>
      </c>
      <c r="C269" s="2">
        <v>4.62</v>
      </c>
      <c r="D269" s="2">
        <v>4.55</v>
      </c>
      <c r="E269" s="2">
        <v>2.36</v>
      </c>
      <c r="F269" s="6">
        <v>1.2511000000000001</v>
      </c>
      <c r="G269" s="6">
        <v>1.2053</v>
      </c>
      <c r="J269" s="2">
        <f t="shared" si="12"/>
        <v>7.0000000000000284E-2</v>
      </c>
      <c r="K269" s="2">
        <f t="shared" si="13"/>
        <v>2.2600000000000002</v>
      </c>
    </row>
    <row r="270" spans="1:11" x14ac:dyDescent="0.25">
      <c r="A270" s="4">
        <f t="shared" si="11"/>
        <v>45657</v>
      </c>
      <c r="B270" t="s">
        <v>279</v>
      </c>
      <c r="C270" s="2">
        <v>4.57</v>
      </c>
      <c r="D270" s="2">
        <v>4.58</v>
      </c>
      <c r="E270" s="2">
        <v>2.36</v>
      </c>
      <c r="F270" s="6">
        <v>1.2528999999999999</v>
      </c>
      <c r="G270" s="6">
        <v>1.2099</v>
      </c>
      <c r="J270" s="2">
        <f t="shared" si="12"/>
        <v>-9.9999999999997868E-3</v>
      </c>
      <c r="K270" s="2">
        <f t="shared" si="13"/>
        <v>2.2100000000000004</v>
      </c>
    </row>
    <row r="271" spans="1:11" x14ac:dyDescent="0.25">
      <c r="A271" s="4">
        <f t="shared" ref="A271:A334" si="14">+A266+7</f>
        <v>45658</v>
      </c>
      <c r="B271" t="s">
        <v>280</v>
      </c>
      <c r="C271" s="2" t="e">
        <v>#N/A</v>
      </c>
      <c r="D271" s="2" t="e">
        <v>#N/A</v>
      </c>
      <c r="E271" s="2">
        <v>2.37</v>
      </c>
      <c r="F271" s="6" t="e">
        <v>#N/A</v>
      </c>
      <c r="G271" s="6" t="e">
        <v>#N/A</v>
      </c>
      <c r="J271" s="2" t="e">
        <f t="shared" si="12"/>
        <v>#N/A</v>
      </c>
      <c r="K271" s="2" t="e">
        <f t="shared" si="13"/>
        <v>#N/A</v>
      </c>
    </row>
    <row r="272" spans="1:11" x14ac:dyDescent="0.25">
      <c r="A272" s="4">
        <f t="shared" si="14"/>
        <v>45659</v>
      </c>
      <c r="B272" t="s">
        <v>281</v>
      </c>
      <c r="C272" s="2">
        <v>4.59</v>
      </c>
      <c r="D272" s="2">
        <v>4.57</v>
      </c>
      <c r="E272" s="2">
        <v>2.36</v>
      </c>
      <c r="F272" s="6">
        <v>1.2375</v>
      </c>
      <c r="G272" s="6">
        <v>1.2044999999999999</v>
      </c>
      <c r="J272" s="2">
        <f t="shared" si="12"/>
        <v>1.9999999999999574E-2</v>
      </c>
      <c r="K272" s="2">
        <f t="shared" si="13"/>
        <v>2.23</v>
      </c>
    </row>
    <row r="273" spans="1:11" x14ac:dyDescent="0.25">
      <c r="A273" s="4">
        <f t="shared" si="14"/>
        <v>45660</v>
      </c>
      <c r="B273" t="s">
        <v>282</v>
      </c>
      <c r="C273" s="2">
        <v>4.5999999999999996</v>
      </c>
      <c r="D273" s="2">
        <v>4.5999999999999996</v>
      </c>
      <c r="E273" s="2">
        <v>2.4300000000000002</v>
      </c>
      <c r="F273" s="6">
        <v>1.2403999999999999</v>
      </c>
      <c r="G273" s="6">
        <v>1.2058</v>
      </c>
      <c r="J273" s="2">
        <f t="shared" si="12"/>
        <v>0</v>
      </c>
      <c r="K273" s="2">
        <f t="shared" si="13"/>
        <v>2.1699999999999995</v>
      </c>
    </row>
    <row r="274" spans="1:11" x14ac:dyDescent="0.25">
      <c r="A274" s="4">
        <f t="shared" si="14"/>
        <v>45663</v>
      </c>
      <c r="B274" t="s">
        <v>283</v>
      </c>
      <c r="C274" s="2">
        <v>4.6100000000000003</v>
      </c>
      <c r="D274" s="2">
        <v>4.62</v>
      </c>
      <c r="E274" s="2">
        <v>2.4500000000000002</v>
      </c>
      <c r="F274" s="6">
        <v>1.2507999999999999</v>
      </c>
      <c r="G274" s="6">
        <v>1.2034</v>
      </c>
      <c r="J274" s="2">
        <f t="shared" si="12"/>
        <v>-9.9999999999997868E-3</v>
      </c>
      <c r="K274" s="2">
        <f t="shared" si="13"/>
        <v>2.16</v>
      </c>
    </row>
    <row r="275" spans="1:11" x14ac:dyDescent="0.25">
      <c r="A275" s="4">
        <f t="shared" si="14"/>
        <v>45664</v>
      </c>
      <c r="B275" t="s">
        <v>284</v>
      </c>
      <c r="C275" s="2">
        <v>4.68</v>
      </c>
      <c r="D275" s="2">
        <v>4.67</v>
      </c>
      <c r="E275" s="2">
        <v>2.48</v>
      </c>
      <c r="F275" s="6">
        <v>1.2498</v>
      </c>
      <c r="G275" s="6">
        <v>1.2049000000000001</v>
      </c>
      <c r="J275" s="2">
        <f t="shared" si="12"/>
        <v>9.9999999999997868E-3</v>
      </c>
      <c r="K275" s="2">
        <f t="shared" si="13"/>
        <v>2.1999999999999997</v>
      </c>
    </row>
    <row r="276" spans="1:11" x14ac:dyDescent="0.25">
      <c r="A276" s="4">
        <f t="shared" si="14"/>
        <v>45665</v>
      </c>
      <c r="B276" t="s">
        <v>285</v>
      </c>
      <c r="C276" s="2">
        <v>4.8099999999999996</v>
      </c>
      <c r="D276" s="2">
        <v>4.67</v>
      </c>
      <c r="E276" s="2">
        <v>2.52</v>
      </c>
      <c r="F276" s="6">
        <v>1.2342</v>
      </c>
      <c r="G276" s="6">
        <v>1.1981999999999999</v>
      </c>
      <c r="J276" s="2">
        <f t="shared" si="12"/>
        <v>0.13999999999999968</v>
      </c>
      <c r="K276" s="2">
        <f t="shared" si="13"/>
        <v>2.2899999999999996</v>
      </c>
    </row>
    <row r="277" spans="1:11" x14ac:dyDescent="0.25">
      <c r="A277" s="4">
        <f t="shared" si="14"/>
        <v>45666</v>
      </c>
      <c r="B277" t="s">
        <v>286</v>
      </c>
      <c r="C277" s="2">
        <v>4.82</v>
      </c>
      <c r="D277" s="2">
        <v>4.68</v>
      </c>
      <c r="E277" s="2">
        <v>2.5499999999999998</v>
      </c>
      <c r="F277" s="6">
        <v>1.2302999999999999</v>
      </c>
      <c r="G277" s="6">
        <v>1.1944999999999999</v>
      </c>
      <c r="J277" s="2">
        <f t="shared" si="12"/>
        <v>0.14000000000000057</v>
      </c>
      <c r="K277" s="2">
        <f t="shared" si="13"/>
        <v>2.2700000000000005</v>
      </c>
    </row>
    <row r="278" spans="1:11" x14ac:dyDescent="0.25">
      <c r="A278" s="4">
        <f t="shared" si="14"/>
        <v>45667</v>
      </c>
      <c r="B278" t="s">
        <v>287</v>
      </c>
      <c r="C278" s="2">
        <v>4.8499999999999996</v>
      </c>
      <c r="D278" s="2">
        <v>4.7699999999999996</v>
      </c>
      <c r="E278" s="2">
        <v>2.58</v>
      </c>
      <c r="F278" s="6">
        <v>1.2230000000000001</v>
      </c>
      <c r="G278" s="6">
        <v>1.1931</v>
      </c>
      <c r="J278" s="2">
        <f t="shared" si="12"/>
        <v>8.0000000000000071E-2</v>
      </c>
      <c r="K278" s="2">
        <f t="shared" si="13"/>
        <v>2.2699999999999996</v>
      </c>
    </row>
    <row r="279" spans="1:11" x14ac:dyDescent="0.25">
      <c r="A279" s="4">
        <f t="shared" si="14"/>
        <v>45670</v>
      </c>
      <c r="B279" t="s">
        <v>288</v>
      </c>
      <c r="C279" s="2">
        <v>4.87</v>
      </c>
      <c r="D279" s="2">
        <v>4.79</v>
      </c>
      <c r="E279" s="2">
        <v>2.59</v>
      </c>
      <c r="F279" s="6">
        <v>1.2152000000000001</v>
      </c>
      <c r="G279" s="6">
        <v>1.1918</v>
      </c>
      <c r="J279" s="2">
        <f t="shared" si="12"/>
        <v>8.0000000000000071E-2</v>
      </c>
      <c r="K279" s="2">
        <f t="shared" si="13"/>
        <v>2.2800000000000002</v>
      </c>
    </row>
    <row r="280" spans="1:11" x14ac:dyDescent="0.25">
      <c r="A280" s="4">
        <f t="shared" si="14"/>
        <v>45671</v>
      </c>
      <c r="B280" t="s">
        <v>289</v>
      </c>
      <c r="C280" s="2">
        <v>4.91</v>
      </c>
      <c r="D280" s="2">
        <v>4.78</v>
      </c>
      <c r="E280" s="2">
        <v>2.63</v>
      </c>
      <c r="F280" s="6">
        <v>1.2201</v>
      </c>
      <c r="G280" s="6">
        <v>1.1851</v>
      </c>
      <c r="J280" s="2">
        <f t="shared" si="12"/>
        <v>0.12999999999999989</v>
      </c>
      <c r="K280" s="2">
        <f t="shared" si="13"/>
        <v>2.2800000000000002</v>
      </c>
    </row>
    <row r="281" spans="1:11" x14ac:dyDescent="0.25">
      <c r="A281" s="4">
        <f t="shared" si="14"/>
        <v>45672</v>
      </c>
      <c r="B281" t="s">
        <v>290</v>
      </c>
      <c r="C281" s="2">
        <v>4.7300000000000004</v>
      </c>
      <c r="D281" s="2">
        <v>4.66</v>
      </c>
      <c r="E281" s="2">
        <v>2.5299999999999998</v>
      </c>
      <c r="F281" s="6">
        <v>1.2258</v>
      </c>
      <c r="G281" s="6">
        <v>1.1894</v>
      </c>
      <c r="J281" s="2">
        <f t="shared" si="12"/>
        <v>7.0000000000000284E-2</v>
      </c>
      <c r="K281" s="2">
        <f t="shared" si="13"/>
        <v>2.2000000000000006</v>
      </c>
    </row>
    <row r="282" spans="1:11" x14ac:dyDescent="0.25">
      <c r="A282" s="4">
        <f t="shared" si="14"/>
        <v>45673</v>
      </c>
      <c r="B282" t="s">
        <v>291</v>
      </c>
      <c r="C282" s="2">
        <v>4.68</v>
      </c>
      <c r="D282" s="2">
        <v>4.6100000000000003</v>
      </c>
      <c r="E282" s="2">
        <v>2.5099999999999998</v>
      </c>
      <c r="F282" s="6">
        <v>1.2235</v>
      </c>
      <c r="G282" s="6">
        <v>1.1877</v>
      </c>
      <c r="J282" s="2">
        <f t="shared" si="12"/>
        <v>6.9999999999999396E-2</v>
      </c>
      <c r="K282" s="2">
        <f t="shared" si="13"/>
        <v>2.17</v>
      </c>
    </row>
    <row r="283" spans="1:11" x14ac:dyDescent="0.25">
      <c r="A283" s="4">
        <f t="shared" si="14"/>
        <v>45674</v>
      </c>
      <c r="B283" t="s">
        <v>292</v>
      </c>
      <c r="C283" s="2">
        <v>4.66</v>
      </c>
      <c r="D283" s="2">
        <v>4.6100000000000003</v>
      </c>
      <c r="E283" s="2">
        <v>2.5</v>
      </c>
      <c r="F283" s="6">
        <v>1.2198</v>
      </c>
      <c r="G283" s="6">
        <v>1.1843999999999999</v>
      </c>
      <c r="J283" s="2">
        <f t="shared" si="12"/>
        <v>4.9999999999999822E-2</v>
      </c>
      <c r="K283" s="2">
        <f t="shared" si="13"/>
        <v>2.16</v>
      </c>
    </row>
    <row r="284" spans="1:11" x14ac:dyDescent="0.25">
      <c r="A284" s="4">
        <f t="shared" si="14"/>
        <v>45677</v>
      </c>
      <c r="B284" t="s">
        <v>293</v>
      </c>
      <c r="C284" s="2">
        <v>4.66</v>
      </c>
      <c r="D284" s="2" t="e">
        <v>#N/A</v>
      </c>
      <c r="E284" s="2">
        <v>2.5</v>
      </c>
      <c r="F284" s="6">
        <v>1.2293000000000001</v>
      </c>
      <c r="G284" s="6">
        <v>1.1819</v>
      </c>
      <c r="J284" s="2" t="e">
        <f t="shared" si="12"/>
        <v>#N/A</v>
      </c>
      <c r="K284" s="2">
        <f t="shared" si="13"/>
        <v>2.16</v>
      </c>
    </row>
    <row r="285" spans="1:11" x14ac:dyDescent="0.25">
      <c r="A285" s="4">
        <f t="shared" si="14"/>
        <v>45678</v>
      </c>
      <c r="B285" t="s">
        <v>294</v>
      </c>
      <c r="C285" s="2">
        <v>4.5999999999999996</v>
      </c>
      <c r="D285" s="2">
        <v>4.57</v>
      </c>
      <c r="E285" s="2">
        <v>2.48</v>
      </c>
      <c r="F285" s="6">
        <v>1.2299</v>
      </c>
      <c r="G285" s="6">
        <v>1.1825000000000001</v>
      </c>
      <c r="J285" s="2">
        <f t="shared" si="12"/>
        <v>2.9999999999999361E-2</v>
      </c>
      <c r="K285" s="2">
        <f t="shared" si="13"/>
        <v>2.1199999999999997</v>
      </c>
    </row>
    <row r="286" spans="1:11" x14ac:dyDescent="0.25">
      <c r="A286" s="4">
        <f t="shared" si="14"/>
        <v>45679</v>
      </c>
      <c r="B286" t="s">
        <v>295</v>
      </c>
      <c r="C286" s="2">
        <v>4.6399999999999997</v>
      </c>
      <c r="D286" s="2">
        <v>4.5999999999999996</v>
      </c>
      <c r="E286" s="2">
        <v>2.5</v>
      </c>
      <c r="F286" s="6">
        <v>1.2318</v>
      </c>
      <c r="G286" s="6">
        <v>1.1821999999999999</v>
      </c>
      <c r="J286" s="2">
        <f t="shared" si="12"/>
        <v>4.0000000000000036E-2</v>
      </c>
      <c r="K286" s="2">
        <f t="shared" si="13"/>
        <v>2.1399999999999997</v>
      </c>
    </row>
    <row r="287" spans="1:11" x14ac:dyDescent="0.25">
      <c r="A287" s="4">
        <f t="shared" si="14"/>
        <v>45680</v>
      </c>
      <c r="B287" t="s">
        <v>296</v>
      </c>
      <c r="C287" s="2">
        <v>4.6399999999999997</v>
      </c>
      <c r="D287" s="2">
        <v>4.6500000000000004</v>
      </c>
      <c r="E287" s="2">
        <v>2.52</v>
      </c>
      <c r="F287" s="6">
        <v>1.2323999999999999</v>
      </c>
      <c r="G287" s="6">
        <v>1.1852</v>
      </c>
      <c r="J287" s="2">
        <f t="shared" si="12"/>
        <v>-1.0000000000000675E-2</v>
      </c>
      <c r="K287" s="2">
        <f t="shared" si="13"/>
        <v>2.1199999999999997</v>
      </c>
    </row>
    <row r="288" spans="1:11" x14ac:dyDescent="0.25">
      <c r="A288" s="4">
        <f t="shared" si="14"/>
        <v>45681</v>
      </c>
      <c r="B288" t="s">
        <v>297</v>
      </c>
      <c r="C288" s="2">
        <v>4.6399999999999997</v>
      </c>
      <c r="D288" s="2">
        <v>4.63</v>
      </c>
      <c r="E288" s="2">
        <v>2.5499999999999998</v>
      </c>
      <c r="F288" s="6">
        <v>1.2484</v>
      </c>
      <c r="G288" s="6">
        <v>1.1871</v>
      </c>
      <c r="J288" s="2">
        <f t="shared" si="12"/>
        <v>9.9999999999997868E-3</v>
      </c>
      <c r="K288" s="2">
        <f t="shared" si="13"/>
        <v>2.09</v>
      </c>
    </row>
    <row r="289" spans="1:11" x14ac:dyDescent="0.25">
      <c r="A289" s="4">
        <f t="shared" si="14"/>
        <v>45684</v>
      </c>
      <c r="B289" t="s">
        <v>298</v>
      </c>
      <c r="C289" s="2">
        <v>4.59</v>
      </c>
      <c r="D289" s="2">
        <v>4.53</v>
      </c>
      <c r="E289" s="2">
        <v>2.5099999999999998</v>
      </c>
      <c r="F289" s="6">
        <v>1.2473000000000001</v>
      </c>
      <c r="G289" s="6">
        <v>1.1879999999999999</v>
      </c>
      <c r="J289" s="2">
        <f t="shared" si="12"/>
        <v>5.9999999999999609E-2</v>
      </c>
      <c r="K289" s="2">
        <f t="shared" si="13"/>
        <v>2.08</v>
      </c>
    </row>
    <row r="290" spans="1:11" x14ac:dyDescent="0.25">
      <c r="A290" s="4">
        <f t="shared" si="14"/>
        <v>45685</v>
      </c>
      <c r="B290" t="s">
        <v>299</v>
      </c>
      <c r="C290" s="2">
        <v>4.62</v>
      </c>
      <c r="D290" s="2">
        <v>4.55</v>
      </c>
      <c r="E290" s="2">
        <v>2.56</v>
      </c>
      <c r="F290" s="6">
        <v>1.2432000000000001</v>
      </c>
      <c r="G290" s="6">
        <v>1.1926000000000001</v>
      </c>
      <c r="J290" s="2">
        <f t="shared" si="12"/>
        <v>7.0000000000000284E-2</v>
      </c>
      <c r="K290" s="2">
        <f t="shared" si="13"/>
        <v>2.06</v>
      </c>
    </row>
    <row r="291" spans="1:11" x14ac:dyDescent="0.25">
      <c r="A291" s="4">
        <f t="shared" si="14"/>
        <v>45686</v>
      </c>
      <c r="B291" t="s">
        <v>300</v>
      </c>
      <c r="C291" s="2">
        <v>4.6100000000000003</v>
      </c>
      <c r="D291" s="2">
        <v>4.55</v>
      </c>
      <c r="E291" s="2">
        <v>2.58</v>
      </c>
      <c r="F291" s="6">
        <v>1.2434000000000001</v>
      </c>
      <c r="G291" s="6">
        <v>1.1933</v>
      </c>
      <c r="J291" s="2">
        <f t="shared" si="12"/>
        <v>6.0000000000000497E-2</v>
      </c>
      <c r="K291" s="2">
        <f t="shared" si="13"/>
        <v>2.0300000000000002</v>
      </c>
    </row>
    <row r="292" spans="1:11" x14ac:dyDescent="0.25">
      <c r="A292" s="4">
        <f t="shared" si="14"/>
        <v>45687</v>
      </c>
      <c r="B292" t="s">
        <v>301</v>
      </c>
      <c r="C292" s="2">
        <v>4.5599999999999996</v>
      </c>
      <c r="D292" s="2">
        <v>4.5199999999999996</v>
      </c>
      <c r="E292" s="2">
        <v>2.52</v>
      </c>
      <c r="F292" s="6">
        <v>1.2466999999999999</v>
      </c>
      <c r="G292" s="6">
        <v>1.1951000000000001</v>
      </c>
      <c r="J292" s="2">
        <f t="shared" si="12"/>
        <v>4.0000000000000036E-2</v>
      </c>
      <c r="K292" s="2">
        <f t="shared" si="13"/>
        <v>2.0399999999999996</v>
      </c>
    </row>
    <row r="293" spans="1:11" x14ac:dyDescent="0.25">
      <c r="A293" s="4">
        <f t="shared" si="14"/>
        <v>45688</v>
      </c>
      <c r="B293" t="s">
        <v>302</v>
      </c>
      <c r="C293" s="2">
        <v>4.54</v>
      </c>
      <c r="D293" s="2">
        <v>4.58</v>
      </c>
      <c r="E293" s="2">
        <v>2.48</v>
      </c>
      <c r="F293" s="6">
        <v>1.2425999999999999</v>
      </c>
      <c r="G293" s="6">
        <v>1.1952</v>
      </c>
      <c r="J293" s="2">
        <f t="shared" si="12"/>
        <v>-4.0000000000000036E-2</v>
      </c>
      <c r="K293" s="2">
        <f t="shared" si="13"/>
        <v>2.06</v>
      </c>
    </row>
    <row r="294" spans="1:11" x14ac:dyDescent="0.25">
      <c r="A294" s="4">
        <f t="shared" si="14"/>
        <v>45691</v>
      </c>
      <c r="B294" t="s">
        <v>303</v>
      </c>
      <c r="C294" s="2">
        <v>4.49</v>
      </c>
      <c r="D294" s="2">
        <v>4.54</v>
      </c>
      <c r="E294" s="2">
        <v>2.41</v>
      </c>
      <c r="F294" s="6">
        <v>1.2412000000000001</v>
      </c>
      <c r="G294" s="6">
        <v>1.2031000000000001</v>
      </c>
      <c r="J294" s="2">
        <f t="shared" si="12"/>
        <v>-4.9999999999999822E-2</v>
      </c>
      <c r="K294" s="2">
        <f t="shared" si="13"/>
        <v>2.08</v>
      </c>
    </row>
    <row r="295" spans="1:11" x14ac:dyDescent="0.25">
      <c r="A295" s="4">
        <f t="shared" si="14"/>
        <v>45692</v>
      </c>
      <c r="B295" t="s">
        <v>304</v>
      </c>
      <c r="C295" s="2">
        <v>4.5199999999999996</v>
      </c>
      <c r="D295" s="2">
        <v>4.5199999999999996</v>
      </c>
      <c r="E295" s="2">
        <v>2.39</v>
      </c>
      <c r="F295" s="6">
        <v>1.2477</v>
      </c>
      <c r="G295" s="6">
        <v>1.2019</v>
      </c>
      <c r="J295" s="2">
        <f t="shared" si="12"/>
        <v>0</v>
      </c>
      <c r="K295" s="2">
        <f t="shared" si="13"/>
        <v>2.1299999999999994</v>
      </c>
    </row>
    <row r="296" spans="1:11" x14ac:dyDescent="0.25">
      <c r="A296" s="4">
        <f t="shared" si="14"/>
        <v>45693</v>
      </c>
      <c r="B296" t="s">
        <v>305</v>
      </c>
      <c r="C296" s="2">
        <v>4.43</v>
      </c>
      <c r="D296" s="2">
        <v>4.43</v>
      </c>
      <c r="E296" s="2">
        <v>2.37</v>
      </c>
      <c r="F296" s="6">
        <v>1.2518</v>
      </c>
      <c r="G296" s="6">
        <v>1.2011000000000001</v>
      </c>
      <c r="J296" s="2">
        <f t="shared" si="12"/>
        <v>0</v>
      </c>
      <c r="K296" s="2">
        <f t="shared" si="13"/>
        <v>2.0599999999999996</v>
      </c>
    </row>
    <row r="297" spans="1:11" x14ac:dyDescent="0.25">
      <c r="A297" s="4">
        <f t="shared" si="14"/>
        <v>45694</v>
      </c>
      <c r="B297" t="s">
        <v>306</v>
      </c>
      <c r="C297" s="2">
        <v>4.4800000000000004</v>
      </c>
      <c r="D297" s="2">
        <v>4.45</v>
      </c>
      <c r="E297" s="2">
        <v>2.37</v>
      </c>
      <c r="F297" s="6">
        <v>1.2414000000000001</v>
      </c>
      <c r="G297" s="6">
        <v>1.1973</v>
      </c>
      <c r="J297" s="2">
        <f t="shared" si="12"/>
        <v>3.0000000000000249E-2</v>
      </c>
      <c r="K297" s="2">
        <f t="shared" si="13"/>
        <v>2.1100000000000003</v>
      </c>
    </row>
    <row r="298" spans="1:11" x14ac:dyDescent="0.25">
      <c r="A298" s="4">
        <f t="shared" si="14"/>
        <v>45695</v>
      </c>
      <c r="B298" t="s">
        <v>307</v>
      </c>
      <c r="C298" s="2">
        <v>4.4800000000000004</v>
      </c>
      <c r="D298" s="2">
        <v>4.49</v>
      </c>
      <c r="E298" s="2">
        <v>2.37</v>
      </c>
      <c r="F298" s="6">
        <v>1.2423999999999999</v>
      </c>
      <c r="G298" s="6">
        <v>1.1997</v>
      </c>
      <c r="J298" s="2">
        <f t="shared" si="12"/>
        <v>-9.9999999999997868E-3</v>
      </c>
      <c r="K298" s="2">
        <f t="shared" si="13"/>
        <v>2.1100000000000003</v>
      </c>
    </row>
    <row r="299" spans="1:11" x14ac:dyDescent="0.25">
      <c r="A299" s="4">
        <f t="shared" si="14"/>
        <v>45698</v>
      </c>
      <c r="B299" t="s">
        <v>308</v>
      </c>
      <c r="C299" s="2">
        <v>4.46</v>
      </c>
      <c r="D299" s="2">
        <v>4.51</v>
      </c>
      <c r="E299" s="2">
        <v>2.37</v>
      </c>
      <c r="F299" s="6">
        <v>1.2390000000000001</v>
      </c>
      <c r="G299" s="6">
        <v>1.2011000000000001</v>
      </c>
      <c r="J299" s="2">
        <f t="shared" si="12"/>
        <v>-4.9999999999999822E-2</v>
      </c>
      <c r="K299" s="2">
        <f t="shared" si="13"/>
        <v>2.09</v>
      </c>
    </row>
    <row r="300" spans="1:11" x14ac:dyDescent="0.25">
      <c r="A300" s="4">
        <f t="shared" si="14"/>
        <v>45699</v>
      </c>
      <c r="B300" t="s">
        <v>309</v>
      </c>
      <c r="C300" s="2">
        <v>4.5</v>
      </c>
      <c r="D300" s="2">
        <v>4.54</v>
      </c>
      <c r="E300" s="2">
        <v>2.4300000000000002</v>
      </c>
      <c r="F300" s="6">
        <v>1.2405999999999999</v>
      </c>
      <c r="G300" s="6">
        <v>1.1998</v>
      </c>
      <c r="J300" s="2">
        <f t="shared" si="12"/>
        <v>-4.0000000000000036E-2</v>
      </c>
      <c r="K300" s="2">
        <f t="shared" si="13"/>
        <v>2.0699999999999998</v>
      </c>
    </row>
    <row r="301" spans="1:11" x14ac:dyDescent="0.25">
      <c r="A301" s="4">
        <f t="shared" si="14"/>
        <v>45700</v>
      </c>
      <c r="B301" t="s">
        <v>310</v>
      </c>
      <c r="C301" s="2">
        <v>4.54</v>
      </c>
      <c r="D301" s="2">
        <v>4.62</v>
      </c>
      <c r="E301" s="2">
        <v>2.48</v>
      </c>
      <c r="F301" s="6">
        <v>1.2434000000000001</v>
      </c>
      <c r="G301" s="6">
        <v>1.1984999999999999</v>
      </c>
      <c r="J301" s="2">
        <f t="shared" si="12"/>
        <v>-8.0000000000000071E-2</v>
      </c>
      <c r="K301" s="2">
        <f t="shared" si="13"/>
        <v>2.06</v>
      </c>
    </row>
    <row r="302" spans="1:11" x14ac:dyDescent="0.25">
      <c r="A302" s="4">
        <f t="shared" si="14"/>
        <v>45701</v>
      </c>
      <c r="B302" t="s">
        <v>311</v>
      </c>
      <c r="C302" s="2">
        <v>4.4800000000000004</v>
      </c>
      <c r="D302" s="2">
        <v>4.5199999999999996</v>
      </c>
      <c r="E302" s="2">
        <v>2.42</v>
      </c>
      <c r="F302" s="6">
        <v>1.2523</v>
      </c>
      <c r="G302" s="6">
        <v>1.2002999999999999</v>
      </c>
      <c r="J302" s="2">
        <f t="shared" si="12"/>
        <v>-3.9999999999999147E-2</v>
      </c>
      <c r="K302" s="2">
        <f t="shared" si="13"/>
        <v>2.0600000000000005</v>
      </c>
    </row>
    <row r="303" spans="1:11" x14ac:dyDescent="0.25">
      <c r="A303" s="4">
        <f t="shared" si="14"/>
        <v>45702</v>
      </c>
      <c r="B303" t="s">
        <v>312</v>
      </c>
      <c r="C303" s="2">
        <v>4.51</v>
      </c>
      <c r="D303" s="2">
        <v>4.47</v>
      </c>
      <c r="E303" s="2">
        <v>2.44</v>
      </c>
      <c r="F303" s="6">
        <v>1.2618</v>
      </c>
      <c r="G303" s="6">
        <v>1.2007000000000001</v>
      </c>
      <c r="J303" s="2">
        <f t="shared" si="12"/>
        <v>4.0000000000000036E-2</v>
      </c>
      <c r="K303" s="2">
        <f t="shared" si="13"/>
        <v>2.0699999999999998</v>
      </c>
    </row>
    <row r="304" spans="1:11" x14ac:dyDescent="0.25">
      <c r="A304" s="4">
        <f t="shared" si="14"/>
        <v>45705</v>
      </c>
      <c r="B304" t="s">
        <v>313</v>
      </c>
      <c r="C304" s="2">
        <v>4.53</v>
      </c>
      <c r="D304" s="2" t="e">
        <v>#N/A</v>
      </c>
      <c r="E304" s="2">
        <v>2.4900000000000002</v>
      </c>
      <c r="F304" s="6">
        <v>1.2606999999999999</v>
      </c>
      <c r="G304" s="6">
        <v>1.2029000000000001</v>
      </c>
      <c r="J304" s="2" t="e">
        <f t="shared" si="12"/>
        <v>#N/A</v>
      </c>
      <c r="K304" s="2">
        <f t="shared" si="13"/>
        <v>2.04</v>
      </c>
    </row>
    <row r="305" spans="1:11" x14ac:dyDescent="0.25">
      <c r="A305" s="4">
        <f t="shared" si="14"/>
        <v>45706</v>
      </c>
      <c r="B305" t="s">
        <v>314</v>
      </c>
      <c r="C305" s="2">
        <v>4.5599999999999996</v>
      </c>
      <c r="D305" s="2">
        <v>4.55</v>
      </c>
      <c r="E305" s="2">
        <v>2.5099999999999998</v>
      </c>
      <c r="F305" s="6">
        <v>1.2615000000000001</v>
      </c>
      <c r="G305" s="6">
        <v>1.2053</v>
      </c>
      <c r="J305" s="2">
        <f t="shared" si="12"/>
        <v>9.9999999999997868E-3</v>
      </c>
      <c r="K305" s="2">
        <f t="shared" si="13"/>
        <v>2.0499999999999998</v>
      </c>
    </row>
    <row r="306" spans="1:11" x14ac:dyDescent="0.25">
      <c r="A306" s="4">
        <f t="shared" si="14"/>
        <v>45707</v>
      </c>
      <c r="B306" t="s">
        <v>315</v>
      </c>
      <c r="C306" s="2">
        <v>4.62</v>
      </c>
      <c r="D306" s="2">
        <v>4.53</v>
      </c>
      <c r="E306" s="2">
        <v>2.5499999999999998</v>
      </c>
      <c r="F306" s="6">
        <v>1.2589999999999999</v>
      </c>
      <c r="G306" s="6">
        <v>1.2078</v>
      </c>
      <c r="J306" s="2">
        <f t="shared" si="12"/>
        <v>8.9999999999999858E-2</v>
      </c>
      <c r="K306" s="2">
        <f t="shared" si="13"/>
        <v>2.0700000000000003</v>
      </c>
    </row>
    <row r="307" spans="1:11" x14ac:dyDescent="0.25">
      <c r="A307" s="4">
        <f t="shared" si="14"/>
        <v>45708</v>
      </c>
      <c r="B307" t="s">
        <v>316</v>
      </c>
      <c r="C307" s="2">
        <v>4.6100000000000003</v>
      </c>
      <c r="D307" s="2">
        <v>4.5</v>
      </c>
      <c r="E307" s="2">
        <v>2.54</v>
      </c>
      <c r="F307" s="6">
        <v>1.2641</v>
      </c>
      <c r="G307" s="6">
        <v>1.2068000000000001</v>
      </c>
      <c r="J307" s="2">
        <f t="shared" si="12"/>
        <v>0.11000000000000032</v>
      </c>
      <c r="K307" s="2">
        <f t="shared" si="13"/>
        <v>2.0700000000000003</v>
      </c>
    </row>
    <row r="308" spans="1:11" x14ac:dyDescent="0.25">
      <c r="A308" s="4">
        <f t="shared" si="14"/>
        <v>45709</v>
      </c>
      <c r="B308" t="s">
        <v>317</v>
      </c>
      <c r="C308" s="2">
        <v>4.5599999999999996</v>
      </c>
      <c r="D308" s="2">
        <v>4.42</v>
      </c>
      <c r="E308" s="2">
        <v>2.4500000000000002</v>
      </c>
      <c r="F308" s="6">
        <v>1.2638</v>
      </c>
      <c r="G308" s="6">
        <v>1.2090000000000001</v>
      </c>
      <c r="J308" s="2">
        <f t="shared" si="12"/>
        <v>0.13999999999999968</v>
      </c>
      <c r="K308" s="2">
        <f t="shared" si="13"/>
        <v>2.1099999999999994</v>
      </c>
    </row>
    <row r="309" spans="1:11" x14ac:dyDescent="0.25">
      <c r="A309" s="4">
        <f t="shared" si="14"/>
        <v>45712</v>
      </c>
      <c r="B309" t="s">
        <v>318</v>
      </c>
      <c r="C309" s="2">
        <v>4.57</v>
      </c>
      <c r="D309" s="2">
        <v>4.4000000000000004</v>
      </c>
      <c r="E309" s="2">
        <v>2.4900000000000002</v>
      </c>
      <c r="F309" s="6">
        <v>1.2621</v>
      </c>
      <c r="G309" s="6">
        <v>1.2055</v>
      </c>
      <c r="J309" s="2">
        <f t="shared" si="12"/>
        <v>0.16999999999999993</v>
      </c>
      <c r="K309" s="2">
        <f t="shared" si="13"/>
        <v>2.08</v>
      </c>
    </row>
    <row r="310" spans="1:11" x14ac:dyDescent="0.25">
      <c r="A310" s="4">
        <f t="shared" si="14"/>
        <v>45713</v>
      </c>
      <c r="B310" t="s">
        <v>319</v>
      </c>
      <c r="C310" s="2">
        <v>4.51</v>
      </c>
      <c r="D310" s="2">
        <v>4.3</v>
      </c>
      <c r="E310" s="2">
        <v>2.46</v>
      </c>
      <c r="F310" s="6">
        <v>1.2655000000000001</v>
      </c>
      <c r="G310" s="6">
        <v>1.2054</v>
      </c>
      <c r="J310" s="2">
        <f t="shared" si="12"/>
        <v>0.20999999999999996</v>
      </c>
      <c r="K310" s="2">
        <f t="shared" si="13"/>
        <v>2.0499999999999998</v>
      </c>
    </row>
    <row r="311" spans="1:11" x14ac:dyDescent="0.25">
      <c r="A311" s="4">
        <f t="shared" si="14"/>
        <v>45714</v>
      </c>
      <c r="B311" t="s">
        <v>320</v>
      </c>
      <c r="C311" s="2">
        <v>4.5</v>
      </c>
      <c r="D311" s="2">
        <v>4.25</v>
      </c>
      <c r="E311" s="2">
        <v>2.42</v>
      </c>
      <c r="F311" s="6">
        <v>1.2695000000000001</v>
      </c>
      <c r="G311" s="6">
        <v>1.2083999999999999</v>
      </c>
      <c r="J311" s="2">
        <f t="shared" si="12"/>
        <v>0.25</v>
      </c>
      <c r="K311" s="2">
        <f t="shared" si="13"/>
        <v>2.08</v>
      </c>
    </row>
    <row r="312" spans="1:11" x14ac:dyDescent="0.25">
      <c r="A312" s="4">
        <f t="shared" si="14"/>
        <v>45715</v>
      </c>
      <c r="B312" t="s">
        <v>321</v>
      </c>
      <c r="C312" s="2">
        <v>4.5199999999999996</v>
      </c>
      <c r="D312" s="2">
        <v>4.29</v>
      </c>
      <c r="E312" s="2">
        <v>2.42</v>
      </c>
      <c r="F312" s="6">
        <v>1.2627999999999999</v>
      </c>
      <c r="G312" s="6">
        <v>1.2124999999999999</v>
      </c>
      <c r="J312" s="2">
        <f t="shared" si="12"/>
        <v>0.22999999999999954</v>
      </c>
      <c r="K312" s="2">
        <f t="shared" si="13"/>
        <v>2.0999999999999996</v>
      </c>
    </row>
    <row r="313" spans="1:11" x14ac:dyDescent="0.25">
      <c r="A313" s="4">
        <f t="shared" si="14"/>
        <v>45716</v>
      </c>
      <c r="B313" t="s">
        <v>322</v>
      </c>
      <c r="C313" s="2">
        <v>4.4800000000000004</v>
      </c>
      <c r="D313" s="2">
        <v>4.24</v>
      </c>
      <c r="E313" s="2">
        <v>2.39</v>
      </c>
      <c r="F313" s="6">
        <v>1.2592000000000001</v>
      </c>
      <c r="G313" s="6">
        <v>1.2108000000000001</v>
      </c>
      <c r="J313" s="2">
        <f t="shared" si="12"/>
        <v>0.24000000000000021</v>
      </c>
      <c r="K313" s="2">
        <f t="shared" si="13"/>
        <v>2.0900000000000003</v>
      </c>
    </row>
    <row r="314" spans="1:11" x14ac:dyDescent="0.25">
      <c r="A314" s="4">
        <f t="shared" si="14"/>
        <v>45719</v>
      </c>
      <c r="B314" t="s">
        <v>323</v>
      </c>
      <c r="C314" s="2">
        <v>4.57</v>
      </c>
      <c r="D314" s="2">
        <v>4.16</v>
      </c>
      <c r="E314" s="2">
        <v>2.4700000000000002</v>
      </c>
      <c r="F314" s="6">
        <v>1.2699</v>
      </c>
      <c r="G314" s="6">
        <v>1.2112000000000001</v>
      </c>
      <c r="J314" s="2">
        <f t="shared" si="12"/>
        <v>0.41000000000000014</v>
      </c>
      <c r="K314" s="2">
        <f t="shared" si="13"/>
        <v>2.1</v>
      </c>
    </row>
    <row r="315" spans="1:11" x14ac:dyDescent="0.25">
      <c r="A315" s="4">
        <f t="shared" si="14"/>
        <v>45720</v>
      </c>
      <c r="B315" t="s">
        <v>324</v>
      </c>
      <c r="C315" s="2">
        <v>4.5599999999999996</v>
      </c>
      <c r="D315" s="2">
        <v>4.22</v>
      </c>
      <c r="E315" s="2">
        <v>2.5099999999999998</v>
      </c>
      <c r="F315" s="6">
        <v>1.2716000000000001</v>
      </c>
      <c r="G315" s="6">
        <v>1.208</v>
      </c>
      <c r="J315" s="2">
        <f t="shared" si="12"/>
        <v>0.33999999999999986</v>
      </c>
      <c r="K315" s="2">
        <f t="shared" si="13"/>
        <v>2.0499999999999998</v>
      </c>
    </row>
    <row r="316" spans="1:11" x14ac:dyDescent="0.25">
      <c r="A316" s="4">
        <f t="shared" si="14"/>
        <v>45721</v>
      </c>
      <c r="B316" t="s">
        <v>325</v>
      </c>
      <c r="C316" s="2">
        <v>4.7</v>
      </c>
      <c r="D316" s="2">
        <v>4.28</v>
      </c>
      <c r="E316" s="2">
        <v>2.8</v>
      </c>
      <c r="F316" s="6">
        <v>1.2867999999999999</v>
      </c>
      <c r="G316" s="6">
        <v>1.1953</v>
      </c>
      <c r="J316" s="2">
        <f t="shared" si="12"/>
        <v>0.41999999999999993</v>
      </c>
      <c r="K316" s="2">
        <f t="shared" si="13"/>
        <v>1.9000000000000004</v>
      </c>
    </row>
    <row r="317" spans="1:11" x14ac:dyDescent="0.25">
      <c r="A317" s="4">
        <f t="shared" si="14"/>
        <v>45722</v>
      </c>
      <c r="B317" t="s">
        <v>326</v>
      </c>
      <c r="C317" s="2">
        <v>4.68</v>
      </c>
      <c r="D317" s="2">
        <v>4.29</v>
      </c>
      <c r="E317" s="2">
        <v>2.82</v>
      </c>
      <c r="F317" s="6">
        <v>1.2890999999999999</v>
      </c>
      <c r="G317" s="6">
        <v>1.1917</v>
      </c>
      <c r="J317" s="2">
        <f t="shared" si="12"/>
        <v>0.38999999999999968</v>
      </c>
      <c r="K317" s="2">
        <f t="shared" si="13"/>
        <v>1.8599999999999999</v>
      </c>
    </row>
    <row r="318" spans="1:11" x14ac:dyDescent="0.25">
      <c r="A318" s="4">
        <f t="shared" si="14"/>
        <v>45723</v>
      </c>
      <c r="B318" t="s">
        <v>327</v>
      </c>
      <c r="C318" s="2">
        <v>4.66</v>
      </c>
      <c r="D318" s="2">
        <v>4.32</v>
      </c>
      <c r="E318" s="2">
        <v>2.85</v>
      </c>
      <c r="F318" s="6">
        <v>1.2924</v>
      </c>
      <c r="G318" s="6">
        <v>1.1889000000000001</v>
      </c>
      <c r="J318" s="2">
        <f t="shared" si="12"/>
        <v>0.33999999999999986</v>
      </c>
      <c r="K318" s="2">
        <f t="shared" si="13"/>
        <v>1.81</v>
      </c>
    </row>
    <row r="319" spans="1:11" x14ac:dyDescent="0.25">
      <c r="A319" s="4">
        <f t="shared" si="14"/>
        <v>45726</v>
      </c>
      <c r="B319" t="s">
        <v>328</v>
      </c>
      <c r="C319" s="2">
        <v>4.6399999999999997</v>
      </c>
      <c r="D319" s="2">
        <v>4.22</v>
      </c>
      <c r="E319" s="2">
        <v>2.82</v>
      </c>
      <c r="F319" s="6">
        <v>1.2904</v>
      </c>
      <c r="G319" s="6">
        <v>1.1906000000000001</v>
      </c>
      <c r="J319" s="2">
        <f t="shared" si="12"/>
        <v>0.41999999999999993</v>
      </c>
      <c r="K319" s="2">
        <f t="shared" si="13"/>
        <v>1.8199999999999998</v>
      </c>
    </row>
    <row r="320" spans="1:11" x14ac:dyDescent="0.25">
      <c r="A320" s="4">
        <f t="shared" si="14"/>
        <v>45727</v>
      </c>
      <c r="B320" t="s">
        <v>329</v>
      </c>
      <c r="C320" s="2">
        <v>4.68</v>
      </c>
      <c r="D320" s="2">
        <v>4.28</v>
      </c>
      <c r="E320" s="2">
        <v>2.93</v>
      </c>
      <c r="F320" s="6">
        <v>1.2946</v>
      </c>
      <c r="G320" s="6">
        <v>1.1848000000000001</v>
      </c>
      <c r="J320" s="2">
        <f t="shared" si="12"/>
        <v>0.39999999999999947</v>
      </c>
      <c r="K320" s="2">
        <f t="shared" si="13"/>
        <v>1.7499999999999996</v>
      </c>
    </row>
    <row r="321" spans="1:11" x14ac:dyDescent="0.25">
      <c r="A321" s="4">
        <f t="shared" si="14"/>
        <v>45728</v>
      </c>
      <c r="B321" t="s">
        <v>330</v>
      </c>
      <c r="C321" s="2">
        <v>4.72</v>
      </c>
      <c r="D321" s="2">
        <v>4.32</v>
      </c>
      <c r="E321" s="2">
        <v>2.88</v>
      </c>
      <c r="F321" s="6">
        <v>1.2968</v>
      </c>
      <c r="G321" s="6">
        <v>1.1871</v>
      </c>
      <c r="J321" s="2">
        <f t="shared" si="12"/>
        <v>0.39999999999999947</v>
      </c>
      <c r="K321" s="2">
        <f t="shared" si="13"/>
        <v>1.8399999999999999</v>
      </c>
    </row>
    <row r="322" spans="1:11" x14ac:dyDescent="0.25">
      <c r="A322" s="4">
        <f t="shared" si="14"/>
        <v>45729</v>
      </c>
      <c r="B322" t="s">
        <v>331</v>
      </c>
      <c r="C322" s="2">
        <v>4.66</v>
      </c>
      <c r="D322" s="2">
        <v>4.2699999999999996</v>
      </c>
      <c r="E322" s="2">
        <v>2.85</v>
      </c>
      <c r="F322" s="6">
        <v>1.2943</v>
      </c>
      <c r="G322" s="6">
        <v>1.1919999999999999</v>
      </c>
      <c r="J322" s="2">
        <f t="shared" si="12"/>
        <v>0.39000000000000057</v>
      </c>
      <c r="K322" s="2">
        <f t="shared" si="13"/>
        <v>1.81</v>
      </c>
    </row>
    <row r="323" spans="1:11" x14ac:dyDescent="0.25">
      <c r="A323" s="4">
        <f t="shared" si="14"/>
        <v>45730</v>
      </c>
      <c r="B323" t="s">
        <v>332</v>
      </c>
      <c r="C323" s="2">
        <v>4.67</v>
      </c>
      <c r="D323" s="2">
        <v>4.3099999999999996</v>
      </c>
      <c r="E323" s="2">
        <v>2.88</v>
      </c>
      <c r="F323" s="6">
        <v>1.2915000000000001</v>
      </c>
      <c r="G323" s="6">
        <v>1.1879999999999999</v>
      </c>
      <c r="J323" s="2">
        <f t="shared" si="12"/>
        <v>0.36000000000000032</v>
      </c>
      <c r="K323" s="2">
        <f t="shared" si="13"/>
        <v>1.79</v>
      </c>
    </row>
    <row r="324" spans="1:11" x14ac:dyDescent="0.25">
      <c r="A324" s="4">
        <f t="shared" si="14"/>
        <v>45733</v>
      </c>
      <c r="B324" t="s">
        <v>333</v>
      </c>
      <c r="C324" s="2">
        <v>4.6500000000000004</v>
      </c>
      <c r="D324" s="2">
        <v>4.3099999999999996</v>
      </c>
      <c r="E324" s="2">
        <v>2.83</v>
      </c>
      <c r="F324" s="6">
        <v>1.2985</v>
      </c>
      <c r="G324" s="6">
        <v>1.1889000000000001</v>
      </c>
      <c r="J324" s="2">
        <f t="shared" si="12"/>
        <v>0.34000000000000075</v>
      </c>
      <c r="K324" s="2">
        <f t="shared" si="13"/>
        <v>1.8200000000000003</v>
      </c>
    </row>
    <row r="325" spans="1:11" x14ac:dyDescent="0.25">
      <c r="A325" s="4">
        <f t="shared" si="14"/>
        <v>45734</v>
      </c>
      <c r="B325" t="s">
        <v>334</v>
      </c>
      <c r="C325" s="2">
        <v>4.6399999999999997</v>
      </c>
      <c r="D325" s="2">
        <v>4.29</v>
      </c>
      <c r="E325" s="2">
        <v>2.8</v>
      </c>
      <c r="F325" s="6">
        <v>1.2985</v>
      </c>
      <c r="G325" s="6">
        <v>1.1883999999999999</v>
      </c>
      <c r="J325" s="2">
        <f t="shared" si="12"/>
        <v>0.34999999999999964</v>
      </c>
      <c r="K325" s="2">
        <f t="shared" si="13"/>
        <v>1.8399999999999999</v>
      </c>
    </row>
    <row r="326" spans="1:11" x14ac:dyDescent="0.25">
      <c r="A326" s="4">
        <f t="shared" si="14"/>
        <v>45735</v>
      </c>
      <c r="B326" t="s">
        <v>335</v>
      </c>
      <c r="C326" s="2">
        <v>4.6500000000000004</v>
      </c>
      <c r="D326" s="2">
        <v>4.25</v>
      </c>
      <c r="E326" s="2">
        <v>2.77</v>
      </c>
      <c r="F326" s="6">
        <v>1.2967</v>
      </c>
      <c r="G326" s="6">
        <v>1.1919999999999999</v>
      </c>
      <c r="J326" s="2">
        <f t="shared" si="12"/>
        <v>0.40000000000000036</v>
      </c>
      <c r="K326" s="2">
        <f t="shared" si="13"/>
        <v>1.8800000000000003</v>
      </c>
    </row>
    <row r="327" spans="1:11" x14ac:dyDescent="0.25">
      <c r="A327" s="4">
        <f t="shared" si="14"/>
        <v>45736</v>
      </c>
      <c r="B327" t="s">
        <v>336</v>
      </c>
      <c r="C327" s="2">
        <v>4.66</v>
      </c>
      <c r="D327" s="2">
        <v>4.24</v>
      </c>
      <c r="E327" s="2">
        <v>2.78</v>
      </c>
      <c r="F327" s="6">
        <v>1.2971999999999999</v>
      </c>
      <c r="G327" s="6">
        <v>1.196</v>
      </c>
      <c r="J327" s="2">
        <f t="shared" si="12"/>
        <v>0.41999999999999993</v>
      </c>
      <c r="K327" s="2">
        <f t="shared" si="13"/>
        <v>1.8800000000000003</v>
      </c>
    </row>
    <row r="328" spans="1:11" x14ac:dyDescent="0.25">
      <c r="A328" s="4">
        <f t="shared" si="14"/>
        <v>45737</v>
      </c>
      <c r="B328" t="s">
        <v>337</v>
      </c>
      <c r="C328" s="2">
        <v>4.72</v>
      </c>
      <c r="D328" s="2">
        <v>4.25</v>
      </c>
      <c r="E328" s="2">
        <v>2.76</v>
      </c>
      <c r="F328" s="6">
        <v>1.2892999999999999</v>
      </c>
      <c r="G328" s="6">
        <v>1.1931</v>
      </c>
      <c r="J328" s="2">
        <f t="shared" si="12"/>
        <v>0.46999999999999975</v>
      </c>
      <c r="K328" s="2">
        <f t="shared" si="13"/>
        <v>1.96</v>
      </c>
    </row>
    <row r="329" spans="1:11" x14ac:dyDescent="0.25">
      <c r="A329" s="4">
        <f t="shared" si="14"/>
        <v>45740</v>
      </c>
      <c r="B329" t="s">
        <v>338</v>
      </c>
      <c r="C329" s="2">
        <v>4.72</v>
      </c>
      <c r="D329" s="2">
        <v>4.34</v>
      </c>
      <c r="E329" s="2">
        <v>2.78</v>
      </c>
      <c r="F329" s="6">
        <v>1.2910999999999999</v>
      </c>
      <c r="G329" s="6">
        <v>1.1961999999999999</v>
      </c>
      <c r="J329" s="2">
        <f t="shared" ref="J329:J392" si="15">C329-D329</f>
        <v>0.37999999999999989</v>
      </c>
      <c r="K329" s="2">
        <f t="shared" ref="K329:K392" si="16">C329-E329</f>
        <v>1.94</v>
      </c>
    </row>
    <row r="330" spans="1:11" x14ac:dyDescent="0.25">
      <c r="A330" s="4">
        <f t="shared" si="14"/>
        <v>45741</v>
      </c>
      <c r="B330" t="s">
        <v>339</v>
      </c>
      <c r="C330" s="2">
        <v>4.7699999999999996</v>
      </c>
      <c r="D330" s="2">
        <v>4.3099999999999996</v>
      </c>
      <c r="E330" s="2">
        <v>2.8</v>
      </c>
      <c r="F330" s="6">
        <v>1.2948</v>
      </c>
      <c r="G330" s="6">
        <v>1.1984999999999999</v>
      </c>
      <c r="J330" s="2">
        <f t="shared" si="15"/>
        <v>0.45999999999999996</v>
      </c>
      <c r="K330" s="2">
        <f t="shared" si="16"/>
        <v>1.9699999999999998</v>
      </c>
    </row>
    <row r="331" spans="1:11" x14ac:dyDescent="0.25">
      <c r="A331" s="4">
        <f t="shared" si="14"/>
        <v>45742</v>
      </c>
      <c r="B331" t="s">
        <v>340</v>
      </c>
      <c r="C331" s="2">
        <v>4.71</v>
      </c>
      <c r="D331" s="2">
        <v>4.3499999999999996</v>
      </c>
      <c r="E331" s="2">
        <v>2.77</v>
      </c>
      <c r="F331" s="6">
        <v>1.2887</v>
      </c>
      <c r="G331" s="6">
        <v>1.1954</v>
      </c>
      <c r="J331" s="2">
        <f t="shared" si="15"/>
        <v>0.36000000000000032</v>
      </c>
      <c r="K331" s="2">
        <f t="shared" si="16"/>
        <v>1.94</v>
      </c>
    </row>
    <row r="332" spans="1:11" x14ac:dyDescent="0.25">
      <c r="A332" s="4">
        <f t="shared" si="14"/>
        <v>45743</v>
      </c>
      <c r="B332" t="s">
        <v>341</v>
      </c>
      <c r="C332" s="2">
        <v>4.79</v>
      </c>
      <c r="D332" s="2">
        <v>4.38</v>
      </c>
      <c r="E332" s="2">
        <v>2.77</v>
      </c>
      <c r="F332" s="6">
        <v>1.2963</v>
      </c>
      <c r="G332" s="6">
        <v>1.2002999999999999</v>
      </c>
      <c r="J332" s="2">
        <f t="shared" si="15"/>
        <v>0.41000000000000014</v>
      </c>
      <c r="K332" s="2">
        <f t="shared" si="16"/>
        <v>2.02</v>
      </c>
    </row>
    <row r="333" spans="1:11" x14ac:dyDescent="0.25">
      <c r="A333" s="4">
        <f t="shared" si="14"/>
        <v>45744</v>
      </c>
      <c r="B333" t="s">
        <v>342</v>
      </c>
      <c r="C333" s="2">
        <v>4.7</v>
      </c>
      <c r="D333" s="2">
        <v>4.2699999999999996</v>
      </c>
      <c r="E333" s="2">
        <v>2.73</v>
      </c>
      <c r="F333" s="6">
        <v>1.2941</v>
      </c>
      <c r="G333" s="6">
        <v>1.1955</v>
      </c>
      <c r="J333" s="2">
        <f t="shared" si="15"/>
        <v>0.4300000000000006</v>
      </c>
      <c r="K333" s="2">
        <f t="shared" si="16"/>
        <v>1.9700000000000002</v>
      </c>
    </row>
    <row r="334" spans="1:11" x14ac:dyDescent="0.25">
      <c r="A334" s="4">
        <f t="shared" si="14"/>
        <v>45747</v>
      </c>
      <c r="B334" t="s">
        <v>343</v>
      </c>
      <c r="C334" s="2">
        <v>4.7</v>
      </c>
      <c r="D334" s="2">
        <v>4.2300000000000004</v>
      </c>
      <c r="E334" s="2">
        <v>2.74</v>
      </c>
      <c r="F334" s="6">
        <v>1.2909999999999999</v>
      </c>
      <c r="G334" s="6">
        <v>1.1951000000000001</v>
      </c>
      <c r="J334" s="2">
        <f t="shared" si="15"/>
        <v>0.46999999999999975</v>
      </c>
      <c r="K334" s="2">
        <f t="shared" si="16"/>
        <v>1.96</v>
      </c>
    </row>
    <row r="335" spans="1:11" x14ac:dyDescent="0.25">
      <c r="A335" s="4">
        <f t="shared" ref="A335:A398" si="17">+A330+7</f>
        <v>45748</v>
      </c>
      <c r="B335" t="s">
        <v>344</v>
      </c>
      <c r="C335" s="2">
        <v>4.6500000000000004</v>
      </c>
      <c r="D335" s="2">
        <v>4.17</v>
      </c>
      <c r="E335" s="2">
        <v>2.68</v>
      </c>
      <c r="F335" s="6">
        <v>1.2923</v>
      </c>
      <c r="G335" s="6">
        <v>1.1957</v>
      </c>
      <c r="J335" s="2">
        <f t="shared" si="15"/>
        <v>0.48000000000000043</v>
      </c>
      <c r="K335" s="2">
        <f t="shared" si="16"/>
        <v>1.9700000000000002</v>
      </c>
    </row>
    <row r="336" spans="1:11" x14ac:dyDescent="0.25">
      <c r="A336" s="4">
        <f t="shared" si="17"/>
        <v>45749</v>
      </c>
      <c r="B336" t="s">
        <v>345</v>
      </c>
      <c r="C336" s="2">
        <v>4.67</v>
      </c>
      <c r="D336" s="2">
        <v>4.2</v>
      </c>
      <c r="E336" s="2">
        <v>2.72</v>
      </c>
      <c r="F336" s="6">
        <v>1.2966</v>
      </c>
      <c r="G336" s="6">
        <v>1.1940999999999999</v>
      </c>
      <c r="J336" s="2">
        <f t="shared" si="15"/>
        <v>0.46999999999999975</v>
      </c>
      <c r="K336" s="2">
        <f t="shared" si="16"/>
        <v>1.9499999999999997</v>
      </c>
    </row>
    <row r="337" spans="1:11" x14ac:dyDescent="0.25">
      <c r="A337" s="4">
        <f t="shared" si="17"/>
        <v>45750</v>
      </c>
      <c r="B337" t="s">
        <v>346</v>
      </c>
      <c r="C337" s="2">
        <v>4.53</v>
      </c>
      <c r="D337" s="2">
        <v>4.0599999999999996</v>
      </c>
      <c r="E337" s="2">
        <v>2.65</v>
      </c>
      <c r="F337" s="6">
        <v>1.3168</v>
      </c>
      <c r="G337" s="6">
        <v>1.1842999999999999</v>
      </c>
      <c r="J337" s="2">
        <f t="shared" si="15"/>
        <v>0.47000000000000064</v>
      </c>
      <c r="K337" s="2">
        <f t="shared" si="16"/>
        <v>1.8800000000000003</v>
      </c>
    </row>
    <row r="338" spans="1:11" x14ac:dyDescent="0.25">
      <c r="A338" s="4">
        <f t="shared" si="17"/>
        <v>45751</v>
      </c>
      <c r="B338" t="s">
        <v>347</v>
      </c>
      <c r="C338" s="2">
        <v>4.45</v>
      </c>
      <c r="D338" s="2">
        <v>4.01</v>
      </c>
      <c r="E338" s="2">
        <v>2.59</v>
      </c>
      <c r="F338" s="6">
        <v>1.294</v>
      </c>
      <c r="G338" s="6">
        <v>1.1778999999999999</v>
      </c>
      <c r="J338" s="2">
        <f t="shared" si="15"/>
        <v>0.44000000000000039</v>
      </c>
      <c r="K338" s="2">
        <f t="shared" si="16"/>
        <v>1.8600000000000003</v>
      </c>
    </row>
    <row r="339" spans="1:11" x14ac:dyDescent="0.25">
      <c r="A339" s="4">
        <f t="shared" si="17"/>
        <v>45754</v>
      </c>
      <c r="B339" t="s">
        <v>348</v>
      </c>
      <c r="C339" s="2">
        <v>4.6500000000000004</v>
      </c>
      <c r="D339" s="2">
        <v>4.1500000000000004</v>
      </c>
      <c r="E339" s="2">
        <v>2.66</v>
      </c>
      <c r="F339" s="6">
        <v>1.2755000000000001</v>
      </c>
      <c r="G339" s="6">
        <v>1.1677999999999999</v>
      </c>
      <c r="J339" s="2">
        <f t="shared" si="15"/>
        <v>0.5</v>
      </c>
      <c r="K339" s="2">
        <f t="shared" si="16"/>
        <v>1.9900000000000002</v>
      </c>
    </row>
    <row r="340" spans="1:11" x14ac:dyDescent="0.25">
      <c r="A340" s="4">
        <f t="shared" si="17"/>
        <v>45755</v>
      </c>
      <c r="B340" t="s">
        <v>349</v>
      </c>
      <c r="C340" s="2">
        <v>4.5999999999999996</v>
      </c>
      <c r="D340" s="2">
        <v>4.26</v>
      </c>
      <c r="E340" s="2">
        <v>2.6</v>
      </c>
      <c r="F340" s="6">
        <v>1.2757000000000001</v>
      </c>
      <c r="G340" s="6">
        <v>1.169</v>
      </c>
      <c r="J340" s="2">
        <f t="shared" si="15"/>
        <v>0.33999999999999986</v>
      </c>
      <c r="K340" s="2">
        <f t="shared" si="16"/>
        <v>1.9999999999999996</v>
      </c>
    </row>
    <row r="341" spans="1:11" x14ac:dyDescent="0.25">
      <c r="A341" s="4">
        <f t="shared" si="17"/>
        <v>45756</v>
      </c>
      <c r="B341" t="s">
        <v>350</v>
      </c>
      <c r="C341" s="2">
        <v>4.8</v>
      </c>
      <c r="D341" s="2">
        <v>4.34</v>
      </c>
      <c r="E341" s="2">
        <v>2.61</v>
      </c>
      <c r="F341" s="6">
        <v>1.2757000000000001</v>
      </c>
      <c r="G341" s="6">
        <v>1.1555</v>
      </c>
      <c r="J341" s="2">
        <f t="shared" si="15"/>
        <v>0.45999999999999996</v>
      </c>
      <c r="K341" s="2">
        <f t="shared" si="16"/>
        <v>2.19</v>
      </c>
    </row>
    <row r="342" spans="1:11" x14ac:dyDescent="0.25">
      <c r="A342" s="4">
        <f t="shared" si="17"/>
        <v>45757</v>
      </c>
      <c r="B342" t="s">
        <v>351</v>
      </c>
      <c r="C342" s="2">
        <v>4.63</v>
      </c>
      <c r="D342" s="2">
        <v>4.4000000000000004</v>
      </c>
      <c r="E342" s="2">
        <v>2.59</v>
      </c>
      <c r="F342" s="6">
        <v>1.296</v>
      </c>
      <c r="G342" s="6">
        <v>1.1586000000000001</v>
      </c>
      <c r="J342" s="2">
        <f t="shared" si="15"/>
        <v>0.22999999999999954</v>
      </c>
      <c r="K342" s="2">
        <f t="shared" si="16"/>
        <v>2.04</v>
      </c>
    </row>
    <row r="343" spans="1:11" x14ac:dyDescent="0.25">
      <c r="A343" s="4">
        <f t="shared" si="17"/>
        <v>45758</v>
      </c>
      <c r="B343" t="s">
        <v>352</v>
      </c>
      <c r="C343" s="2">
        <v>4.72</v>
      </c>
      <c r="D343" s="2">
        <v>4.4800000000000004</v>
      </c>
      <c r="E343" s="2">
        <v>2.58</v>
      </c>
      <c r="F343" s="6">
        <v>1.3059000000000001</v>
      </c>
      <c r="G343" s="6">
        <v>1.1516</v>
      </c>
      <c r="J343" s="2">
        <f t="shared" si="15"/>
        <v>0.23999999999999932</v>
      </c>
      <c r="K343" s="2">
        <f t="shared" si="16"/>
        <v>2.1399999999999997</v>
      </c>
    </row>
    <row r="344" spans="1:11" x14ac:dyDescent="0.25">
      <c r="A344" s="4">
        <f t="shared" si="17"/>
        <v>45761</v>
      </c>
      <c r="B344" t="s">
        <v>353</v>
      </c>
      <c r="C344" s="2">
        <v>4.66</v>
      </c>
      <c r="D344" s="2">
        <v>4.38</v>
      </c>
      <c r="E344" s="2">
        <v>2.4900000000000002</v>
      </c>
      <c r="F344" s="6">
        <v>1.3187</v>
      </c>
      <c r="G344" s="6">
        <v>1.1600999999999999</v>
      </c>
      <c r="J344" s="2">
        <f t="shared" si="15"/>
        <v>0.28000000000000025</v>
      </c>
      <c r="K344" s="2">
        <f t="shared" si="16"/>
        <v>2.17</v>
      </c>
    </row>
    <row r="345" spans="1:11" x14ac:dyDescent="0.25">
      <c r="A345" s="4">
        <f t="shared" si="17"/>
        <v>45762</v>
      </c>
      <c r="B345" t="s">
        <v>354</v>
      </c>
      <c r="C345" s="2">
        <v>4.63</v>
      </c>
      <c r="D345" s="2">
        <v>4.3499999999999996</v>
      </c>
      <c r="E345" s="2">
        <v>2.5299999999999998</v>
      </c>
      <c r="F345" s="6">
        <v>1.3245</v>
      </c>
      <c r="G345" s="6">
        <v>1.1691</v>
      </c>
      <c r="J345" s="2">
        <f t="shared" si="15"/>
        <v>0.28000000000000025</v>
      </c>
      <c r="K345" s="2">
        <f t="shared" si="16"/>
        <v>2.1</v>
      </c>
    </row>
    <row r="346" spans="1:11" x14ac:dyDescent="0.25">
      <c r="A346" s="4">
        <f t="shared" si="17"/>
        <v>45763</v>
      </c>
      <c r="B346" t="s">
        <v>355</v>
      </c>
      <c r="C346" s="2">
        <v>4.6100000000000003</v>
      </c>
      <c r="D346" s="2">
        <v>4.29</v>
      </c>
      <c r="E346" s="2">
        <v>2.5</v>
      </c>
      <c r="F346" s="6">
        <v>1.3257000000000001</v>
      </c>
      <c r="G346" s="6">
        <v>1.1646000000000001</v>
      </c>
      <c r="J346" s="2">
        <f t="shared" si="15"/>
        <v>0.32000000000000028</v>
      </c>
      <c r="K346" s="2">
        <f t="shared" si="16"/>
        <v>2.1100000000000003</v>
      </c>
    </row>
    <row r="347" spans="1:11" x14ac:dyDescent="0.25">
      <c r="A347" s="4">
        <f t="shared" si="17"/>
        <v>45764</v>
      </c>
      <c r="B347" t="s">
        <v>356</v>
      </c>
      <c r="C347" s="2">
        <v>4.57</v>
      </c>
      <c r="D347" s="2">
        <v>4.34</v>
      </c>
      <c r="E347" s="2">
        <v>2.48</v>
      </c>
      <c r="F347" s="6">
        <v>1.3232999999999999</v>
      </c>
      <c r="G347" s="6">
        <v>1.1659999999999999</v>
      </c>
      <c r="J347" s="2">
        <f t="shared" si="15"/>
        <v>0.23000000000000043</v>
      </c>
      <c r="K347" s="2">
        <f t="shared" si="16"/>
        <v>2.0900000000000003</v>
      </c>
    </row>
    <row r="348" spans="1:11" x14ac:dyDescent="0.25">
      <c r="A348" s="4">
        <f t="shared" si="17"/>
        <v>45765</v>
      </c>
      <c r="B348" t="s">
        <v>357</v>
      </c>
      <c r="C348" s="2" t="e">
        <v>#N/A</v>
      </c>
      <c r="D348" s="2" t="e">
        <v>#N/A</v>
      </c>
      <c r="E348" s="2">
        <v>2.46</v>
      </c>
      <c r="F348" s="6" t="e">
        <v>#N/A</v>
      </c>
      <c r="G348" s="6" t="e">
        <v>#N/A</v>
      </c>
      <c r="J348" s="2" t="e">
        <f t="shared" si="15"/>
        <v>#N/A</v>
      </c>
      <c r="K348" s="2" t="e">
        <f t="shared" si="16"/>
        <v>#N/A</v>
      </c>
    </row>
    <row r="349" spans="1:11" x14ac:dyDescent="0.25">
      <c r="A349" s="4">
        <f t="shared" si="17"/>
        <v>45768</v>
      </c>
      <c r="B349" t="s">
        <v>358</v>
      </c>
      <c r="C349" s="2" t="e">
        <v>#N/A</v>
      </c>
      <c r="D349" s="2">
        <v>4.42</v>
      </c>
      <c r="E349" s="2">
        <v>2.4700000000000002</v>
      </c>
      <c r="F349" s="6" t="e">
        <v>#N/A</v>
      </c>
      <c r="G349" s="6" t="e">
        <v>#N/A</v>
      </c>
      <c r="J349" s="2" t="e">
        <f t="shared" si="15"/>
        <v>#N/A</v>
      </c>
      <c r="K349" s="2" t="e">
        <f t="shared" si="16"/>
        <v>#N/A</v>
      </c>
    </row>
    <row r="350" spans="1:11" x14ac:dyDescent="0.25">
      <c r="A350" s="4">
        <f t="shared" si="17"/>
        <v>45769</v>
      </c>
      <c r="B350" t="s">
        <v>359</v>
      </c>
      <c r="C350" s="2">
        <v>4.57</v>
      </c>
      <c r="D350" s="2">
        <v>4.41</v>
      </c>
      <c r="E350" s="2">
        <v>2.4500000000000002</v>
      </c>
      <c r="F350" s="6">
        <v>1.3379000000000001</v>
      </c>
      <c r="G350" s="6">
        <v>1.1656</v>
      </c>
      <c r="J350" s="2">
        <f t="shared" si="15"/>
        <v>0.16000000000000014</v>
      </c>
      <c r="K350" s="2">
        <f t="shared" si="16"/>
        <v>2.12</v>
      </c>
    </row>
    <row r="351" spans="1:11" x14ac:dyDescent="0.25">
      <c r="A351" s="4">
        <f t="shared" si="17"/>
        <v>45770</v>
      </c>
      <c r="B351" t="s">
        <v>360</v>
      </c>
      <c r="C351" s="2">
        <v>4.5599999999999996</v>
      </c>
      <c r="D351" s="2">
        <v>4.4000000000000004</v>
      </c>
      <c r="E351" s="2">
        <v>2.5</v>
      </c>
      <c r="F351" s="6">
        <v>1.3274999999999999</v>
      </c>
      <c r="G351" s="6">
        <v>1.1692</v>
      </c>
      <c r="J351" s="2">
        <f t="shared" si="15"/>
        <v>0.15999999999999925</v>
      </c>
      <c r="K351" s="2">
        <f t="shared" si="16"/>
        <v>2.0599999999999996</v>
      </c>
    </row>
    <row r="352" spans="1:11" x14ac:dyDescent="0.25">
      <c r="A352" s="4">
        <f t="shared" si="17"/>
        <v>45771</v>
      </c>
      <c r="B352" t="s">
        <v>361</v>
      </c>
      <c r="C352" s="2">
        <v>4.5</v>
      </c>
      <c r="D352" s="2">
        <v>4.32</v>
      </c>
      <c r="E352" s="2">
        <v>2.44</v>
      </c>
      <c r="F352" s="6">
        <v>1.3314999999999999</v>
      </c>
      <c r="G352" s="6">
        <v>1.1708000000000001</v>
      </c>
      <c r="J352" s="2">
        <f t="shared" si="15"/>
        <v>0.17999999999999972</v>
      </c>
      <c r="K352" s="2">
        <f t="shared" si="16"/>
        <v>2.06</v>
      </c>
    </row>
    <row r="353" spans="1:11" x14ac:dyDescent="0.25">
      <c r="A353" s="4">
        <f t="shared" si="17"/>
        <v>45772</v>
      </c>
      <c r="B353" t="s">
        <v>362</v>
      </c>
      <c r="C353" s="2">
        <v>4.4800000000000004</v>
      </c>
      <c r="D353" s="2">
        <v>4.29</v>
      </c>
      <c r="E353" s="2">
        <v>2.4700000000000002</v>
      </c>
      <c r="F353" s="6">
        <v>1.3309</v>
      </c>
      <c r="G353" s="6">
        <v>1.1707000000000001</v>
      </c>
      <c r="J353" s="2">
        <f t="shared" si="15"/>
        <v>0.19000000000000039</v>
      </c>
      <c r="K353" s="2">
        <f t="shared" si="16"/>
        <v>2.0100000000000002</v>
      </c>
    </row>
    <row r="354" spans="1:11" x14ac:dyDescent="0.25">
      <c r="A354" s="4">
        <f t="shared" si="17"/>
        <v>45775</v>
      </c>
      <c r="B354" t="s">
        <v>363</v>
      </c>
      <c r="C354" s="2">
        <v>4.5</v>
      </c>
      <c r="D354" s="2">
        <v>4.2300000000000004</v>
      </c>
      <c r="E354" s="2">
        <v>2.5</v>
      </c>
      <c r="F354" s="6">
        <v>1.3392999999999999</v>
      </c>
      <c r="G354" s="6">
        <v>1.1768000000000001</v>
      </c>
      <c r="J354" s="2">
        <f t="shared" si="15"/>
        <v>0.26999999999999957</v>
      </c>
      <c r="K354" s="2">
        <f t="shared" si="16"/>
        <v>2</v>
      </c>
    </row>
    <row r="355" spans="1:11" x14ac:dyDescent="0.25">
      <c r="A355" s="4">
        <f t="shared" si="17"/>
        <v>45776</v>
      </c>
      <c r="B355" t="s">
        <v>364</v>
      </c>
      <c r="C355" s="2">
        <v>4.47</v>
      </c>
      <c r="D355" s="2">
        <v>4.1900000000000004</v>
      </c>
      <c r="E355" s="2">
        <v>2.4900000000000002</v>
      </c>
      <c r="F355" s="6">
        <v>1.3389</v>
      </c>
      <c r="G355" s="6">
        <v>1.1761999999999999</v>
      </c>
      <c r="J355" s="2">
        <f t="shared" si="15"/>
        <v>0.27999999999999936</v>
      </c>
      <c r="K355" s="2">
        <f t="shared" si="16"/>
        <v>1.9799999999999995</v>
      </c>
    </row>
    <row r="356" spans="1:11" x14ac:dyDescent="0.25">
      <c r="A356" s="4">
        <f t="shared" si="17"/>
        <v>45777</v>
      </c>
      <c r="B356" t="s">
        <v>365</v>
      </c>
      <c r="C356" s="2">
        <v>4.43</v>
      </c>
      <c r="D356" s="2">
        <v>4.17</v>
      </c>
      <c r="E356" s="2">
        <v>2.44</v>
      </c>
      <c r="F356" s="6">
        <v>1.3355999999999999</v>
      </c>
      <c r="G356" s="6">
        <v>1.1749000000000001</v>
      </c>
      <c r="J356" s="2">
        <f t="shared" si="15"/>
        <v>0.25999999999999979</v>
      </c>
      <c r="K356" s="2">
        <f t="shared" si="16"/>
        <v>1.9899999999999998</v>
      </c>
    </row>
    <row r="357" spans="1:11" x14ac:dyDescent="0.25">
      <c r="A357" s="4">
        <f t="shared" si="17"/>
        <v>45778</v>
      </c>
      <c r="B357" t="s">
        <v>366</v>
      </c>
      <c r="C357" s="2">
        <v>4.4800000000000004</v>
      </c>
      <c r="D357" s="2">
        <v>4.25</v>
      </c>
      <c r="E357" s="2">
        <v>2.4500000000000002</v>
      </c>
      <c r="F357" s="6">
        <v>1.3295999999999999</v>
      </c>
      <c r="G357" s="6">
        <v>1.1785000000000001</v>
      </c>
      <c r="J357" s="2">
        <f t="shared" si="15"/>
        <v>0.23000000000000043</v>
      </c>
      <c r="K357" s="2">
        <f t="shared" si="16"/>
        <v>2.0300000000000002</v>
      </c>
    </row>
    <row r="358" spans="1:11" x14ac:dyDescent="0.25">
      <c r="A358" s="4">
        <f t="shared" si="17"/>
        <v>45779</v>
      </c>
      <c r="B358" t="s">
        <v>367</v>
      </c>
      <c r="C358" s="2">
        <v>4.53</v>
      </c>
      <c r="D358" s="2">
        <v>4.33</v>
      </c>
      <c r="E358" s="2">
        <v>2.5299999999999998</v>
      </c>
      <c r="F358" s="6">
        <v>1.3321000000000001</v>
      </c>
      <c r="G358" s="6">
        <v>1.1718</v>
      </c>
      <c r="J358" s="2">
        <f t="shared" si="15"/>
        <v>0.20000000000000018</v>
      </c>
      <c r="K358" s="2">
        <f t="shared" si="16"/>
        <v>2.0000000000000004</v>
      </c>
    </row>
    <row r="359" spans="1:11" x14ac:dyDescent="0.25">
      <c r="A359" s="4">
        <f t="shared" si="17"/>
        <v>45782</v>
      </c>
      <c r="B359" t="s">
        <v>368</v>
      </c>
      <c r="C359" s="2">
        <v>4.51</v>
      </c>
      <c r="D359" s="2">
        <v>4.3600000000000003</v>
      </c>
      <c r="E359" s="2">
        <v>2.5299999999999998</v>
      </c>
      <c r="F359" s="6" t="e">
        <v>#N/A</v>
      </c>
      <c r="G359" s="6" t="e">
        <v>#N/A</v>
      </c>
      <c r="J359" s="2">
        <f t="shared" si="15"/>
        <v>0.14999999999999947</v>
      </c>
      <c r="K359" s="2">
        <f t="shared" si="16"/>
        <v>1.98</v>
      </c>
    </row>
    <row r="360" spans="1:11" x14ac:dyDescent="0.25">
      <c r="A360" s="4">
        <f t="shared" si="17"/>
        <v>45783</v>
      </c>
      <c r="B360" t="s">
        <v>369</v>
      </c>
      <c r="C360" s="2">
        <v>4.51</v>
      </c>
      <c r="D360" s="2">
        <v>4.3</v>
      </c>
      <c r="E360" s="2">
        <v>2.5299999999999998</v>
      </c>
      <c r="F360" s="6">
        <v>1.3371999999999999</v>
      </c>
      <c r="G360" s="6">
        <v>1.1791</v>
      </c>
      <c r="J360" s="2">
        <f t="shared" si="15"/>
        <v>0.20999999999999996</v>
      </c>
      <c r="K360" s="2">
        <f t="shared" si="16"/>
        <v>1.98</v>
      </c>
    </row>
    <row r="361" spans="1:11" x14ac:dyDescent="0.25">
      <c r="A361" s="4">
        <f t="shared" si="17"/>
        <v>45784</v>
      </c>
      <c r="B361" t="s">
        <v>370</v>
      </c>
      <c r="C361" s="2">
        <v>4.45</v>
      </c>
      <c r="D361" s="2">
        <v>4.26</v>
      </c>
      <c r="E361" s="2">
        <v>2.4700000000000002</v>
      </c>
      <c r="F361" s="6">
        <v>1.3366</v>
      </c>
      <c r="G361" s="6">
        <v>1.1757</v>
      </c>
      <c r="J361" s="2">
        <f t="shared" si="15"/>
        <v>0.19000000000000039</v>
      </c>
      <c r="K361" s="2">
        <f t="shared" si="16"/>
        <v>1.98</v>
      </c>
    </row>
    <row r="362" spans="1:11" x14ac:dyDescent="0.25">
      <c r="A362" s="4">
        <f t="shared" si="17"/>
        <v>45785</v>
      </c>
      <c r="B362" t="s">
        <v>371</v>
      </c>
      <c r="C362" s="2">
        <v>4.55</v>
      </c>
      <c r="D362" s="2">
        <v>4.37</v>
      </c>
      <c r="E362" s="2">
        <v>2.5499999999999998</v>
      </c>
      <c r="F362" s="6">
        <v>1.331</v>
      </c>
      <c r="G362" s="6">
        <v>1.1800999999999999</v>
      </c>
      <c r="J362" s="2">
        <f t="shared" si="15"/>
        <v>0.17999999999999972</v>
      </c>
      <c r="K362" s="2">
        <f t="shared" si="16"/>
        <v>2</v>
      </c>
    </row>
    <row r="363" spans="1:11" x14ac:dyDescent="0.25">
      <c r="A363" s="4">
        <f t="shared" si="17"/>
        <v>45786</v>
      </c>
      <c r="B363" t="s">
        <v>372</v>
      </c>
      <c r="C363" s="2">
        <v>4.57</v>
      </c>
      <c r="D363" s="2">
        <v>4.37</v>
      </c>
      <c r="E363" s="2">
        <v>2.56</v>
      </c>
      <c r="F363" s="6">
        <v>1.3305</v>
      </c>
      <c r="G363" s="6">
        <v>1.1808000000000001</v>
      </c>
      <c r="J363" s="2">
        <f t="shared" si="15"/>
        <v>0.20000000000000018</v>
      </c>
      <c r="K363" s="2">
        <f t="shared" si="16"/>
        <v>2.0100000000000002</v>
      </c>
    </row>
    <row r="364" spans="1:11" x14ac:dyDescent="0.25">
      <c r="A364" s="4">
        <f t="shared" si="17"/>
        <v>45789</v>
      </c>
      <c r="B364" t="s">
        <v>373</v>
      </c>
      <c r="C364" s="2">
        <v>4.6500000000000004</v>
      </c>
      <c r="D364" s="2">
        <v>4.45</v>
      </c>
      <c r="E364" s="2">
        <v>2.66</v>
      </c>
      <c r="F364" s="6">
        <v>1.3202</v>
      </c>
      <c r="G364" s="6">
        <v>1.1880999999999999</v>
      </c>
      <c r="J364" s="2">
        <f t="shared" si="15"/>
        <v>0.20000000000000018</v>
      </c>
      <c r="K364" s="2">
        <f t="shared" si="16"/>
        <v>1.9900000000000002</v>
      </c>
    </row>
    <row r="365" spans="1:11" x14ac:dyDescent="0.25">
      <c r="A365" s="4">
        <f t="shared" si="17"/>
        <v>45790</v>
      </c>
      <c r="B365" t="s">
        <v>374</v>
      </c>
      <c r="C365" s="2">
        <v>4.67</v>
      </c>
      <c r="D365" s="2">
        <v>4.49</v>
      </c>
      <c r="E365" s="2">
        <v>2.68</v>
      </c>
      <c r="F365" s="6">
        <v>1.3260000000000001</v>
      </c>
      <c r="G365" s="6">
        <v>1.1879999999999999</v>
      </c>
      <c r="J365" s="2">
        <f t="shared" si="15"/>
        <v>0.17999999999999972</v>
      </c>
      <c r="K365" s="2">
        <f t="shared" si="16"/>
        <v>1.9899999999999998</v>
      </c>
    </row>
    <row r="366" spans="1:11" x14ac:dyDescent="0.25">
      <c r="A366" s="4">
        <f t="shared" si="17"/>
        <v>45791</v>
      </c>
      <c r="B366" t="s">
        <v>375</v>
      </c>
      <c r="C366" s="2">
        <v>4.72</v>
      </c>
      <c r="D366" s="2">
        <v>4.53</v>
      </c>
      <c r="E366" s="2">
        <v>2.7</v>
      </c>
      <c r="F366" s="6">
        <v>1.3305</v>
      </c>
      <c r="G366" s="6">
        <v>1.1866000000000001</v>
      </c>
      <c r="J366" s="2">
        <f t="shared" si="15"/>
        <v>0.1899999999999995</v>
      </c>
      <c r="K366" s="2">
        <f t="shared" si="16"/>
        <v>2.0199999999999996</v>
      </c>
    </row>
    <row r="367" spans="1:11" x14ac:dyDescent="0.25">
      <c r="A367" s="4">
        <f t="shared" si="17"/>
        <v>45792</v>
      </c>
      <c r="B367" t="s">
        <v>376</v>
      </c>
      <c r="C367" s="2">
        <v>4.6500000000000004</v>
      </c>
      <c r="D367" s="2">
        <v>4.45</v>
      </c>
      <c r="E367" s="2">
        <v>2.62</v>
      </c>
      <c r="F367" s="6">
        <v>1.3279000000000001</v>
      </c>
      <c r="G367" s="6">
        <v>1.1870000000000001</v>
      </c>
      <c r="J367" s="2">
        <f t="shared" si="15"/>
        <v>0.20000000000000018</v>
      </c>
      <c r="K367" s="2">
        <f t="shared" si="16"/>
        <v>2.0300000000000002</v>
      </c>
    </row>
    <row r="368" spans="1:11" x14ac:dyDescent="0.25">
      <c r="A368" s="4">
        <f t="shared" si="17"/>
        <v>45793</v>
      </c>
      <c r="B368" t="s">
        <v>377</v>
      </c>
      <c r="C368" s="2">
        <v>4.6500000000000004</v>
      </c>
      <c r="D368" s="2">
        <v>4.43</v>
      </c>
      <c r="E368" s="2">
        <v>2.59</v>
      </c>
      <c r="F368" s="6">
        <v>1.3265</v>
      </c>
      <c r="G368" s="6">
        <v>1.1893</v>
      </c>
      <c r="J368" s="2">
        <f t="shared" si="15"/>
        <v>0.22000000000000064</v>
      </c>
      <c r="K368" s="2">
        <f t="shared" si="16"/>
        <v>2.0600000000000005</v>
      </c>
    </row>
    <row r="369" spans="1:11" x14ac:dyDescent="0.25">
      <c r="A369" s="4">
        <f t="shared" si="17"/>
        <v>45796</v>
      </c>
      <c r="B369" t="s">
        <v>378</v>
      </c>
      <c r="C369" s="2">
        <v>4.6500000000000004</v>
      </c>
      <c r="D369" s="2">
        <v>4.46</v>
      </c>
      <c r="E369" s="2">
        <v>2.57</v>
      </c>
      <c r="F369" s="6">
        <v>1.3367</v>
      </c>
      <c r="G369" s="6">
        <v>1.1878</v>
      </c>
      <c r="J369" s="2">
        <f t="shared" si="15"/>
        <v>0.19000000000000039</v>
      </c>
      <c r="K369" s="2">
        <f t="shared" si="16"/>
        <v>2.0800000000000005</v>
      </c>
    </row>
    <row r="370" spans="1:11" x14ac:dyDescent="0.25">
      <c r="A370" s="4">
        <f t="shared" si="17"/>
        <v>45797</v>
      </c>
      <c r="B370" t="s">
        <v>379</v>
      </c>
      <c r="C370" s="2">
        <v>4.7</v>
      </c>
      <c r="D370" s="2">
        <v>4.4800000000000004</v>
      </c>
      <c r="E370" s="2">
        <v>2.6</v>
      </c>
      <c r="F370" s="6">
        <v>1.3369</v>
      </c>
      <c r="G370" s="6">
        <v>1.1863999999999999</v>
      </c>
      <c r="J370" s="2">
        <f t="shared" si="15"/>
        <v>0.21999999999999975</v>
      </c>
      <c r="K370" s="2">
        <f t="shared" si="16"/>
        <v>2.1</v>
      </c>
    </row>
    <row r="371" spans="1:11" x14ac:dyDescent="0.25">
      <c r="A371" s="4">
        <f t="shared" si="17"/>
        <v>45798</v>
      </c>
      <c r="B371" t="s">
        <v>380</v>
      </c>
      <c r="C371" s="2">
        <v>4.75</v>
      </c>
      <c r="D371" s="2">
        <v>4.58</v>
      </c>
      <c r="E371" s="2">
        <v>2.67</v>
      </c>
      <c r="F371" s="6">
        <v>1.3436999999999999</v>
      </c>
      <c r="G371" s="6">
        <v>1.1848000000000001</v>
      </c>
      <c r="J371" s="2">
        <f t="shared" si="15"/>
        <v>0.16999999999999993</v>
      </c>
      <c r="K371" s="2">
        <f t="shared" si="16"/>
        <v>2.08</v>
      </c>
    </row>
    <row r="372" spans="1:11" x14ac:dyDescent="0.25">
      <c r="A372" s="4">
        <f t="shared" si="17"/>
        <v>45799</v>
      </c>
      <c r="B372" t="s">
        <v>381</v>
      </c>
      <c r="C372" s="2">
        <v>4.75</v>
      </c>
      <c r="D372" s="2">
        <v>4.54</v>
      </c>
      <c r="E372" s="2">
        <v>2.63</v>
      </c>
      <c r="F372" s="6">
        <v>1.3424</v>
      </c>
      <c r="G372" s="6">
        <v>1.1902999999999999</v>
      </c>
      <c r="J372" s="2">
        <f t="shared" si="15"/>
        <v>0.20999999999999996</v>
      </c>
      <c r="K372" s="2">
        <f t="shared" si="16"/>
        <v>2.12</v>
      </c>
    </row>
    <row r="373" spans="1:11" x14ac:dyDescent="0.25">
      <c r="A373" s="4">
        <f t="shared" si="17"/>
        <v>45800</v>
      </c>
      <c r="B373" t="s">
        <v>382</v>
      </c>
      <c r="C373" s="2">
        <v>4.68</v>
      </c>
      <c r="D373" s="2">
        <v>4.51</v>
      </c>
      <c r="E373" s="2">
        <v>2.57</v>
      </c>
      <c r="F373" s="6">
        <v>1.3495999999999999</v>
      </c>
      <c r="G373" s="6">
        <v>1.1896</v>
      </c>
      <c r="J373" s="2">
        <f t="shared" si="15"/>
        <v>0.16999999999999993</v>
      </c>
      <c r="K373" s="2">
        <f t="shared" si="16"/>
        <v>2.11</v>
      </c>
    </row>
    <row r="374" spans="1:11" x14ac:dyDescent="0.25">
      <c r="A374" s="4">
        <f t="shared" si="17"/>
        <v>45803</v>
      </c>
      <c r="B374" t="s">
        <v>383</v>
      </c>
      <c r="C374" s="2" t="e">
        <v>#N/A</v>
      </c>
      <c r="D374" s="2" t="e">
        <v>#N/A</v>
      </c>
      <c r="E374" s="2">
        <v>2.56</v>
      </c>
      <c r="F374" s="6" t="e">
        <v>#N/A</v>
      </c>
      <c r="G374" s="6" t="e">
        <v>#N/A</v>
      </c>
      <c r="J374" s="2" t="e">
        <f t="shared" si="15"/>
        <v>#N/A</v>
      </c>
      <c r="K374" s="2" t="e">
        <f t="shared" si="16"/>
        <v>#N/A</v>
      </c>
    </row>
    <row r="375" spans="1:11" x14ac:dyDescent="0.25">
      <c r="A375" s="4">
        <f t="shared" si="17"/>
        <v>45804</v>
      </c>
      <c r="B375" t="s">
        <v>384</v>
      </c>
      <c r="C375" s="2">
        <v>4.67</v>
      </c>
      <c r="D375" s="2">
        <v>4.43</v>
      </c>
      <c r="E375" s="2">
        <v>2.5299999999999998</v>
      </c>
      <c r="F375" s="6">
        <v>1.3521000000000001</v>
      </c>
      <c r="G375" s="6">
        <v>1.1920999999999999</v>
      </c>
      <c r="J375" s="2">
        <f t="shared" si="15"/>
        <v>0.24000000000000021</v>
      </c>
      <c r="K375" s="2">
        <f t="shared" si="16"/>
        <v>2.14</v>
      </c>
    </row>
    <row r="376" spans="1:11" x14ac:dyDescent="0.25">
      <c r="A376" s="4">
        <f t="shared" si="17"/>
        <v>45805</v>
      </c>
      <c r="B376" t="s">
        <v>385</v>
      </c>
      <c r="C376" s="2">
        <v>4.72</v>
      </c>
      <c r="D376" s="2">
        <v>4.47</v>
      </c>
      <c r="E376" s="2">
        <v>2.54</v>
      </c>
      <c r="F376" s="6">
        <v>1.3471</v>
      </c>
      <c r="G376" s="6">
        <v>1.1919</v>
      </c>
      <c r="J376" s="2">
        <f t="shared" si="15"/>
        <v>0.25</v>
      </c>
      <c r="K376" s="2">
        <f t="shared" si="16"/>
        <v>2.1799999999999997</v>
      </c>
    </row>
    <row r="377" spans="1:11" x14ac:dyDescent="0.25">
      <c r="A377" s="4">
        <f t="shared" si="17"/>
        <v>45806</v>
      </c>
      <c r="B377" t="s">
        <v>386</v>
      </c>
      <c r="C377" s="2">
        <v>4.6500000000000004</v>
      </c>
      <c r="D377" s="2">
        <v>4.43</v>
      </c>
      <c r="E377" s="2">
        <v>2.5099999999999998</v>
      </c>
      <c r="F377" s="6">
        <v>1.3483000000000001</v>
      </c>
      <c r="G377" s="6">
        <v>1.1879</v>
      </c>
      <c r="J377" s="2">
        <f t="shared" si="15"/>
        <v>0.22000000000000064</v>
      </c>
      <c r="K377" s="2">
        <f t="shared" si="16"/>
        <v>2.1400000000000006</v>
      </c>
    </row>
    <row r="378" spans="1:11" x14ac:dyDescent="0.25">
      <c r="A378" s="4">
        <f t="shared" si="17"/>
        <v>45807</v>
      </c>
      <c r="B378" t="s">
        <v>387</v>
      </c>
      <c r="C378" s="2">
        <v>4.6399999999999997</v>
      </c>
      <c r="D378" s="2">
        <v>4.41</v>
      </c>
      <c r="E378" s="2">
        <v>2.5</v>
      </c>
      <c r="F378" s="6">
        <v>1.3482000000000001</v>
      </c>
      <c r="G378" s="6">
        <v>1.1876</v>
      </c>
      <c r="J378" s="2">
        <f t="shared" si="15"/>
        <v>0.22999999999999954</v>
      </c>
      <c r="K378" s="2">
        <f t="shared" si="16"/>
        <v>2.1399999999999997</v>
      </c>
    </row>
    <row r="379" spans="1:11" x14ac:dyDescent="0.25">
      <c r="A379" s="4">
        <f t="shared" si="17"/>
        <v>45810</v>
      </c>
      <c r="B379" t="s">
        <v>388</v>
      </c>
      <c r="C379" s="2">
        <v>4.66</v>
      </c>
      <c r="D379" s="2">
        <v>4.46</v>
      </c>
      <c r="E379" s="2">
        <v>2.5099999999999998</v>
      </c>
      <c r="F379" s="6">
        <v>1.3552999999999999</v>
      </c>
      <c r="G379" s="6">
        <v>1.1852</v>
      </c>
      <c r="J379" s="2">
        <f t="shared" si="15"/>
        <v>0.20000000000000018</v>
      </c>
      <c r="K379" s="2">
        <f t="shared" si="16"/>
        <v>2.1500000000000004</v>
      </c>
    </row>
    <row r="380" spans="1:11" x14ac:dyDescent="0.25">
      <c r="A380" s="4">
        <f t="shared" si="17"/>
        <v>45811</v>
      </c>
      <c r="B380" t="s">
        <v>389</v>
      </c>
      <c r="C380" s="2">
        <v>4.6399999999999997</v>
      </c>
      <c r="D380" s="2">
        <v>4.46</v>
      </c>
      <c r="E380" s="2">
        <v>2.5099999999999998</v>
      </c>
      <c r="F380" s="6">
        <v>1.3529</v>
      </c>
      <c r="G380" s="6">
        <v>1.1875</v>
      </c>
      <c r="J380" s="2">
        <f t="shared" si="15"/>
        <v>0.17999999999999972</v>
      </c>
      <c r="K380" s="2">
        <f t="shared" si="16"/>
        <v>2.13</v>
      </c>
    </row>
    <row r="381" spans="1:11" x14ac:dyDescent="0.25">
      <c r="A381" s="4">
        <f t="shared" si="17"/>
        <v>45812</v>
      </c>
      <c r="B381" t="s">
        <v>390</v>
      </c>
      <c r="C381" s="2">
        <v>4.59</v>
      </c>
      <c r="D381" s="2">
        <v>4.37</v>
      </c>
      <c r="E381" s="2">
        <v>2.5099999999999998</v>
      </c>
      <c r="F381" s="6">
        <v>1.3576999999999999</v>
      </c>
      <c r="G381" s="6">
        <v>1.1876</v>
      </c>
      <c r="J381" s="2">
        <f t="shared" si="15"/>
        <v>0.21999999999999975</v>
      </c>
      <c r="K381" s="2">
        <f t="shared" si="16"/>
        <v>2.08</v>
      </c>
    </row>
    <row r="382" spans="1:11" x14ac:dyDescent="0.25">
      <c r="A382" s="4">
        <f t="shared" si="17"/>
        <v>45813</v>
      </c>
      <c r="B382" t="s">
        <v>391</v>
      </c>
      <c r="C382" s="2">
        <v>4.6100000000000003</v>
      </c>
      <c r="D382" s="2">
        <v>4.4000000000000004</v>
      </c>
      <c r="E382" s="2">
        <v>2.59</v>
      </c>
      <c r="F382" s="6">
        <v>1.3591</v>
      </c>
      <c r="G382" s="6">
        <v>1.1861999999999999</v>
      </c>
      <c r="J382" s="2">
        <f t="shared" si="15"/>
        <v>0.20999999999999996</v>
      </c>
      <c r="K382" s="2">
        <f t="shared" si="16"/>
        <v>2.0200000000000005</v>
      </c>
    </row>
    <row r="383" spans="1:11" x14ac:dyDescent="0.25">
      <c r="A383" s="4">
        <f t="shared" si="17"/>
        <v>45814</v>
      </c>
      <c r="B383" t="s">
        <v>392</v>
      </c>
      <c r="C383" s="2">
        <v>4.6399999999999997</v>
      </c>
      <c r="D383" s="2">
        <v>4.51</v>
      </c>
      <c r="E383" s="2">
        <v>2.58</v>
      </c>
      <c r="F383" s="6">
        <v>1.3527</v>
      </c>
      <c r="G383" s="6">
        <v>1.1876</v>
      </c>
      <c r="J383" s="2">
        <f t="shared" si="15"/>
        <v>0.12999999999999989</v>
      </c>
      <c r="K383" s="2">
        <f t="shared" si="16"/>
        <v>2.0599999999999996</v>
      </c>
    </row>
    <row r="384" spans="1:11" x14ac:dyDescent="0.25">
      <c r="A384" s="4">
        <f t="shared" si="17"/>
        <v>45817</v>
      </c>
      <c r="B384" t="s">
        <v>393</v>
      </c>
      <c r="C384" s="2">
        <v>4.62</v>
      </c>
      <c r="D384" s="2">
        <v>4.49</v>
      </c>
      <c r="E384" s="2">
        <v>2.56</v>
      </c>
      <c r="F384" s="6">
        <v>1.3545</v>
      </c>
      <c r="G384" s="6">
        <v>1.1874</v>
      </c>
      <c r="J384" s="2">
        <f t="shared" si="15"/>
        <v>0.12999999999999989</v>
      </c>
      <c r="K384" s="2">
        <f t="shared" si="16"/>
        <v>2.06</v>
      </c>
    </row>
    <row r="385" spans="1:14" x14ac:dyDescent="0.25">
      <c r="A385" s="4">
        <f t="shared" si="17"/>
        <v>45818</v>
      </c>
      <c r="B385" t="s">
        <v>394</v>
      </c>
      <c r="C385" s="2">
        <v>4.55</v>
      </c>
      <c r="D385" s="2">
        <v>4.47</v>
      </c>
      <c r="E385" s="2">
        <v>2.52</v>
      </c>
      <c r="F385" s="6">
        <v>1.3514999999999999</v>
      </c>
      <c r="G385" s="6">
        <v>1.1830000000000001</v>
      </c>
      <c r="J385" s="2">
        <f t="shared" si="15"/>
        <v>8.0000000000000071E-2</v>
      </c>
      <c r="K385" s="2">
        <f t="shared" si="16"/>
        <v>2.0299999999999998</v>
      </c>
    </row>
    <row r="386" spans="1:14" x14ac:dyDescent="0.25">
      <c r="A386" s="4">
        <f t="shared" si="17"/>
        <v>45819</v>
      </c>
      <c r="B386" t="s">
        <v>395</v>
      </c>
      <c r="C386" s="2">
        <v>4.55</v>
      </c>
      <c r="D386" s="2">
        <v>4.41</v>
      </c>
      <c r="E386" s="2">
        <v>2.5299999999999998</v>
      </c>
      <c r="F386" s="6">
        <v>1.3537999999999999</v>
      </c>
      <c r="G386" s="6">
        <v>1.1792</v>
      </c>
      <c r="J386" s="2">
        <f t="shared" si="15"/>
        <v>0.13999999999999968</v>
      </c>
      <c r="K386" s="2">
        <f t="shared" si="16"/>
        <v>2.02</v>
      </c>
    </row>
    <row r="387" spans="1:14" x14ac:dyDescent="0.25">
      <c r="A387" s="4">
        <f t="shared" si="17"/>
        <v>45820</v>
      </c>
      <c r="B387" t="s">
        <v>396</v>
      </c>
      <c r="C387" s="2">
        <v>4.49</v>
      </c>
      <c r="D387" s="2">
        <v>4.3600000000000003</v>
      </c>
      <c r="E387" s="2">
        <v>2.48</v>
      </c>
      <c r="F387" s="6">
        <v>1.3594999999999999</v>
      </c>
      <c r="G387" s="6">
        <v>1.1737</v>
      </c>
      <c r="J387" s="2">
        <f t="shared" si="15"/>
        <v>0.12999999999999989</v>
      </c>
      <c r="K387" s="2">
        <f t="shared" si="16"/>
        <v>2.0100000000000002</v>
      </c>
    </row>
    <row r="388" spans="1:14" x14ac:dyDescent="0.25">
      <c r="A388" s="4">
        <f t="shared" si="17"/>
        <v>45821</v>
      </c>
      <c r="B388" t="s">
        <v>397</v>
      </c>
      <c r="C388" s="2">
        <v>4.5599999999999996</v>
      </c>
      <c r="D388" s="2">
        <v>4.41</v>
      </c>
      <c r="E388" s="2">
        <v>2.5299999999999998</v>
      </c>
      <c r="F388" s="6">
        <v>1.3575999999999999</v>
      </c>
      <c r="G388" s="6">
        <v>1.1758999999999999</v>
      </c>
      <c r="J388" s="2">
        <f t="shared" si="15"/>
        <v>0.14999999999999947</v>
      </c>
      <c r="K388" s="2">
        <f t="shared" si="16"/>
        <v>2.0299999999999998</v>
      </c>
    </row>
    <row r="389" spans="1:14" x14ac:dyDescent="0.25">
      <c r="A389" s="4">
        <f t="shared" si="17"/>
        <v>45824</v>
      </c>
      <c r="B389" t="s">
        <v>398</v>
      </c>
      <c r="C389" s="2">
        <v>4.54</v>
      </c>
      <c r="D389" s="2">
        <v>4.46</v>
      </c>
      <c r="E389" s="2">
        <v>2.5499999999999998</v>
      </c>
      <c r="F389" s="6">
        <v>1.3595999999999999</v>
      </c>
      <c r="G389" s="6">
        <v>1.173</v>
      </c>
      <c r="J389" s="2">
        <f t="shared" si="15"/>
        <v>8.0000000000000071E-2</v>
      </c>
      <c r="K389" s="2">
        <f t="shared" si="16"/>
        <v>1.9900000000000002</v>
      </c>
    </row>
    <row r="390" spans="1:14" x14ac:dyDescent="0.25">
      <c r="A390" s="4">
        <f t="shared" si="17"/>
        <v>45825</v>
      </c>
      <c r="B390" t="s">
        <v>399</v>
      </c>
      <c r="C390" s="2">
        <v>4.54</v>
      </c>
      <c r="D390" s="2">
        <v>4.3899999999999997</v>
      </c>
      <c r="E390" s="2">
        <v>2.52</v>
      </c>
      <c r="F390" s="6">
        <v>1.3512</v>
      </c>
      <c r="G390" s="6">
        <v>1.1722999999999999</v>
      </c>
      <c r="J390" s="2">
        <f t="shared" si="15"/>
        <v>0.15000000000000036</v>
      </c>
      <c r="K390" s="2">
        <f t="shared" si="16"/>
        <v>2.02</v>
      </c>
    </row>
    <row r="391" spans="1:14" x14ac:dyDescent="0.25">
      <c r="A391" s="4">
        <f t="shared" si="17"/>
        <v>45826</v>
      </c>
      <c r="B391" t="s">
        <v>400</v>
      </c>
      <c r="C391" s="2">
        <v>4.5</v>
      </c>
      <c r="D391" s="2">
        <v>4.38</v>
      </c>
      <c r="E391" s="2">
        <v>2.5099999999999998</v>
      </c>
      <c r="F391" s="6">
        <v>1.3452</v>
      </c>
      <c r="G391" s="6">
        <v>1.169</v>
      </c>
      <c r="J391" s="2">
        <f t="shared" si="15"/>
        <v>0.12000000000000011</v>
      </c>
      <c r="K391" s="2">
        <f t="shared" si="16"/>
        <v>1.9900000000000002</v>
      </c>
    </row>
    <row r="392" spans="1:14" x14ac:dyDescent="0.25">
      <c r="A392" s="4">
        <f t="shared" si="17"/>
        <v>45827</v>
      </c>
      <c r="B392" t="s">
        <v>401</v>
      </c>
      <c r="C392" s="2">
        <v>4.54</v>
      </c>
      <c r="D392" s="2" t="e">
        <v>#N/A</v>
      </c>
      <c r="E392" s="2">
        <v>2.5099999999999998</v>
      </c>
      <c r="F392" s="6">
        <v>1.3427</v>
      </c>
      <c r="G392" s="6">
        <v>1.1707000000000001</v>
      </c>
      <c r="J392" s="2" t="e">
        <f t="shared" si="15"/>
        <v>#N/A</v>
      </c>
      <c r="K392" s="2">
        <f t="shared" si="16"/>
        <v>2.0300000000000002</v>
      </c>
    </row>
    <row r="393" spans="1:14" x14ac:dyDescent="0.25">
      <c r="A393" s="4">
        <f t="shared" si="17"/>
        <v>45828</v>
      </c>
      <c r="B393" t="s">
        <v>402</v>
      </c>
      <c r="C393" s="2">
        <v>4.5199999999999996</v>
      </c>
      <c r="D393" s="2">
        <v>4.38</v>
      </c>
      <c r="E393" s="2">
        <v>2.52</v>
      </c>
      <c r="F393" s="6">
        <v>1.3465</v>
      </c>
      <c r="G393" s="6">
        <v>1.1695</v>
      </c>
      <c r="J393" s="2">
        <f t="shared" ref="J393:J400" si="18">C393-D393</f>
        <v>0.13999999999999968</v>
      </c>
      <c r="K393" s="2">
        <f t="shared" ref="K393:K400" si="19">C393-E393</f>
        <v>1.9999999999999996</v>
      </c>
    </row>
    <row r="394" spans="1:14" x14ac:dyDescent="0.25">
      <c r="A394" s="4">
        <f t="shared" si="17"/>
        <v>45831</v>
      </c>
      <c r="B394" t="s">
        <v>403</v>
      </c>
      <c r="C394" s="2">
        <v>4.49</v>
      </c>
      <c r="D394" s="2">
        <v>4.34</v>
      </c>
      <c r="E394" s="2">
        <v>2.52</v>
      </c>
      <c r="F394" s="6">
        <v>1.3489</v>
      </c>
      <c r="G394" s="6">
        <v>1.1698</v>
      </c>
      <c r="J394" s="2">
        <f t="shared" si="18"/>
        <v>0.15000000000000036</v>
      </c>
      <c r="K394" s="2">
        <f t="shared" si="19"/>
        <v>1.9700000000000002</v>
      </c>
      <c r="M394" s="2">
        <f t="shared" ref="M394:N402" si="20">AVERAGE(J$394:J$402)</f>
        <v>0.20444444444444462</v>
      </c>
      <c r="N394" s="2">
        <f t="shared" si="20"/>
        <v>1.9255555555555557</v>
      </c>
    </row>
    <row r="395" spans="1:14" x14ac:dyDescent="0.25">
      <c r="A395" s="4">
        <f t="shared" si="17"/>
        <v>45832</v>
      </c>
      <c r="B395" t="s">
        <v>404</v>
      </c>
      <c r="C395" s="2">
        <v>4.47</v>
      </c>
      <c r="D395" s="2">
        <v>4.3</v>
      </c>
      <c r="E395" s="2">
        <v>2.54</v>
      </c>
      <c r="F395" s="6">
        <v>1.3623000000000001</v>
      </c>
      <c r="G395" s="6">
        <v>1.1726000000000001</v>
      </c>
      <c r="J395" s="2">
        <f t="shared" si="18"/>
        <v>0.16999999999999993</v>
      </c>
      <c r="K395" s="2">
        <f t="shared" si="19"/>
        <v>1.9299999999999997</v>
      </c>
      <c r="M395" s="2">
        <f t="shared" si="20"/>
        <v>0.20444444444444462</v>
      </c>
      <c r="N395" s="2">
        <f t="shared" si="20"/>
        <v>1.9255555555555557</v>
      </c>
    </row>
    <row r="396" spans="1:14" x14ac:dyDescent="0.25">
      <c r="A396" s="4">
        <f t="shared" si="17"/>
        <v>45833</v>
      </c>
      <c r="B396" t="s">
        <v>405</v>
      </c>
      <c r="C396" s="2">
        <v>4.46</v>
      </c>
      <c r="D396" s="2">
        <v>4.29</v>
      </c>
      <c r="E396" s="2">
        <v>2.56</v>
      </c>
      <c r="F396" s="6">
        <v>1.3624000000000001</v>
      </c>
      <c r="G396" s="6">
        <v>1.1724000000000001</v>
      </c>
      <c r="J396" s="2">
        <f t="shared" si="18"/>
        <v>0.16999999999999993</v>
      </c>
      <c r="K396" s="2">
        <f t="shared" si="19"/>
        <v>1.9</v>
      </c>
      <c r="M396" s="2">
        <f t="shared" si="20"/>
        <v>0.20444444444444462</v>
      </c>
      <c r="N396" s="2">
        <f t="shared" si="20"/>
        <v>1.9255555555555557</v>
      </c>
    </row>
    <row r="397" spans="1:14" x14ac:dyDescent="0.25">
      <c r="A397" s="4">
        <f t="shared" si="17"/>
        <v>45834</v>
      </c>
      <c r="B397" t="s">
        <v>406</v>
      </c>
      <c r="C397" s="2">
        <v>4.47</v>
      </c>
      <c r="D397" s="2">
        <v>4.26</v>
      </c>
      <c r="E397" s="2">
        <v>2.56</v>
      </c>
      <c r="F397" s="6">
        <v>1.3733</v>
      </c>
      <c r="G397" s="6">
        <v>1.1729000000000001</v>
      </c>
      <c r="J397" s="2">
        <f t="shared" si="18"/>
        <v>0.20999999999999996</v>
      </c>
      <c r="K397" s="2">
        <f t="shared" si="19"/>
        <v>1.9099999999999997</v>
      </c>
      <c r="M397" s="2">
        <f t="shared" si="20"/>
        <v>0.20444444444444462</v>
      </c>
      <c r="N397" s="2">
        <f t="shared" si="20"/>
        <v>1.9255555555555557</v>
      </c>
    </row>
    <row r="398" spans="1:14" x14ac:dyDescent="0.25">
      <c r="A398" s="4">
        <f t="shared" si="17"/>
        <v>45835</v>
      </c>
      <c r="B398" t="s">
        <v>407</v>
      </c>
      <c r="C398" s="2">
        <v>4.5</v>
      </c>
      <c r="D398" s="2">
        <v>4.29</v>
      </c>
      <c r="E398" s="2">
        <v>2.59</v>
      </c>
      <c r="F398" s="6">
        <v>1.3714999999999999</v>
      </c>
      <c r="G398" s="6">
        <v>1.1704000000000001</v>
      </c>
      <c r="J398" s="2">
        <f t="shared" si="18"/>
        <v>0.20999999999999996</v>
      </c>
      <c r="K398" s="2">
        <f t="shared" si="19"/>
        <v>1.9100000000000001</v>
      </c>
      <c r="M398" s="2">
        <f t="shared" si="20"/>
        <v>0.20444444444444462</v>
      </c>
      <c r="N398" s="2">
        <f t="shared" si="20"/>
        <v>1.9255555555555557</v>
      </c>
    </row>
    <row r="399" spans="1:14" x14ac:dyDescent="0.25">
      <c r="A399" s="4">
        <f t="shared" ref="A399:A402" si="21">+A394+7</f>
        <v>45838</v>
      </c>
      <c r="B399" t="s">
        <v>408</v>
      </c>
      <c r="C399" s="2">
        <v>4.4800000000000004</v>
      </c>
      <c r="D399" s="2">
        <v>4.24</v>
      </c>
      <c r="E399" s="2">
        <v>2.59</v>
      </c>
      <c r="F399" s="6">
        <v>1.3703000000000001</v>
      </c>
      <c r="G399" s="6">
        <v>1.1674</v>
      </c>
      <c r="J399" s="2">
        <f t="shared" si="18"/>
        <v>0.24000000000000021</v>
      </c>
      <c r="K399" s="2">
        <f t="shared" si="19"/>
        <v>1.8900000000000006</v>
      </c>
      <c r="M399" s="2">
        <f t="shared" si="20"/>
        <v>0.20444444444444462</v>
      </c>
      <c r="N399" s="2">
        <f t="shared" si="20"/>
        <v>1.9255555555555557</v>
      </c>
    </row>
    <row r="400" spans="1:14" x14ac:dyDescent="0.25">
      <c r="A400" s="4">
        <f t="shared" si="21"/>
        <v>45839</v>
      </c>
      <c r="B400" t="s">
        <v>409</v>
      </c>
      <c r="C400" s="2">
        <v>4.4400000000000004</v>
      </c>
      <c r="D400" s="2">
        <v>4.26</v>
      </c>
      <c r="E400" s="2">
        <v>2.57</v>
      </c>
      <c r="F400" s="6">
        <v>1.3717999999999999</v>
      </c>
      <c r="G400" s="6">
        <v>1.1646000000000001</v>
      </c>
      <c r="J400" s="2">
        <f t="shared" si="18"/>
        <v>0.1800000000000006</v>
      </c>
      <c r="K400" s="2">
        <f t="shared" si="19"/>
        <v>1.8700000000000006</v>
      </c>
      <c r="M400" s="2">
        <f t="shared" si="20"/>
        <v>0.20444444444444462</v>
      </c>
      <c r="N400" s="2">
        <f t="shared" si="20"/>
        <v>1.9255555555555557</v>
      </c>
    </row>
    <row r="401" spans="1:14" x14ac:dyDescent="0.25">
      <c r="A401" s="4">
        <f t="shared" si="21"/>
        <v>45840</v>
      </c>
      <c r="B401" t="s">
        <v>410</v>
      </c>
      <c r="C401" s="2">
        <v>4.6100000000000003</v>
      </c>
      <c r="D401" s="2">
        <v>4.3</v>
      </c>
      <c r="E401" s="2">
        <v>2.63</v>
      </c>
      <c r="F401" s="6">
        <v>1.3593999999999999</v>
      </c>
      <c r="G401" s="6">
        <v>1.1552</v>
      </c>
      <c r="J401" s="2">
        <f>C401-D401</f>
        <v>0.3100000000000005</v>
      </c>
      <c r="K401" s="2">
        <f>C401-E401</f>
        <v>1.9800000000000004</v>
      </c>
      <c r="M401" s="2">
        <f t="shared" si="20"/>
        <v>0.20444444444444462</v>
      </c>
      <c r="N401" s="2">
        <f t="shared" si="20"/>
        <v>1.9255555555555557</v>
      </c>
    </row>
    <row r="402" spans="1:14" x14ac:dyDescent="0.25">
      <c r="A402" s="4">
        <f t="shared" si="21"/>
        <v>45841</v>
      </c>
      <c r="B402" t="s">
        <v>430</v>
      </c>
      <c r="C402" s="2">
        <v>4.55</v>
      </c>
      <c r="D402" s="2">
        <v>4.3499999999999996</v>
      </c>
      <c r="E402" s="2">
        <v>2.58</v>
      </c>
      <c r="F402" s="2">
        <v>1.3609</v>
      </c>
      <c r="G402" s="2"/>
      <c r="J402" s="2">
        <f>C402-D402</f>
        <v>0.20000000000000018</v>
      </c>
      <c r="K402" s="2">
        <f>C402-E402</f>
        <v>1.9699999999999998</v>
      </c>
      <c r="M402" s="2">
        <f t="shared" si="20"/>
        <v>0.20444444444444462</v>
      </c>
      <c r="N402" s="2">
        <f t="shared" si="20"/>
        <v>1.9255555555555557</v>
      </c>
    </row>
    <row r="403" spans="1:14" x14ac:dyDescent="0.25">
      <c r="M403" s="2">
        <f>AVERAGE(J$394:J$402)</f>
        <v>0.20444444444444462</v>
      </c>
      <c r="N403" s="2">
        <f>AVERAGE(K$394:K$402)</f>
        <v>1.9255555555555557</v>
      </c>
    </row>
    <row r="405" spans="1:14" x14ac:dyDescent="0.25">
      <c r="C405" s="5"/>
      <c r="D405" s="5"/>
      <c r="E405" s="5"/>
      <c r="F405" s="5"/>
      <c r="G405" s="5"/>
      <c r="J40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9464-50DD-4EF4-99B2-593A3974AB95}">
  <dimension ref="A1:C73"/>
  <sheetViews>
    <sheetView workbookViewId="0">
      <pane xSplit="1" ySplit="6" topLeftCell="B52" activePane="bottomRight" state="frozen"/>
      <selection pane="topRight" activeCell="B1" sqref="B1"/>
      <selection pane="bottomLeft" activeCell="A7" sqref="A7"/>
      <selection pane="bottomRight" activeCell="B71" sqref="B71"/>
    </sheetView>
  </sheetViews>
  <sheetFormatPr defaultRowHeight="15" x14ac:dyDescent="0.25"/>
  <sheetData>
    <row r="1" spans="1:3" x14ac:dyDescent="0.25">
      <c r="A1" s="1" t="s">
        <v>933</v>
      </c>
      <c r="B1" s="7" t="s">
        <v>932</v>
      </c>
      <c r="C1" s="7" t="s">
        <v>931</v>
      </c>
    </row>
    <row r="2" spans="1:3" x14ac:dyDescent="0.25">
      <c r="A2" t="s">
        <v>9</v>
      </c>
      <c r="B2" t="s">
        <v>939</v>
      </c>
      <c r="C2" t="s">
        <v>941</v>
      </c>
    </row>
    <row r="3" spans="1:3" x14ac:dyDescent="0.25">
      <c r="A3" t="s">
        <v>8</v>
      </c>
      <c r="B3" t="s">
        <v>938</v>
      </c>
      <c r="C3" t="s">
        <v>940</v>
      </c>
    </row>
    <row r="4" spans="1:3" x14ac:dyDescent="0.25">
      <c r="A4" t="s">
        <v>7</v>
      </c>
      <c r="B4" t="s">
        <v>937</v>
      </c>
      <c r="C4" t="s">
        <v>937</v>
      </c>
    </row>
    <row r="5" spans="1:3" x14ac:dyDescent="0.25">
      <c r="A5" t="s">
        <v>6</v>
      </c>
      <c r="B5" t="s">
        <v>936</v>
      </c>
      <c r="C5" t="s">
        <v>936</v>
      </c>
    </row>
    <row r="6" spans="1:3" x14ac:dyDescent="0.25">
      <c r="A6" t="s">
        <v>5</v>
      </c>
      <c r="B6" t="s">
        <v>935</v>
      </c>
      <c r="C6" t="s">
        <v>935</v>
      </c>
    </row>
    <row r="7" spans="1:3" x14ac:dyDescent="0.25">
      <c r="A7" t="s">
        <v>934</v>
      </c>
      <c r="B7" s="8">
        <v>101.1</v>
      </c>
      <c r="C7" s="8">
        <v>0</v>
      </c>
    </row>
    <row r="8" spans="1:3" x14ac:dyDescent="0.25">
      <c r="A8" t="s">
        <v>942</v>
      </c>
      <c r="B8" s="8">
        <v>100.6</v>
      </c>
      <c r="C8" s="8">
        <v>-0.5</v>
      </c>
    </row>
    <row r="9" spans="1:3" x14ac:dyDescent="0.25">
      <c r="A9" t="s">
        <v>943</v>
      </c>
      <c r="B9" s="8">
        <v>94.5</v>
      </c>
      <c r="C9" s="8">
        <v>-6.1</v>
      </c>
    </row>
    <row r="10" spans="1:3" x14ac:dyDescent="0.25">
      <c r="A10" t="s">
        <v>944</v>
      </c>
      <c r="B10" s="8">
        <v>77.8</v>
      </c>
      <c r="C10" s="8">
        <v>-17.7</v>
      </c>
    </row>
    <row r="11" spans="1:3" x14ac:dyDescent="0.25">
      <c r="A11" t="s">
        <v>945</v>
      </c>
      <c r="B11" s="8">
        <v>88.3</v>
      </c>
      <c r="C11" s="8">
        <v>13.5</v>
      </c>
    </row>
    <row r="12" spans="1:3" x14ac:dyDescent="0.25">
      <c r="A12" t="s">
        <v>946</v>
      </c>
      <c r="B12" s="8">
        <v>99.3</v>
      </c>
      <c r="C12" s="8">
        <v>12.6</v>
      </c>
    </row>
    <row r="13" spans="1:3" x14ac:dyDescent="0.25">
      <c r="A13" t="s">
        <v>947</v>
      </c>
      <c r="B13" s="8">
        <v>104.1</v>
      </c>
      <c r="C13" s="8">
        <v>4.8</v>
      </c>
    </row>
    <row r="14" spans="1:3" x14ac:dyDescent="0.25">
      <c r="A14" t="s">
        <v>948</v>
      </c>
      <c r="B14" s="8">
        <v>105.6</v>
      </c>
      <c r="C14" s="8">
        <v>1.4</v>
      </c>
    </row>
    <row r="15" spans="1:3" x14ac:dyDescent="0.25">
      <c r="A15" t="s">
        <v>949</v>
      </c>
      <c r="B15" s="8">
        <v>107.2</v>
      </c>
      <c r="C15" s="8">
        <v>1.5</v>
      </c>
    </row>
    <row r="16" spans="1:3" x14ac:dyDescent="0.25">
      <c r="A16" t="s">
        <v>950</v>
      </c>
      <c r="B16" s="8">
        <v>108</v>
      </c>
      <c r="C16" s="8">
        <v>0.8</v>
      </c>
    </row>
    <row r="17" spans="1:3" x14ac:dyDescent="0.25">
      <c r="A17" t="s">
        <v>951</v>
      </c>
      <c r="B17" s="8">
        <v>103</v>
      </c>
      <c r="C17" s="8">
        <v>-4.7</v>
      </c>
    </row>
    <row r="18" spans="1:3" x14ac:dyDescent="0.25">
      <c r="A18" t="s">
        <v>952</v>
      </c>
      <c r="B18" s="8">
        <v>103.8</v>
      </c>
      <c r="C18" s="8">
        <v>0.8</v>
      </c>
    </row>
    <row r="19" spans="1:3" x14ac:dyDescent="0.25">
      <c r="A19" t="s">
        <v>953</v>
      </c>
      <c r="B19" s="8">
        <v>96</v>
      </c>
      <c r="C19" s="8">
        <v>-7.5</v>
      </c>
    </row>
    <row r="20" spans="1:3" x14ac:dyDescent="0.25">
      <c r="A20" t="s">
        <v>954</v>
      </c>
      <c r="B20" s="8">
        <v>96.9</v>
      </c>
      <c r="C20" s="8">
        <v>0.9</v>
      </c>
    </row>
    <row r="21" spans="1:3" x14ac:dyDescent="0.25">
      <c r="A21" t="s">
        <v>955</v>
      </c>
      <c r="B21" s="8">
        <v>100.9</v>
      </c>
      <c r="C21" s="8">
        <v>4.0999999999999996</v>
      </c>
    </row>
    <row r="22" spans="1:3" x14ac:dyDescent="0.25">
      <c r="A22" t="s">
        <v>956</v>
      </c>
      <c r="B22" s="8">
        <v>109.3</v>
      </c>
      <c r="C22" s="8">
        <v>8.3000000000000007</v>
      </c>
    </row>
    <row r="23" spans="1:3" x14ac:dyDescent="0.25">
      <c r="A23" t="s">
        <v>957</v>
      </c>
      <c r="B23" s="8">
        <v>107.2</v>
      </c>
      <c r="C23" s="8">
        <v>-1.9</v>
      </c>
    </row>
    <row r="24" spans="1:3" x14ac:dyDescent="0.25">
      <c r="A24" t="s">
        <v>958</v>
      </c>
      <c r="B24" s="8">
        <v>108.1</v>
      </c>
      <c r="C24" s="8">
        <v>0.8</v>
      </c>
    </row>
    <row r="25" spans="1:3" x14ac:dyDescent="0.25">
      <c r="A25" t="s">
        <v>959</v>
      </c>
      <c r="B25" s="8">
        <v>105.5</v>
      </c>
      <c r="C25" s="8">
        <v>-2.2999999999999998</v>
      </c>
    </row>
    <row r="26" spans="1:3" x14ac:dyDescent="0.25">
      <c r="A26" t="s">
        <v>960</v>
      </c>
      <c r="B26" s="8">
        <v>105.8</v>
      </c>
      <c r="C26" s="8">
        <v>0.3</v>
      </c>
    </row>
    <row r="27" spans="1:3" x14ac:dyDescent="0.25">
      <c r="A27" t="s">
        <v>961</v>
      </c>
      <c r="B27" s="8">
        <v>105.9</v>
      </c>
      <c r="C27" s="8">
        <v>0.1</v>
      </c>
    </row>
    <row r="28" spans="1:3" x14ac:dyDescent="0.25">
      <c r="A28" t="s">
        <v>962</v>
      </c>
      <c r="B28" s="8">
        <v>105.4</v>
      </c>
      <c r="C28" s="8">
        <v>-0.4</v>
      </c>
    </row>
    <row r="29" spans="1:3" x14ac:dyDescent="0.25">
      <c r="A29" t="s">
        <v>963</v>
      </c>
      <c r="B29" s="8">
        <v>105</v>
      </c>
      <c r="C29" s="8">
        <v>-0.4</v>
      </c>
    </row>
    <row r="30" spans="1:3" x14ac:dyDescent="0.25">
      <c r="A30" t="s">
        <v>964</v>
      </c>
      <c r="B30" s="8">
        <v>105.3</v>
      </c>
      <c r="C30" s="8">
        <v>0.2</v>
      </c>
    </row>
    <row r="31" spans="1:3" x14ac:dyDescent="0.25">
      <c r="A31" t="s">
        <v>965</v>
      </c>
      <c r="B31" s="8">
        <v>104.3</v>
      </c>
      <c r="C31" s="8">
        <v>-0.9</v>
      </c>
    </row>
    <row r="32" spans="1:3" x14ac:dyDescent="0.25">
      <c r="A32" t="s">
        <v>966</v>
      </c>
      <c r="B32" s="8">
        <v>103</v>
      </c>
      <c r="C32" s="8">
        <v>-1.2</v>
      </c>
    </row>
    <row r="33" spans="1:3" x14ac:dyDescent="0.25">
      <c r="A33" t="s">
        <v>967</v>
      </c>
      <c r="B33" s="8">
        <v>102.2</v>
      </c>
      <c r="C33" s="8">
        <v>-0.8</v>
      </c>
    </row>
    <row r="34" spans="1:3" x14ac:dyDescent="0.25">
      <c r="A34" t="s">
        <v>968</v>
      </c>
      <c r="B34" s="8">
        <v>101.4</v>
      </c>
      <c r="C34" s="8">
        <v>-0.8</v>
      </c>
    </row>
    <row r="35" spans="1:3" x14ac:dyDescent="0.25">
      <c r="A35" t="s">
        <v>969</v>
      </c>
      <c r="B35" s="8">
        <v>100</v>
      </c>
      <c r="C35" s="8">
        <v>-1.3</v>
      </c>
    </row>
    <row r="36" spans="1:3" x14ac:dyDescent="0.25">
      <c r="A36" t="s">
        <v>970</v>
      </c>
      <c r="B36" s="8">
        <v>100</v>
      </c>
      <c r="C36" s="8">
        <v>0</v>
      </c>
    </row>
    <row r="37" spans="1:3" x14ac:dyDescent="0.25">
      <c r="A37" t="s">
        <v>971</v>
      </c>
      <c r="B37" s="8">
        <v>100.2</v>
      </c>
      <c r="C37" s="8">
        <v>0.1</v>
      </c>
    </row>
    <row r="38" spans="1:3" x14ac:dyDescent="0.25">
      <c r="A38" t="s">
        <v>972</v>
      </c>
      <c r="B38" s="8">
        <v>98.6</v>
      </c>
      <c r="C38" s="8">
        <v>-1.5</v>
      </c>
    </row>
    <row r="39" spans="1:3" x14ac:dyDescent="0.25">
      <c r="A39" t="s">
        <v>973</v>
      </c>
      <c r="B39" s="8">
        <v>97.5</v>
      </c>
      <c r="C39" s="8">
        <v>-1.2</v>
      </c>
    </row>
    <row r="40" spans="1:3" x14ac:dyDescent="0.25">
      <c r="A40" t="s">
        <v>974</v>
      </c>
      <c r="B40" s="8">
        <v>98.6</v>
      </c>
      <c r="C40" s="8">
        <v>1.1000000000000001</v>
      </c>
    </row>
    <row r="41" spans="1:3" x14ac:dyDescent="0.25">
      <c r="A41" t="s">
        <v>975</v>
      </c>
      <c r="B41" s="8">
        <v>97.4</v>
      </c>
      <c r="C41" s="8">
        <v>-1.1000000000000001</v>
      </c>
    </row>
    <row r="42" spans="1:3" x14ac:dyDescent="0.25">
      <c r="A42" t="s">
        <v>976</v>
      </c>
      <c r="B42" s="8">
        <v>97.5</v>
      </c>
      <c r="C42" s="8">
        <v>0</v>
      </c>
    </row>
    <row r="43" spans="1:3" x14ac:dyDescent="0.25">
      <c r="A43" t="s">
        <v>977</v>
      </c>
      <c r="B43" s="8">
        <v>98</v>
      </c>
      <c r="C43" s="8">
        <v>0.6</v>
      </c>
    </row>
    <row r="44" spans="1:3" x14ac:dyDescent="0.25">
      <c r="A44" t="s">
        <v>978</v>
      </c>
      <c r="B44" s="8">
        <v>98.2</v>
      </c>
      <c r="C44" s="8">
        <v>0.2</v>
      </c>
    </row>
    <row r="45" spans="1:3" x14ac:dyDescent="0.25">
      <c r="A45" t="s">
        <v>979</v>
      </c>
      <c r="B45" s="8">
        <v>97</v>
      </c>
      <c r="C45" s="8">
        <v>-1.2</v>
      </c>
    </row>
    <row r="46" spans="1:3" x14ac:dyDescent="0.25">
      <c r="A46" t="s">
        <v>980</v>
      </c>
      <c r="B46" s="8">
        <v>98.4</v>
      </c>
      <c r="C46" s="8">
        <v>1.4</v>
      </c>
    </row>
    <row r="47" spans="1:3" x14ac:dyDescent="0.25">
      <c r="A47" t="s">
        <v>981</v>
      </c>
      <c r="B47" s="8">
        <v>97.5</v>
      </c>
      <c r="C47" s="8">
        <v>-1</v>
      </c>
    </row>
    <row r="48" spans="1:3" x14ac:dyDescent="0.25">
      <c r="A48" t="s">
        <v>982</v>
      </c>
      <c r="B48" s="8">
        <v>98.4</v>
      </c>
      <c r="C48" s="8">
        <v>0.9</v>
      </c>
    </row>
    <row r="49" spans="1:3" x14ac:dyDescent="0.25">
      <c r="A49" t="s">
        <v>983</v>
      </c>
      <c r="B49" s="8">
        <v>96.9</v>
      </c>
      <c r="C49" s="8">
        <v>-1.5</v>
      </c>
    </row>
    <row r="50" spans="1:3" x14ac:dyDescent="0.25">
      <c r="A50" t="s">
        <v>984</v>
      </c>
      <c r="B50" s="8">
        <v>97</v>
      </c>
      <c r="C50" s="8">
        <v>0.2</v>
      </c>
    </row>
    <row r="51" spans="1:3" x14ac:dyDescent="0.25">
      <c r="A51" t="s">
        <v>985</v>
      </c>
      <c r="B51" s="8">
        <v>96.1</v>
      </c>
      <c r="C51" s="8">
        <v>-1</v>
      </c>
    </row>
    <row r="52" spans="1:3" x14ac:dyDescent="0.25">
      <c r="A52" t="s">
        <v>986</v>
      </c>
      <c r="B52" s="8">
        <v>96.2</v>
      </c>
      <c r="C52" s="8">
        <v>0.2</v>
      </c>
    </row>
    <row r="53" spans="1:3" x14ac:dyDescent="0.25">
      <c r="A53" t="s">
        <v>987</v>
      </c>
      <c r="B53" s="8">
        <v>97.6</v>
      </c>
      <c r="C53" s="8">
        <v>1.5</v>
      </c>
    </row>
    <row r="54" spans="1:3" x14ac:dyDescent="0.25">
      <c r="A54" t="s">
        <v>988</v>
      </c>
      <c r="B54" s="8">
        <v>94.3</v>
      </c>
      <c r="C54" s="8">
        <v>-3.4</v>
      </c>
    </row>
    <row r="55" spans="1:3" x14ac:dyDescent="0.25">
      <c r="A55" t="s">
        <v>989</v>
      </c>
      <c r="B55" s="8">
        <v>98</v>
      </c>
      <c r="C55" s="8">
        <v>3.9</v>
      </c>
    </row>
    <row r="56" spans="1:3" x14ac:dyDescent="0.25">
      <c r="A56" t="s">
        <v>990</v>
      </c>
      <c r="B56" s="8">
        <v>97.5</v>
      </c>
      <c r="C56" s="8">
        <v>-0.5</v>
      </c>
    </row>
    <row r="57" spans="1:3" x14ac:dyDescent="0.25">
      <c r="A57" t="s">
        <v>991</v>
      </c>
      <c r="B57" s="8">
        <v>97.4</v>
      </c>
      <c r="C57" s="8">
        <v>-0.1</v>
      </c>
    </row>
    <row r="58" spans="1:3" x14ac:dyDescent="0.25">
      <c r="A58" t="s">
        <v>992</v>
      </c>
      <c r="B58" s="8">
        <v>95.8</v>
      </c>
      <c r="C58" s="8">
        <v>-1.6</v>
      </c>
    </row>
    <row r="59" spans="1:3" x14ac:dyDescent="0.25">
      <c r="A59" t="s">
        <v>993</v>
      </c>
      <c r="B59" s="8">
        <v>98.6</v>
      </c>
      <c r="C59" s="8">
        <v>2.9</v>
      </c>
    </row>
    <row r="60" spans="1:3" x14ac:dyDescent="0.25">
      <c r="A60" t="s">
        <v>994</v>
      </c>
      <c r="B60" s="8">
        <v>97</v>
      </c>
      <c r="C60" s="8">
        <v>-1.6</v>
      </c>
    </row>
    <row r="61" spans="1:3" x14ac:dyDescent="0.25">
      <c r="A61" t="s">
        <v>995</v>
      </c>
      <c r="B61" s="8">
        <v>97.4</v>
      </c>
      <c r="C61" s="8">
        <v>0.4</v>
      </c>
    </row>
    <row r="62" spans="1:3" x14ac:dyDescent="0.25">
      <c r="A62" t="s">
        <v>996</v>
      </c>
      <c r="B62" s="8">
        <v>98.2</v>
      </c>
      <c r="C62" s="8">
        <v>0.9</v>
      </c>
    </row>
    <row r="63" spans="1:3" x14ac:dyDescent="0.25">
      <c r="A63" t="s">
        <v>997</v>
      </c>
      <c r="B63" s="8">
        <v>98.1</v>
      </c>
      <c r="C63" s="8">
        <v>-0.1</v>
      </c>
    </row>
    <row r="64" spans="1:3" x14ac:dyDescent="0.25">
      <c r="A64" t="s">
        <v>998</v>
      </c>
      <c r="B64" s="8">
        <v>97.4</v>
      </c>
      <c r="C64" s="8">
        <v>-0.7</v>
      </c>
    </row>
    <row r="65" spans="1:3" x14ac:dyDescent="0.25">
      <c r="A65" t="s">
        <v>999</v>
      </c>
      <c r="B65" s="8">
        <v>97.2</v>
      </c>
      <c r="C65" s="8">
        <v>-0.3</v>
      </c>
    </row>
    <row r="66" spans="1:3" x14ac:dyDescent="0.25">
      <c r="A66" t="s">
        <v>1000</v>
      </c>
      <c r="B66" s="8">
        <v>96.8</v>
      </c>
      <c r="C66" s="8">
        <v>-0.3</v>
      </c>
    </row>
    <row r="67" spans="1:3" x14ac:dyDescent="0.25">
      <c r="A67" t="s">
        <v>1001</v>
      </c>
      <c r="B67" s="8">
        <v>96.4</v>
      </c>
      <c r="C67" s="8">
        <v>-0.4</v>
      </c>
    </row>
    <row r="68" spans="1:3" x14ac:dyDescent="0.25">
      <c r="A68" t="s">
        <v>1002</v>
      </c>
      <c r="B68" s="8">
        <v>97.9</v>
      </c>
      <c r="C68" s="8">
        <v>1.5</v>
      </c>
    </row>
    <row r="69" spans="1:3" x14ac:dyDescent="0.25">
      <c r="A69" t="s">
        <v>1003</v>
      </c>
      <c r="B69" s="8">
        <v>99</v>
      </c>
      <c r="C69" s="8">
        <v>1.2</v>
      </c>
    </row>
    <row r="70" spans="1:3" x14ac:dyDescent="0.25">
      <c r="A70" t="s">
        <v>1004</v>
      </c>
      <c r="B70" s="8">
        <v>98.6</v>
      </c>
      <c r="C70" s="8">
        <v>-0.4</v>
      </c>
    </row>
    <row r="71" spans="1:3" x14ac:dyDescent="0.25">
      <c r="A71" t="s">
        <v>1005</v>
      </c>
      <c r="B71" s="8">
        <v>97.6</v>
      </c>
      <c r="C71" s="8">
        <v>-1</v>
      </c>
    </row>
    <row r="72" spans="1:3" x14ac:dyDescent="0.25">
      <c r="A72" t="s">
        <v>1006</v>
      </c>
      <c r="B72" s="8">
        <v>97.9</v>
      </c>
      <c r="C72" s="8">
        <v>0.3</v>
      </c>
    </row>
    <row r="73" spans="1:3" x14ac:dyDescent="0.25">
      <c r="A73" t="s">
        <v>1007</v>
      </c>
      <c r="B73" s="8">
        <v>98.4</v>
      </c>
      <c r="C73" s="8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D7A7-5559-46DC-AC60-BE628116A670}">
  <dimension ref="A1:BH2000"/>
  <sheetViews>
    <sheetView workbookViewId="0"/>
  </sheetViews>
  <sheetFormatPr defaultColWidth="11.5703125" defaultRowHeight="15" x14ac:dyDescent="0.25"/>
  <cols>
    <col min="1" max="1" width="27.7109375" customWidth="1"/>
    <col min="2" max="11" width="16.7109375" customWidth="1"/>
  </cols>
  <sheetData>
    <row r="1" spans="1:60" ht="18" x14ac:dyDescent="0.25">
      <c r="A1" s="10" t="s">
        <v>431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 spans="1:60" ht="15.75" x14ac:dyDescent="0.25">
      <c r="A2" s="12" t="s">
        <v>432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</row>
    <row r="3" spans="1:60" ht="15.75" x14ac:dyDescent="0.25">
      <c r="A3" s="12" t="s">
        <v>1011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spans="1:60" ht="15.75" x14ac:dyDescent="0.25">
      <c r="A4" s="12" t="s">
        <v>433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spans="1:60" ht="15.75" x14ac:dyDescent="0.25">
      <c r="A5" s="12" t="s">
        <v>434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spans="1:60" ht="16.5" thickBot="1" x14ac:dyDescent="0.3">
      <c r="A6" s="13" t="s">
        <v>435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spans="1:60" ht="60.75" x14ac:dyDescent="0.25">
      <c r="A7" s="14" t="s">
        <v>436</v>
      </c>
      <c r="B7" s="14" t="s">
        <v>437</v>
      </c>
      <c r="C7" s="14" t="s">
        <v>438</v>
      </c>
      <c r="D7" s="14" t="s">
        <v>439</v>
      </c>
      <c r="E7" s="14" t="s">
        <v>440</v>
      </c>
      <c r="F7" s="14" t="s">
        <v>441</v>
      </c>
      <c r="G7" s="14" t="s">
        <v>442</v>
      </c>
      <c r="H7" s="14" t="s">
        <v>443</v>
      </c>
      <c r="I7" s="14" t="s">
        <v>444</v>
      </c>
      <c r="J7" s="14" t="s">
        <v>445</v>
      </c>
      <c r="K7" s="14" t="s">
        <v>446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spans="1:60" ht="15.75" x14ac:dyDescent="0.25">
      <c r="A8" s="12" t="s">
        <v>447</v>
      </c>
      <c r="B8" s="11" t="s">
        <v>448</v>
      </c>
      <c r="C8" s="11" t="s">
        <v>449</v>
      </c>
      <c r="D8" s="11" t="s">
        <v>450</v>
      </c>
      <c r="E8" s="11" t="s">
        <v>451</v>
      </c>
      <c r="F8" s="11" t="s">
        <v>452</v>
      </c>
      <c r="G8" s="11" t="s">
        <v>453</v>
      </c>
      <c r="H8" s="11" t="s">
        <v>454</v>
      </c>
      <c r="I8" s="11" t="s">
        <v>455</v>
      </c>
      <c r="J8" s="11" t="s">
        <v>456</v>
      </c>
      <c r="K8" s="11" t="s">
        <v>457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spans="1:60" ht="16.5" thickBot="1" x14ac:dyDescent="0.3">
      <c r="A9" s="15" t="s">
        <v>458</v>
      </c>
      <c r="B9" s="13" t="s">
        <v>459</v>
      </c>
      <c r="C9" s="13" t="s">
        <v>460</v>
      </c>
      <c r="D9" s="13" t="s">
        <v>461</v>
      </c>
      <c r="E9" s="13" t="s">
        <v>462</v>
      </c>
      <c r="F9" s="13" t="s">
        <v>463</v>
      </c>
      <c r="G9" s="13" t="s">
        <v>464</v>
      </c>
      <c r="H9" s="13" t="s">
        <v>465</v>
      </c>
      <c r="I9" s="13" t="s">
        <v>466</v>
      </c>
      <c r="J9" s="13" t="s">
        <v>467</v>
      </c>
      <c r="K9" s="13" t="s">
        <v>468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spans="1:60" ht="15.75" x14ac:dyDescent="0.25">
      <c r="A10" s="12" t="s">
        <v>469</v>
      </c>
      <c r="B10" s="11"/>
      <c r="C10" s="11">
        <v>50</v>
      </c>
      <c r="D10" s="11">
        <v>61.7</v>
      </c>
      <c r="E10" s="11">
        <v>47.7</v>
      </c>
      <c r="F10" s="11">
        <v>50.2</v>
      </c>
      <c r="G10" s="11">
        <v>37.799999999999997</v>
      </c>
      <c r="H10" s="11">
        <v>64</v>
      </c>
      <c r="I10" s="11">
        <v>46.7</v>
      </c>
      <c r="J10" s="11">
        <v>27.5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spans="1:60" ht="15.75" x14ac:dyDescent="0.25">
      <c r="A11" s="12" t="s">
        <v>470</v>
      </c>
      <c r="B11" s="11"/>
      <c r="C11" s="11">
        <v>48.9</v>
      </c>
      <c r="D11" s="11">
        <v>61.6</v>
      </c>
      <c r="E11" s="11">
        <v>46.2</v>
      </c>
      <c r="F11" s="11">
        <v>49.8</v>
      </c>
      <c r="G11" s="11">
        <v>36.299999999999997</v>
      </c>
      <c r="H11" s="11">
        <v>61.5</v>
      </c>
      <c r="I11" s="11">
        <v>45.3</v>
      </c>
      <c r="J11" s="11">
        <v>26.1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spans="1:60" ht="15.75" x14ac:dyDescent="0.25">
      <c r="A12" s="12" t="s">
        <v>471</v>
      </c>
      <c r="B12" s="11"/>
      <c r="C12" s="11">
        <v>49.1</v>
      </c>
      <c r="D12" s="11">
        <v>61.7</v>
      </c>
      <c r="E12" s="11">
        <v>46.3</v>
      </c>
      <c r="F12" s="11">
        <v>50.1</v>
      </c>
      <c r="G12" s="11">
        <v>35.700000000000003</v>
      </c>
      <c r="H12" s="11">
        <v>62.5</v>
      </c>
      <c r="I12" s="11">
        <v>45.5</v>
      </c>
      <c r="J12" s="11">
        <v>27.1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spans="1:60" ht="15.75" x14ac:dyDescent="0.25">
      <c r="A13" s="12" t="s">
        <v>472</v>
      </c>
      <c r="B13" s="11"/>
      <c r="C13" s="11">
        <v>49.8</v>
      </c>
      <c r="D13" s="11">
        <v>62.1</v>
      </c>
      <c r="E13" s="11">
        <v>47.1</v>
      </c>
      <c r="F13" s="11">
        <v>50.3</v>
      </c>
      <c r="G13" s="11">
        <v>36.299999999999997</v>
      </c>
      <c r="H13" s="11">
        <v>63.9</v>
      </c>
      <c r="I13" s="11">
        <v>46.5</v>
      </c>
      <c r="J13" s="11">
        <v>27.7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spans="1:60" ht="15.75" x14ac:dyDescent="0.25">
      <c r="A14" s="12" t="s">
        <v>473</v>
      </c>
      <c r="B14" s="11"/>
      <c r="C14" s="11">
        <v>49.7</v>
      </c>
      <c r="D14" s="11">
        <v>61.6</v>
      </c>
      <c r="E14" s="11">
        <v>47.2</v>
      </c>
      <c r="F14" s="11">
        <v>50.8</v>
      </c>
      <c r="G14" s="11">
        <v>36.299999999999997</v>
      </c>
      <c r="H14" s="11">
        <v>63.7</v>
      </c>
      <c r="I14" s="11">
        <v>46.5</v>
      </c>
      <c r="J14" s="11">
        <v>27.8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spans="1:60" ht="15.75" x14ac:dyDescent="0.25">
      <c r="A15" s="12" t="s">
        <v>474</v>
      </c>
      <c r="B15" s="11"/>
      <c r="C15" s="11">
        <v>50.2</v>
      </c>
      <c r="D15" s="11">
        <v>61.8</v>
      </c>
      <c r="E15" s="11">
        <v>48</v>
      </c>
      <c r="F15" s="11">
        <v>51.1</v>
      </c>
      <c r="G15" s="11">
        <v>37.299999999999997</v>
      </c>
      <c r="H15" s="11">
        <v>64.5</v>
      </c>
      <c r="I15" s="11">
        <v>47.4</v>
      </c>
      <c r="J15" s="11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60" ht="15.75" x14ac:dyDescent="0.25">
      <c r="A16" s="12" t="s">
        <v>475</v>
      </c>
      <c r="B16" s="11"/>
      <c r="C16" s="11">
        <v>50.9</v>
      </c>
      <c r="D16" s="11">
        <v>61.5</v>
      </c>
      <c r="E16" s="11">
        <v>49.2</v>
      </c>
      <c r="F16" s="11">
        <v>50.9</v>
      </c>
      <c r="G16" s="11">
        <v>37.4</v>
      </c>
      <c r="H16" s="11">
        <v>69.099999999999994</v>
      </c>
      <c r="I16" s="11">
        <v>48.3</v>
      </c>
      <c r="J16" s="11">
        <v>28.3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0" ht="15.75" x14ac:dyDescent="0.25">
      <c r="A17" s="12" t="s">
        <v>476</v>
      </c>
      <c r="B17" s="11"/>
      <c r="C17" s="11">
        <v>50.9</v>
      </c>
      <c r="D17" s="11">
        <v>62.1</v>
      </c>
      <c r="E17" s="11">
        <v>48.9</v>
      </c>
      <c r="F17" s="11">
        <v>51.2</v>
      </c>
      <c r="G17" s="11">
        <v>37.5</v>
      </c>
      <c r="H17" s="11">
        <v>67</v>
      </c>
      <c r="I17" s="11">
        <v>48.6</v>
      </c>
      <c r="J17" s="11">
        <v>28.1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0" ht="15.75" x14ac:dyDescent="0.25">
      <c r="A18" s="12" t="s">
        <v>477</v>
      </c>
      <c r="B18" s="11"/>
      <c r="C18" s="11">
        <v>50.6</v>
      </c>
      <c r="D18" s="11">
        <v>61.9</v>
      </c>
      <c r="E18" s="11">
        <v>48.7</v>
      </c>
      <c r="F18" s="11">
        <v>51.4</v>
      </c>
      <c r="G18" s="11">
        <v>37.6</v>
      </c>
      <c r="H18" s="11">
        <v>66.5</v>
      </c>
      <c r="I18" s="11">
        <v>48.1</v>
      </c>
      <c r="J18" s="11">
        <v>27.3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0" ht="15.75" x14ac:dyDescent="0.25">
      <c r="A19" s="12" t="s">
        <v>478</v>
      </c>
      <c r="B19" s="11"/>
      <c r="C19" s="11">
        <v>51.5</v>
      </c>
      <c r="D19" s="11">
        <v>62.6</v>
      </c>
      <c r="E19" s="11">
        <v>49.6</v>
      </c>
      <c r="F19" s="11">
        <v>52.2</v>
      </c>
      <c r="G19" s="11">
        <v>38.200000000000003</v>
      </c>
      <c r="H19" s="11">
        <v>67.599999999999994</v>
      </c>
      <c r="I19" s="11">
        <v>49.1</v>
      </c>
      <c r="J19" s="11">
        <v>28.3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0" ht="15.75" x14ac:dyDescent="0.25">
      <c r="A20" s="12" t="s">
        <v>479</v>
      </c>
      <c r="B20" s="11"/>
      <c r="C20" s="11">
        <v>51.7</v>
      </c>
      <c r="D20" s="11">
        <v>62.9</v>
      </c>
      <c r="E20" s="11">
        <v>49.9</v>
      </c>
      <c r="F20" s="11">
        <v>52.3</v>
      </c>
      <c r="G20" s="11">
        <v>38.799999999999997</v>
      </c>
      <c r="H20" s="11">
        <v>67.400000000000006</v>
      </c>
      <c r="I20" s="11">
        <v>49.7</v>
      </c>
      <c r="J20" s="11">
        <v>28.4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0" ht="15.75" x14ac:dyDescent="0.25">
      <c r="A21" s="12" t="s">
        <v>480</v>
      </c>
      <c r="B21" s="11"/>
      <c r="C21" s="11">
        <v>51.8</v>
      </c>
      <c r="D21" s="11">
        <v>63.5</v>
      </c>
      <c r="E21" s="11">
        <v>49.7</v>
      </c>
      <c r="F21" s="11">
        <v>51.2</v>
      </c>
      <c r="G21" s="11">
        <v>38.200000000000003</v>
      </c>
      <c r="H21" s="11">
        <v>67.099999999999994</v>
      </c>
      <c r="I21" s="11">
        <v>50.2</v>
      </c>
      <c r="J21" s="11">
        <v>28.3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0" ht="15.75" x14ac:dyDescent="0.25">
      <c r="A22" s="12" t="s">
        <v>481</v>
      </c>
      <c r="B22" s="11"/>
      <c r="C22" s="11">
        <v>51</v>
      </c>
      <c r="D22" s="11">
        <v>61.4</v>
      </c>
      <c r="E22" s="11">
        <v>49.6</v>
      </c>
      <c r="F22" s="11">
        <v>51.6</v>
      </c>
      <c r="G22" s="11">
        <v>37.9</v>
      </c>
      <c r="H22" s="11">
        <v>65.900000000000006</v>
      </c>
      <c r="I22" s="11">
        <v>50.7</v>
      </c>
      <c r="J22" s="11">
        <v>27.8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0" ht="15.75" x14ac:dyDescent="0.25">
      <c r="A23" s="12" t="s">
        <v>482</v>
      </c>
      <c r="B23" s="11"/>
      <c r="C23" s="11">
        <v>51.4</v>
      </c>
      <c r="D23" s="11">
        <v>62.7</v>
      </c>
      <c r="E23" s="11">
        <v>49.6</v>
      </c>
      <c r="F23" s="11">
        <v>51.6</v>
      </c>
      <c r="G23" s="11">
        <v>37.9</v>
      </c>
      <c r="H23" s="11">
        <v>66.2</v>
      </c>
      <c r="I23" s="11">
        <v>50.6</v>
      </c>
      <c r="J23" s="11">
        <v>28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0" ht="15.75" x14ac:dyDescent="0.25">
      <c r="A24" s="12" t="s">
        <v>483</v>
      </c>
      <c r="B24" s="11"/>
      <c r="C24" s="11">
        <v>51.5</v>
      </c>
      <c r="D24" s="11">
        <v>62.8</v>
      </c>
      <c r="E24" s="11">
        <v>49.6</v>
      </c>
      <c r="F24" s="11">
        <v>51.6</v>
      </c>
      <c r="G24" s="11">
        <v>38</v>
      </c>
      <c r="H24" s="11">
        <v>66.2</v>
      </c>
      <c r="I24" s="11">
        <v>50.4</v>
      </c>
      <c r="J24" s="11">
        <v>28.3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  <row r="25" spans="1:60" ht="15.75" x14ac:dyDescent="0.25">
      <c r="A25" s="12" t="s">
        <v>484</v>
      </c>
      <c r="B25" s="11"/>
      <c r="C25" s="11">
        <v>51.8</v>
      </c>
      <c r="D25" s="11">
        <v>63.1</v>
      </c>
      <c r="E25" s="11">
        <v>50</v>
      </c>
      <c r="F25" s="11">
        <v>51.4</v>
      </c>
      <c r="G25" s="11">
        <v>38</v>
      </c>
      <c r="H25" s="11">
        <v>68.3</v>
      </c>
      <c r="I25" s="11">
        <v>50.6</v>
      </c>
      <c r="J25" s="11">
        <v>28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0" ht="15.75" x14ac:dyDescent="0.25">
      <c r="A26" s="12" t="s">
        <v>485</v>
      </c>
      <c r="B26" s="11"/>
      <c r="C26" s="11">
        <v>52.3</v>
      </c>
      <c r="D26" s="11">
        <v>63.5</v>
      </c>
      <c r="E26" s="11">
        <v>50.6</v>
      </c>
      <c r="F26" s="11">
        <v>52.8</v>
      </c>
      <c r="G26" s="11">
        <v>39.6</v>
      </c>
      <c r="H26" s="11">
        <v>66.599999999999994</v>
      </c>
      <c r="I26" s="11">
        <v>51.3</v>
      </c>
      <c r="J26" s="11">
        <v>28.4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0" ht="15.75" x14ac:dyDescent="0.25">
      <c r="A27" s="12" t="s">
        <v>486</v>
      </c>
      <c r="B27" s="11"/>
      <c r="C27" s="11">
        <v>51.6</v>
      </c>
      <c r="D27" s="11">
        <v>63.5</v>
      </c>
      <c r="E27" s="11">
        <v>49.4</v>
      </c>
      <c r="F27" s="11">
        <v>51</v>
      </c>
      <c r="G27" s="11">
        <v>37.700000000000003</v>
      </c>
      <c r="H27" s="11">
        <v>65.400000000000006</v>
      </c>
      <c r="I27" s="11">
        <v>51.2</v>
      </c>
      <c r="J27" s="11">
        <v>28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0" ht="15.75" x14ac:dyDescent="0.25">
      <c r="A28" s="12" t="s">
        <v>487</v>
      </c>
      <c r="B28" s="11"/>
      <c r="C28" s="11">
        <v>51.3</v>
      </c>
      <c r="D28" s="11">
        <v>63.5</v>
      </c>
      <c r="E28" s="11">
        <v>49</v>
      </c>
      <c r="F28" s="11">
        <v>50.2</v>
      </c>
      <c r="G28" s="11">
        <v>37.200000000000003</v>
      </c>
      <c r="H28" s="11">
        <v>65.2</v>
      </c>
      <c r="I28" s="11">
        <v>51</v>
      </c>
      <c r="J28" s="11">
        <v>27.8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0" ht="15.75" x14ac:dyDescent="0.25">
      <c r="A29" s="12" t="s">
        <v>488</v>
      </c>
      <c r="B29" s="11"/>
      <c r="C29" s="11">
        <v>51.8</v>
      </c>
      <c r="D29" s="11">
        <v>63.6</v>
      </c>
      <c r="E29" s="11">
        <v>49.8</v>
      </c>
      <c r="F29" s="11">
        <v>51.9</v>
      </c>
      <c r="G29" s="11">
        <v>37.6</v>
      </c>
      <c r="H29" s="11">
        <v>66.599999999999994</v>
      </c>
      <c r="I29" s="11">
        <v>51.4</v>
      </c>
      <c r="J29" s="11">
        <v>27.9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0" ht="15.75" x14ac:dyDescent="0.25">
      <c r="A30" s="12" t="s">
        <v>489</v>
      </c>
      <c r="B30" s="11"/>
      <c r="C30" s="11">
        <v>52.1</v>
      </c>
      <c r="D30" s="11">
        <v>63.3</v>
      </c>
      <c r="E30" s="11">
        <v>50.3</v>
      </c>
      <c r="F30" s="11">
        <v>51.6</v>
      </c>
      <c r="G30" s="11">
        <v>38.1</v>
      </c>
      <c r="H30" s="11">
        <v>66.7</v>
      </c>
      <c r="I30" s="11">
        <v>52.4</v>
      </c>
      <c r="J30" s="11">
        <v>28.1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0" ht="15.75" x14ac:dyDescent="0.25">
      <c r="A31" s="12" t="s">
        <v>490</v>
      </c>
      <c r="B31" s="11"/>
      <c r="C31" s="11">
        <v>52.1</v>
      </c>
      <c r="D31" s="11">
        <v>63.6</v>
      </c>
      <c r="E31" s="11">
        <v>50.3</v>
      </c>
      <c r="F31" s="11">
        <v>51.6</v>
      </c>
      <c r="G31" s="11">
        <v>37.9</v>
      </c>
      <c r="H31" s="11">
        <v>66.900000000000006</v>
      </c>
      <c r="I31" s="11">
        <v>52.4</v>
      </c>
      <c r="J31" s="11">
        <v>27.9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0" ht="15.75" x14ac:dyDescent="0.25">
      <c r="A32" s="12" t="s">
        <v>491</v>
      </c>
      <c r="B32" s="11"/>
      <c r="C32" s="11">
        <v>52.1</v>
      </c>
      <c r="D32" s="11">
        <v>63.6</v>
      </c>
      <c r="E32" s="11">
        <v>50.4</v>
      </c>
      <c r="F32" s="11">
        <v>51.9</v>
      </c>
      <c r="G32" s="11">
        <v>38.200000000000003</v>
      </c>
      <c r="H32" s="11">
        <v>67.099999999999994</v>
      </c>
      <c r="I32" s="11">
        <v>52.1</v>
      </c>
      <c r="J32" s="11">
        <v>27.7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ht="15.75" x14ac:dyDescent="0.25">
      <c r="A33" s="12" t="s">
        <v>492</v>
      </c>
      <c r="B33" s="11"/>
      <c r="C33" s="11">
        <v>52.5</v>
      </c>
      <c r="D33" s="11">
        <v>64.099999999999994</v>
      </c>
      <c r="E33" s="11">
        <v>50.5</v>
      </c>
      <c r="F33" s="11">
        <v>50.9</v>
      </c>
      <c r="G33" s="11">
        <v>38.299999999999997</v>
      </c>
      <c r="H33" s="11">
        <v>67.5</v>
      </c>
      <c r="I33" s="11">
        <v>52.7</v>
      </c>
      <c r="J33" s="11">
        <v>28.6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ht="15.75" x14ac:dyDescent="0.25">
      <c r="A34" s="12" t="s">
        <v>493</v>
      </c>
      <c r="B34" s="11"/>
      <c r="C34" s="11">
        <v>52.2</v>
      </c>
      <c r="D34" s="11">
        <v>63.2</v>
      </c>
      <c r="E34" s="11">
        <v>50.7</v>
      </c>
      <c r="F34" s="11">
        <v>51.2</v>
      </c>
      <c r="G34" s="11">
        <v>38.4</v>
      </c>
      <c r="H34" s="11">
        <v>66.5</v>
      </c>
      <c r="I34" s="11">
        <v>53.6</v>
      </c>
      <c r="J34" s="11">
        <v>28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ht="15.75" x14ac:dyDescent="0.25">
      <c r="A35" s="12" t="s">
        <v>494</v>
      </c>
      <c r="B35" s="11"/>
      <c r="C35" s="11">
        <v>52.9</v>
      </c>
      <c r="D35" s="11">
        <v>63.6</v>
      </c>
      <c r="E35" s="11">
        <v>51.7</v>
      </c>
      <c r="F35" s="11">
        <v>52</v>
      </c>
      <c r="G35" s="11">
        <v>40.200000000000003</v>
      </c>
      <c r="H35" s="11">
        <v>68.099999999999994</v>
      </c>
      <c r="I35" s="11">
        <v>53.7</v>
      </c>
      <c r="J35" s="11">
        <v>28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ht="15.75" x14ac:dyDescent="0.25">
      <c r="A36" s="12" t="s">
        <v>495</v>
      </c>
      <c r="B36" s="11"/>
      <c r="C36" s="11">
        <v>53.1</v>
      </c>
      <c r="D36" s="11">
        <v>63.8</v>
      </c>
      <c r="E36" s="11">
        <v>51.9</v>
      </c>
      <c r="F36" s="11">
        <v>52.4</v>
      </c>
      <c r="G36" s="11">
        <v>40.4</v>
      </c>
      <c r="H36" s="11">
        <v>67</v>
      </c>
      <c r="I36" s="11">
        <v>54.4</v>
      </c>
      <c r="J36" s="11">
        <v>28.2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ht="15.75" x14ac:dyDescent="0.25">
      <c r="A37" s="12" t="s">
        <v>496</v>
      </c>
      <c r="B37" s="11"/>
      <c r="C37" s="11">
        <v>52.4</v>
      </c>
      <c r="D37" s="11">
        <v>63</v>
      </c>
      <c r="E37" s="11">
        <v>50.8</v>
      </c>
      <c r="F37" s="11">
        <v>51.6</v>
      </c>
      <c r="G37" s="11">
        <v>38.9</v>
      </c>
      <c r="H37" s="11">
        <v>66.400000000000006</v>
      </c>
      <c r="I37" s="11">
        <v>53.3</v>
      </c>
      <c r="J37" s="11">
        <v>28.9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ht="15.75" x14ac:dyDescent="0.25">
      <c r="A38" s="12" t="s">
        <v>497</v>
      </c>
      <c r="B38" s="11"/>
      <c r="C38" s="11">
        <v>53.5</v>
      </c>
      <c r="D38" s="11">
        <v>64.7</v>
      </c>
      <c r="E38" s="11">
        <v>52</v>
      </c>
      <c r="F38" s="11">
        <v>53.4</v>
      </c>
      <c r="G38" s="11">
        <v>40.9</v>
      </c>
      <c r="H38" s="11">
        <v>67.400000000000006</v>
      </c>
      <c r="I38" s="11">
        <v>53.6</v>
      </c>
      <c r="J38" s="11">
        <v>28.5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ht="15.75" x14ac:dyDescent="0.25">
      <c r="A39" s="12" t="s">
        <v>498</v>
      </c>
      <c r="B39" s="11"/>
      <c r="C39" s="11">
        <v>52.3</v>
      </c>
      <c r="D39" s="11">
        <v>63.2</v>
      </c>
      <c r="E39" s="11">
        <v>50.8</v>
      </c>
      <c r="F39" s="11">
        <v>51.6</v>
      </c>
      <c r="G39" s="11">
        <v>38.9</v>
      </c>
      <c r="H39" s="11">
        <v>66.900000000000006</v>
      </c>
      <c r="I39" s="11">
        <v>52.9</v>
      </c>
      <c r="J39" s="11">
        <v>28.5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ht="15.75" x14ac:dyDescent="0.25">
      <c r="A40" s="12" t="s">
        <v>499</v>
      </c>
      <c r="B40" s="11"/>
      <c r="C40" s="11">
        <v>53.2</v>
      </c>
      <c r="D40" s="11">
        <v>64.599999999999994</v>
      </c>
      <c r="E40" s="11">
        <v>51.5</v>
      </c>
      <c r="F40" s="11">
        <v>52.1</v>
      </c>
      <c r="G40" s="11">
        <v>40.5</v>
      </c>
      <c r="H40" s="11">
        <v>65.400000000000006</v>
      </c>
      <c r="I40" s="11">
        <v>54.2</v>
      </c>
      <c r="J40" s="11">
        <v>28.6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ht="15.75" x14ac:dyDescent="0.25">
      <c r="A41" s="12" t="s">
        <v>500</v>
      </c>
      <c r="B41" s="11"/>
      <c r="C41" s="11">
        <v>52.4</v>
      </c>
      <c r="D41" s="11">
        <v>64</v>
      </c>
      <c r="E41" s="11">
        <v>50.6</v>
      </c>
      <c r="F41" s="11">
        <v>52.1</v>
      </c>
      <c r="G41" s="11">
        <v>38.6</v>
      </c>
      <c r="H41" s="11">
        <v>65.400000000000006</v>
      </c>
      <c r="I41" s="11">
        <v>53.2</v>
      </c>
      <c r="J41" s="11">
        <v>28.4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ht="15.75" x14ac:dyDescent="0.25">
      <c r="A42" s="12" t="s">
        <v>501</v>
      </c>
      <c r="B42" s="11"/>
      <c r="C42" s="11">
        <v>52.4</v>
      </c>
      <c r="D42" s="11">
        <v>64.400000000000006</v>
      </c>
      <c r="E42" s="11">
        <v>50.4</v>
      </c>
      <c r="F42" s="11">
        <v>52</v>
      </c>
      <c r="G42" s="11">
        <v>38.700000000000003</v>
      </c>
      <c r="H42" s="11">
        <v>64.7</v>
      </c>
      <c r="I42" s="11">
        <v>53.3</v>
      </c>
      <c r="J42" s="11">
        <v>27.7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ht="15.75" x14ac:dyDescent="0.25">
      <c r="A43" s="12" t="s">
        <v>502</v>
      </c>
      <c r="B43" s="11"/>
      <c r="C43" s="11">
        <v>52.1</v>
      </c>
      <c r="D43" s="11">
        <v>64.099999999999994</v>
      </c>
      <c r="E43" s="11">
        <v>50.1</v>
      </c>
      <c r="F43" s="11">
        <v>51.1</v>
      </c>
      <c r="G43" s="11">
        <v>37.799999999999997</v>
      </c>
      <c r="H43" s="11">
        <v>64.599999999999994</v>
      </c>
      <c r="I43" s="11">
        <v>53.8</v>
      </c>
      <c r="J43" s="11">
        <v>27.6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ht="15.75" x14ac:dyDescent="0.25">
      <c r="A44" s="12" t="s">
        <v>503</v>
      </c>
      <c r="B44" s="11"/>
      <c r="C44" s="11">
        <v>51.7</v>
      </c>
      <c r="D44" s="11">
        <v>63.9</v>
      </c>
      <c r="E44" s="11">
        <v>49.6</v>
      </c>
      <c r="F44" s="11">
        <v>50.7</v>
      </c>
      <c r="G44" s="11">
        <v>37.200000000000003</v>
      </c>
      <c r="H44" s="11">
        <v>64.5</v>
      </c>
      <c r="I44" s="11">
        <v>52.9</v>
      </c>
      <c r="J44" s="11">
        <v>27.4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ht="15.75" x14ac:dyDescent="0.25">
      <c r="A45" s="12" t="s">
        <v>504</v>
      </c>
      <c r="B45" s="11"/>
      <c r="C45" s="11">
        <v>52.3</v>
      </c>
      <c r="D45" s="11">
        <v>64.5</v>
      </c>
      <c r="E45" s="11">
        <v>49.9</v>
      </c>
      <c r="F45" s="11">
        <v>51.1</v>
      </c>
      <c r="G45" s="11">
        <v>37.799999999999997</v>
      </c>
      <c r="H45" s="11">
        <v>64.2</v>
      </c>
      <c r="I45" s="11">
        <v>53.2</v>
      </c>
      <c r="J45" s="11">
        <v>28.9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ht="15.75" x14ac:dyDescent="0.25">
      <c r="A46" s="12" t="s">
        <v>505</v>
      </c>
      <c r="B46" s="11"/>
      <c r="C46" s="11">
        <v>51.6</v>
      </c>
      <c r="D46" s="11">
        <v>64.3</v>
      </c>
      <c r="E46" s="11">
        <v>49.2</v>
      </c>
      <c r="F46" s="11">
        <v>51.3</v>
      </c>
      <c r="G46" s="11">
        <v>37.700000000000003</v>
      </c>
      <c r="H46" s="11">
        <v>62.8</v>
      </c>
      <c r="I46" s="11">
        <v>51.9</v>
      </c>
      <c r="J46" s="11">
        <v>27.3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ht="15.75" x14ac:dyDescent="0.25">
      <c r="A47" s="12" t="s">
        <v>506</v>
      </c>
      <c r="B47" s="11"/>
      <c r="C47" s="11">
        <v>51.3</v>
      </c>
      <c r="D47" s="11">
        <v>64.7</v>
      </c>
      <c r="E47" s="11">
        <v>48.7</v>
      </c>
      <c r="F47" s="11">
        <v>50</v>
      </c>
      <c r="G47" s="11">
        <v>37.200000000000003</v>
      </c>
      <c r="H47" s="11">
        <v>62.9</v>
      </c>
      <c r="I47" s="11">
        <v>51.4</v>
      </c>
      <c r="J47" s="11">
        <v>26.3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ht="15.75" x14ac:dyDescent="0.25">
      <c r="A48" s="12" t="s">
        <v>507</v>
      </c>
      <c r="B48" s="11"/>
      <c r="C48" s="11">
        <v>52.9</v>
      </c>
      <c r="D48" s="11">
        <v>65.3</v>
      </c>
      <c r="E48" s="11">
        <v>51.2</v>
      </c>
      <c r="F48" s="11">
        <v>51.7</v>
      </c>
      <c r="G48" s="11">
        <v>38.4</v>
      </c>
      <c r="H48" s="11">
        <v>67.2</v>
      </c>
      <c r="I48" s="11">
        <v>54.5</v>
      </c>
      <c r="J48" s="11">
        <v>26.6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ht="15.75" x14ac:dyDescent="0.25">
      <c r="A49" s="12" t="s">
        <v>508</v>
      </c>
      <c r="B49" s="11"/>
      <c r="C49" s="11">
        <v>51.9</v>
      </c>
      <c r="D49" s="11">
        <v>64.400000000000006</v>
      </c>
      <c r="E49" s="11">
        <v>49.9</v>
      </c>
      <c r="F49" s="11">
        <v>51.8</v>
      </c>
      <c r="G49" s="11">
        <v>38.200000000000003</v>
      </c>
      <c r="H49" s="11">
        <v>63.6</v>
      </c>
      <c r="I49" s="11">
        <v>52.8</v>
      </c>
      <c r="J49" s="11">
        <v>26.2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ht="15.75" x14ac:dyDescent="0.25">
      <c r="A50" s="12" t="s">
        <v>509</v>
      </c>
      <c r="B50" s="11"/>
      <c r="C50" s="11">
        <v>51.5</v>
      </c>
      <c r="D50" s="11">
        <v>64.099999999999994</v>
      </c>
      <c r="E50" s="11">
        <v>49.4</v>
      </c>
      <c r="F50" s="11">
        <v>52.1</v>
      </c>
      <c r="G50" s="11">
        <v>37.799999999999997</v>
      </c>
      <c r="H50" s="11">
        <v>62.6</v>
      </c>
      <c r="I50" s="11">
        <v>52</v>
      </c>
      <c r="J50" s="11">
        <v>26.3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ht="15.75" x14ac:dyDescent="0.25">
      <c r="A51" s="12" t="s">
        <v>510</v>
      </c>
      <c r="B51" s="11"/>
      <c r="C51" s="11">
        <v>51.3</v>
      </c>
      <c r="D51" s="11">
        <v>64.400000000000006</v>
      </c>
      <c r="E51" s="11">
        <v>48.8</v>
      </c>
      <c r="F51" s="11">
        <v>51.4</v>
      </c>
      <c r="G51" s="11">
        <v>37.700000000000003</v>
      </c>
      <c r="H51" s="11">
        <v>62</v>
      </c>
      <c r="I51" s="11">
        <v>50.9</v>
      </c>
      <c r="J51" s="11">
        <v>26.4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ht="15.75" x14ac:dyDescent="0.25">
      <c r="A52" s="12" t="s">
        <v>511</v>
      </c>
      <c r="B52" s="11"/>
      <c r="C52" s="11">
        <v>52.2</v>
      </c>
      <c r="D52" s="11">
        <v>65.400000000000006</v>
      </c>
      <c r="E52" s="11">
        <v>49.8</v>
      </c>
      <c r="F52" s="11">
        <v>51.6</v>
      </c>
      <c r="G52" s="11">
        <v>38.9</v>
      </c>
      <c r="H52" s="11">
        <v>62.5</v>
      </c>
      <c r="I52" s="11">
        <v>52.4</v>
      </c>
      <c r="J52" s="11">
        <v>26.6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ht="15.75" x14ac:dyDescent="0.25">
      <c r="A53" s="12" t="s">
        <v>512</v>
      </c>
      <c r="B53" s="11"/>
      <c r="C53" s="11">
        <v>51.5</v>
      </c>
      <c r="D53" s="11">
        <v>65.2</v>
      </c>
      <c r="E53" s="11">
        <v>48.7</v>
      </c>
      <c r="F53" s="11">
        <v>51.2</v>
      </c>
      <c r="G53" s="11">
        <v>37.5</v>
      </c>
      <c r="H53" s="11">
        <v>61.3</v>
      </c>
      <c r="I53" s="11">
        <v>51.4</v>
      </c>
      <c r="J53" s="11">
        <v>26.2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ht="15.75" x14ac:dyDescent="0.25">
      <c r="A54" s="12" t="s">
        <v>513</v>
      </c>
      <c r="B54" s="11"/>
      <c r="C54" s="11">
        <v>51.4</v>
      </c>
      <c r="D54" s="11">
        <v>65.5</v>
      </c>
      <c r="E54" s="11">
        <v>48.3</v>
      </c>
      <c r="F54" s="11">
        <v>50.9</v>
      </c>
      <c r="G54" s="11">
        <v>37.200000000000003</v>
      </c>
      <c r="H54" s="11">
        <v>61.4</v>
      </c>
      <c r="I54" s="11">
        <v>50.7</v>
      </c>
      <c r="J54" s="11">
        <v>26.6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ht="15.75" x14ac:dyDescent="0.25">
      <c r="A55" s="12" t="s">
        <v>514</v>
      </c>
      <c r="B55" s="11"/>
      <c r="C55" s="11">
        <v>51.1</v>
      </c>
      <c r="D55" s="11">
        <v>64.599999999999994</v>
      </c>
      <c r="E55" s="11">
        <v>48.4</v>
      </c>
      <c r="F55" s="11">
        <v>50.6</v>
      </c>
      <c r="G55" s="11">
        <v>36.700000000000003</v>
      </c>
      <c r="H55" s="11">
        <v>61.3</v>
      </c>
      <c r="I55" s="11">
        <v>51.8</v>
      </c>
      <c r="J55" s="11">
        <v>26.1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ht="15.75" x14ac:dyDescent="0.25">
      <c r="A56" s="12" t="s">
        <v>515</v>
      </c>
      <c r="B56" s="11"/>
      <c r="C56" s="11">
        <v>51.1</v>
      </c>
      <c r="D56" s="11">
        <v>64.400000000000006</v>
      </c>
      <c r="E56" s="11">
        <v>48.5</v>
      </c>
      <c r="F56" s="11">
        <v>50.1</v>
      </c>
      <c r="G56" s="11">
        <v>37.200000000000003</v>
      </c>
      <c r="H56" s="11">
        <v>61.8</v>
      </c>
      <c r="I56" s="11">
        <v>51.6</v>
      </c>
      <c r="J56" s="11">
        <v>26.3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ht="15.75" x14ac:dyDescent="0.25">
      <c r="A57" s="12" t="s">
        <v>516</v>
      </c>
      <c r="B57" s="11"/>
      <c r="C57" s="11">
        <v>51.3</v>
      </c>
      <c r="D57" s="11">
        <v>64.599999999999994</v>
      </c>
      <c r="E57" s="11">
        <v>48.8</v>
      </c>
      <c r="F57" s="11">
        <v>49.5</v>
      </c>
      <c r="G57" s="11">
        <v>37.1</v>
      </c>
      <c r="H57" s="11">
        <v>62.5</v>
      </c>
      <c r="I57" s="11">
        <v>52.2</v>
      </c>
      <c r="J57" s="11">
        <v>26.4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ht="15.75" x14ac:dyDescent="0.25">
      <c r="A58" s="12" t="s">
        <v>517</v>
      </c>
      <c r="B58" s="11"/>
      <c r="C58" s="11">
        <v>51.5</v>
      </c>
      <c r="D58" s="11">
        <v>64.5</v>
      </c>
      <c r="E58" s="11">
        <v>49.2</v>
      </c>
      <c r="F58" s="11">
        <v>50.9</v>
      </c>
      <c r="G58" s="11">
        <v>37</v>
      </c>
      <c r="H58" s="11">
        <v>62.4</v>
      </c>
      <c r="I58" s="11">
        <v>53.2</v>
      </c>
      <c r="J58" s="11">
        <v>26.3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ht="15.75" x14ac:dyDescent="0.25">
      <c r="A59" s="12" t="s">
        <v>518</v>
      </c>
      <c r="B59" s="11"/>
      <c r="C59" s="11">
        <v>51.6</v>
      </c>
      <c r="D59" s="11">
        <v>65.400000000000006</v>
      </c>
      <c r="E59" s="11">
        <v>48.9</v>
      </c>
      <c r="F59" s="11">
        <v>50.6</v>
      </c>
      <c r="G59" s="11">
        <v>37.1</v>
      </c>
      <c r="H59" s="11">
        <v>61.9</v>
      </c>
      <c r="I59" s="11">
        <v>52.4</v>
      </c>
      <c r="J59" s="11">
        <v>25.9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ht="15.75" x14ac:dyDescent="0.25">
      <c r="A60" s="12" t="s">
        <v>519</v>
      </c>
      <c r="B60" s="11"/>
      <c r="C60" s="11">
        <v>50.9</v>
      </c>
      <c r="D60" s="11">
        <v>65.5</v>
      </c>
      <c r="E60" s="11">
        <v>48.1</v>
      </c>
      <c r="F60" s="11">
        <v>50</v>
      </c>
      <c r="G60" s="11">
        <v>36.6</v>
      </c>
      <c r="H60" s="11">
        <v>60.6</v>
      </c>
      <c r="I60" s="11">
        <v>51.5</v>
      </c>
      <c r="J60" s="11">
        <v>24.3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ht="15.75" x14ac:dyDescent="0.25">
      <c r="A61" s="12" t="s">
        <v>520</v>
      </c>
      <c r="B61" s="11"/>
      <c r="C61" s="11">
        <v>51.5</v>
      </c>
      <c r="D61" s="11">
        <v>65.900000000000006</v>
      </c>
      <c r="E61" s="11">
        <v>48.8</v>
      </c>
      <c r="F61" s="11">
        <v>51.4</v>
      </c>
      <c r="G61" s="11">
        <v>36.1</v>
      </c>
      <c r="H61" s="11">
        <v>61.7</v>
      </c>
      <c r="I61" s="11">
        <v>52.9</v>
      </c>
      <c r="J61" s="11">
        <v>25.1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ht="15.75" x14ac:dyDescent="0.25">
      <c r="A62" s="12" t="s">
        <v>521</v>
      </c>
      <c r="B62" s="11"/>
      <c r="C62" s="11">
        <v>52</v>
      </c>
      <c r="D62" s="11">
        <v>65.900000000000006</v>
      </c>
      <c r="E62" s="11">
        <v>49.6</v>
      </c>
      <c r="F62" s="11">
        <v>51</v>
      </c>
      <c r="G62" s="11">
        <v>38.700000000000003</v>
      </c>
      <c r="H62" s="11">
        <v>60.4</v>
      </c>
      <c r="I62" s="11">
        <v>53.8</v>
      </c>
      <c r="J62" s="11">
        <v>25.2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ht="15.75" x14ac:dyDescent="0.25">
      <c r="A63" s="12" t="s">
        <v>522</v>
      </c>
      <c r="B63" s="11"/>
      <c r="C63" s="11">
        <v>51.5</v>
      </c>
      <c r="D63" s="11">
        <v>65.900000000000006</v>
      </c>
      <c r="E63" s="11">
        <v>48.7</v>
      </c>
      <c r="F63" s="11">
        <v>51.4</v>
      </c>
      <c r="G63" s="11">
        <v>36.5</v>
      </c>
      <c r="H63" s="11">
        <v>60.9</v>
      </c>
      <c r="I63" s="11">
        <v>52.9</v>
      </c>
      <c r="J63" s="11">
        <v>25.1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ht="15.75" x14ac:dyDescent="0.25">
      <c r="A64" s="12" t="s">
        <v>523</v>
      </c>
      <c r="B64" s="11"/>
      <c r="C64" s="11">
        <v>50.9</v>
      </c>
      <c r="D64" s="11">
        <v>64.900000000000006</v>
      </c>
      <c r="E64" s="11">
        <v>48.2</v>
      </c>
      <c r="F64" s="11">
        <v>51.2</v>
      </c>
      <c r="G64" s="11">
        <v>36.700000000000003</v>
      </c>
      <c r="H64" s="11">
        <v>60.6</v>
      </c>
      <c r="I64" s="11">
        <v>51.2</v>
      </c>
      <c r="J64" s="11">
        <v>24.7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ht="15.75" x14ac:dyDescent="0.25">
      <c r="A65" s="12" t="s">
        <v>524</v>
      </c>
      <c r="B65" s="11"/>
      <c r="C65" s="11">
        <v>51.9</v>
      </c>
      <c r="D65" s="11">
        <v>65.400000000000006</v>
      </c>
      <c r="E65" s="11">
        <v>49.7</v>
      </c>
      <c r="F65" s="11">
        <v>51.8</v>
      </c>
      <c r="G65" s="11">
        <v>39</v>
      </c>
      <c r="H65" s="11">
        <v>62.3</v>
      </c>
      <c r="I65" s="11">
        <v>51.9</v>
      </c>
      <c r="J65" s="11">
        <v>25.1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ht="15.75" x14ac:dyDescent="0.25">
      <c r="A66" s="12" t="s">
        <v>525</v>
      </c>
      <c r="B66" s="11"/>
      <c r="C66" s="11">
        <v>51.7</v>
      </c>
      <c r="D66" s="11">
        <v>66</v>
      </c>
      <c r="E66" s="11">
        <v>48.6</v>
      </c>
      <c r="F66" s="11">
        <v>51.5</v>
      </c>
      <c r="G66" s="11">
        <v>37.799999999999997</v>
      </c>
      <c r="H66" s="11">
        <v>61.4</v>
      </c>
      <c r="I66" s="11">
        <v>50.6</v>
      </c>
      <c r="J66" s="11">
        <v>26.5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ht="15.75" x14ac:dyDescent="0.25">
      <c r="A67" s="12" t="s">
        <v>526</v>
      </c>
      <c r="B67" s="11"/>
      <c r="C67" s="11">
        <v>51.9</v>
      </c>
      <c r="D67" s="11">
        <v>66.599999999999994</v>
      </c>
      <c r="E67" s="11">
        <v>48.7</v>
      </c>
      <c r="F67" s="11">
        <v>51.4</v>
      </c>
      <c r="G67" s="11">
        <v>38.299999999999997</v>
      </c>
      <c r="H67" s="11">
        <v>60.8</v>
      </c>
      <c r="I67" s="11">
        <v>50.8</v>
      </c>
      <c r="J67" s="11">
        <v>26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ht="15.75" x14ac:dyDescent="0.25">
      <c r="A68" s="12" t="s">
        <v>527</v>
      </c>
      <c r="B68" s="11"/>
      <c r="C68" s="11">
        <v>51.9</v>
      </c>
      <c r="D68" s="11">
        <v>66.599999999999994</v>
      </c>
      <c r="E68" s="11">
        <v>48.6</v>
      </c>
      <c r="F68" s="11">
        <v>51.2</v>
      </c>
      <c r="G68" s="11">
        <v>38</v>
      </c>
      <c r="H68" s="11">
        <v>60.8</v>
      </c>
      <c r="I68" s="11">
        <v>51.1</v>
      </c>
      <c r="J68" s="11">
        <v>26.3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ht="15.75" x14ac:dyDescent="0.25">
      <c r="A69" s="12" t="s">
        <v>528</v>
      </c>
      <c r="B69" s="11"/>
      <c r="C69" s="11">
        <v>51.5</v>
      </c>
      <c r="D69" s="11">
        <v>66</v>
      </c>
      <c r="E69" s="11">
        <v>48.8</v>
      </c>
      <c r="F69" s="11">
        <v>52.2</v>
      </c>
      <c r="G69" s="11">
        <v>38</v>
      </c>
      <c r="H69" s="11">
        <v>60.8</v>
      </c>
      <c r="I69" s="11">
        <v>51.2</v>
      </c>
      <c r="J69" s="11">
        <v>24.6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ht="15.75" x14ac:dyDescent="0.25">
      <c r="A70" s="12" t="s">
        <v>529</v>
      </c>
      <c r="B70" s="11"/>
      <c r="C70" s="11">
        <v>52.5</v>
      </c>
      <c r="D70" s="11">
        <v>67.3</v>
      </c>
      <c r="E70" s="11">
        <v>49.3</v>
      </c>
      <c r="F70" s="11">
        <v>53.4</v>
      </c>
      <c r="G70" s="11">
        <v>38.299999999999997</v>
      </c>
      <c r="H70" s="11">
        <v>63.1</v>
      </c>
      <c r="I70" s="11">
        <v>50.3</v>
      </c>
      <c r="J70" s="11">
        <v>26.2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ht="15.75" x14ac:dyDescent="0.25">
      <c r="A71" s="12" t="s">
        <v>530</v>
      </c>
      <c r="B71" s="11"/>
      <c r="C71" s="11">
        <v>52.5</v>
      </c>
      <c r="D71" s="11">
        <v>66.599999999999994</v>
      </c>
      <c r="E71" s="11">
        <v>49.9</v>
      </c>
      <c r="F71" s="11">
        <v>52.3</v>
      </c>
      <c r="G71" s="11">
        <v>38.6</v>
      </c>
      <c r="H71" s="11">
        <v>64.2</v>
      </c>
      <c r="I71" s="11">
        <v>51.6</v>
      </c>
      <c r="J71" s="11">
        <v>26.3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ht="15.75" x14ac:dyDescent="0.25">
      <c r="A72" s="12" t="s">
        <v>531</v>
      </c>
      <c r="B72" s="11"/>
      <c r="C72" s="11">
        <v>52.6</v>
      </c>
      <c r="D72" s="11">
        <v>66.599999999999994</v>
      </c>
      <c r="E72" s="11">
        <v>49.7</v>
      </c>
      <c r="F72" s="11">
        <v>52.3</v>
      </c>
      <c r="G72" s="11">
        <v>37.799999999999997</v>
      </c>
      <c r="H72" s="11">
        <v>64.599999999999994</v>
      </c>
      <c r="I72" s="11">
        <v>51.9</v>
      </c>
      <c r="J72" s="11">
        <v>26.9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ht="15.75" x14ac:dyDescent="0.25">
      <c r="A73" s="12" t="s">
        <v>532</v>
      </c>
      <c r="B73" s="11"/>
      <c r="C73" s="11">
        <v>52.5</v>
      </c>
      <c r="D73" s="11">
        <v>66.7</v>
      </c>
      <c r="E73" s="11">
        <v>49.7</v>
      </c>
      <c r="F73" s="11">
        <v>53</v>
      </c>
      <c r="G73" s="11">
        <v>37.700000000000003</v>
      </c>
      <c r="H73" s="11">
        <v>64.2</v>
      </c>
      <c r="I73" s="11">
        <v>51.7</v>
      </c>
      <c r="J73" s="11">
        <v>26.3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ht="15.75" x14ac:dyDescent="0.25">
      <c r="A74" s="12" t="s">
        <v>533</v>
      </c>
      <c r="B74" s="11"/>
      <c r="C74" s="11">
        <v>52.3</v>
      </c>
      <c r="D74" s="11">
        <v>66.7</v>
      </c>
      <c r="E74" s="11">
        <v>49.5</v>
      </c>
      <c r="F74" s="11">
        <v>52.9</v>
      </c>
      <c r="G74" s="11">
        <v>37.6</v>
      </c>
      <c r="H74" s="11">
        <v>64.099999999999994</v>
      </c>
      <c r="I74" s="11">
        <v>51.3</v>
      </c>
      <c r="J74" s="11">
        <v>25.9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ht="15.75" x14ac:dyDescent="0.25">
      <c r="A75" s="12" t="s">
        <v>534</v>
      </c>
      <c r="B75" s="11"/>
      <c r="C75" s="11">
        <v>53</v>
      </c>
      <c r="D75" s="11">
        <v>67</v>
      </c>
      <c r="E75" s="11">
        <v>50.4</v>
      </c>
      <c r="F75" s="11">
        <v>53.9</v>
      </c>
      <c r="G75" s="11">
        <v>39</v>
      </c>
      <c r="H75" s="11">
        <v>65.5</v>
      </c>
      <c r="I75" s="11">
        <v>51.5</v>
      </c>
      <c r="J75" s="11">
        <v>26.2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ht="15.75" x14ac:dyDescent="0.25">
      <c r="A76" s="12" t="s">
        <v>535</v>
      </c>
      <c r="B76" s="11"/>
      <c r="C76" s="11">
        <v>52.3</v>
      </c>
      <c r="D76" s="11">
        <v>66</v>
      </c>
      <c r="E76" s="11">
        <v>50</v>
      </c>
      <c r="F76" s="11">
        <v>53.8</v>
      </c>
      <c r="G76" s="11">
        <v>38.1</v>
      </c>
      <c r="H76" s="11">
        <v>64.8</v>
      </c>
      <c r="I76" s="11">
        <v>51.4</v>
      </c>
      <c r="J76" s="11">
        <v>25.7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ht="15.75" x14ac:dyDescent="0.25">
      <c r="A77" s="12" t="s">
        <v>536</v>
      </c>
      <c r="B77" s="11"/>
      <c r="C77" s="11">
        <v>53</v>
      </c>
      <c r="D77" s="11">
        <v>66.900000000000006</v>
      </c>
      <c r="E77" s="11">
        <v>50.5</v>
      </c>
      <c r="F77" s="11">
        <v>53.8</v>
      </c>
      <c r="G77" s="11">
        <v>39</v>
      </c>
      <c r="H77" s="11">
        <v>66.2</v>
      </c>
      <c r="I77" s="11">
        <v>51.2</v>
      </c>
      <c r="J77" s="11">
        <v>26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ht="15.75" x14ac:dyDescent="0.25">
      <c r="A78" s="12" t="s">
        <v>537</v>
      </c>
      <c r="B78" s="11"/>
      <c r="C78" s="11">
        <v>53.1</v>
      </c>
      <c r="D78" s="11">
        <v>67.099999999999994</v>
      </c>
      <c r="E78" s="11">
        <v>50.5</v>
      </c>
      <c r="F78" s="11">
        <v>53.4</v>
      </c>
      <c r="G78" s="11">
        <v>38.799999999999997</v>
      </c>
      <c r="H78" s="11">
        <v>66.099999999999994</v>
      </c>
      <c r="I78" s="11">
        <v>51.9</v>
      </c>
      <c r="J78" s="11">
        <v>26.4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ht="15.75" x14ac:dyDescent="0.25">
      <c r="A79" s="12" t="s">
        <v>538</v>
      </c>
      <c r="B79" s="11"/>
      <c r="C79" s="11">
        <v>53.3</v>
      </c>
      <c r="D79" s="11">
        <v>67.3</v>
      </c>
      <c r="E79" s="11">
        <v>50.7</v>
      </c>
      <c r="F79" s="11">
        <v>53.7</v>
      </c>
      <c r="G79" s="11">
        <v>39.799999999999997</v>
      </c>
      <c r="H79" s="11">
        <v>66.099999999999994</v>
      </c>
      <c r="I79" s="11">
        <v>51.1</v>
      </c>
      <c r="J79" s="11">
        <v>26.5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ht="15.75" x14ac:dyDescent="0.25">
      <c r="A80" s="12" t="s">
        <v>539</v>
      </c>
      <c r="B80" s="11"/>
      <c r="C80" s="11">
        <v>53.4</v>
      </c>
      <c r="D80" s="11">
        <v>67.7</v>
      </c>
      <c r="E80" s="11">
        <v>50.7</v>
      </c>
      <c r="F80" s="11">
        <v>52.8</v>
      </c>
      <c r="G80" s="11">
        <v>39.299999999999997</v>
      </c>
      <c r="H80" s="11">
        <v>66</v>
      </c>
      <c r="I80" s="11">
        <v>52.2</v>
      </c>
      <c r="J80" s="11">
        <v>26.3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:60" ht="15.75" x14ac:dyDescent="0.25">
      <c r="A81" s="12" t="s">
        <v>540</v>
      </c>
      <c r="B81" s="11"/>
      <c r="C81" s="11">
        <v>53.6</v>
      </c>
      <c r="D81" s="11">
        <v>67.900000000000006</v>
      </c>
      <c r="E81" s="11">
        <v>51.1</v>
      </c>
      <c r="F81" s="11">
        <v>54.2</v>
      </c>
      <c r="G81" s="11">
        <v>39.700000000000003</v>
      </c>
      <c r="H81" s="11">
        <v>66.3</v>
      </c>
      <c r="I81" s="11">
        <v>52.1</v>
      </c>
      <c r="J81" s="11">
        <v>26.2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:60" ht="15.75" x14ac:dyDescent="0.25">
      <c r="A82" s="12" t="s">
        <v>541</v>
      </c>
      <c r="B82" s="11"/>
      <c r="C82" s="11">
        <v>54.2</v>
      </c>
      <c r="D82" s="11">
        <v>68.599999999999994</v>
      </c>
      <c r="E82" s="11">
        <v>51.7</v>
      </c>
      <c r="F82" s="11">
        <v>54.7</v>
      </c>
      <c r="G82" s="11">
        <v>40.1</v>
      </c>
      <c r="H82" s="11">
        <v>68.099999999999994</v>
      </c>
      <c r="I82" s="11">
        <v>52.2</v>
      </c>
      <c r="J82" s="11">
        <v>26.6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:60" ht="15.75" x14ac:dyDescent="0.25">
      <c r="A83" s="12" t="s">
        <v>542</v>
      </c>
      <c r="B83" s="11"/>
      <c r="C83" s="11">
        <v>53.3</v>
      </c>
      <c r="D83" s="11">
        <v>67.900000000000006</v>
      </c>
      <c r="E83" s="11">
        <v>50.2</v>
      </c>
      <c r="F83" s="11">
        <v>52.3</v>
      </c>
      <c r="G83" s="11">
        <v>38.9</v>
      </c>
      <c r="H83" s="11">
        <v>66.400000000000006</v>
      </c>
      <c r="I83" s="11">
        <v>51.1</v>
      </c>
      <c r="J83" s="11">
        <v>27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:60" ht="15.75" x14ac:dyDescent="0.25">
      <c r="A84" s="12" t="s">
        <v>543</v>
      </c>
      <c r="B84" s="11"/>
      <c r="C84" s="11">
        <v>54</v>
      </c>
      <c r="D84" s="11">
        <v>68.2</v>
      </c>
      <c r="E84" s="11">
        <v>51.4</v>
      </c>
      <c r="F84" s="11">
        <v>54.4</v>
      </c>
      <c r="G84" s="11">
        <v>39.700000000000003</v>
      </c>
      <c r="H84" s="11">
        <v>66.900000000000006</v>
      </c>
      <c r="I84" s="11">
        <v>52.6</v>
      </c>
      <c r="J84" s="11">
        <v>26.7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</row>
    <row r="85" spans="1:60" ht="15.75" x14ac:dyDescent="0.25">
      <c r="A85" s="12" t="s">
        <v>544</v>
      </c>
      <c r="B85" s="11"/>
      <c r="C85" s="11">
        <v>53.8</v>
      </c>
      <c r="D85" s="11">
        <v>68.2</v>
      </c>
      <c r="E85" s="11">
        <v>51</v>
      </c>
      <c r="F85" s="11">
        <v>53.5</v>
      </c>
      <c r="G85" s="11">
        <v>40.1</v>
      </c>
      <c r="H85" s="11">
        <v>67.2</v>
      </c>
      <c r="I85" s="11">
        <v>51.1</v>
      </c>
      <c r="J85" s="11">
        <v>27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:60" ht="15.75" x14ac:dyDescent="0.25">
      <c r="A86" s="12" t="s">
        <v>545</v>
      </c>
      <c r="B86" s="11"/>
      <c r="C86" s="11">
        <v>54.3</v>
      </c>
      <c r="D86" s="11">
        <v>68.5</v>
      </c>
      <c r="E86" s="11">
        <v>51.7</v>
      </c>
      <c r="F86" s="11">
        <v>53.8</v>
      </c>
      <c r="G86" s="11">
        <v>40</v>
      </c>
      <c r="H86" s="11">
        <v>67.5</v>
      </c>
      <c r="I86" s="11">
        <v>53.1</v>
      </c>
      <c r="J86" s="11">
        <v>27.5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:60" ht="15.75" x14ac:dyDescent="0.25">
      <c r="A87" s="12" t="s">
        <v>546</v>
      </c>
      <c r="B87" s="11"/>
      <c r="C87" s="11">
        <v>54.3</v>
      </c>
      <c r="D87" s="11">
        <v>68.900000000000006</v>
      </c>
      <c r="E87" s="11">
        <v>51.7</v>
      </c>
      <c r="F87" s="11">
        <v>53.8</v>
      </c>
      <c r="G87" s="11">
        <v>40.200000000000003</v>
      </c>
      <c r="H87" s="11">
        <v>66.3</v>
      </c>
      <c r="I87" s="11">
        <v>53.6</v>
      </c>
      <c r="J87" s="11">
        <v>26.4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:60" ht="15.75" x14ac:dyDescent="0.25">
      <c r="A88" s="12" t="s">
        <v>547</v>
      </c>
      <c r="B88" s="11"/>
      <c r="C88" s="11">
        <v>54.1</v>
      </c>
      <c r="D88" s="11">
        <v>69.3</v>
      </c>
      <c r="E88" s="11">
        <v>51.3</v>
      </c>
      <c r="F88" s="11">
        <v>54.3</v>
      </c>
      <c r="G88" s="11">
        <v>40.299999999999997</v>
      </c>
      <c r="H88" s="11">
        <v>65.400000000000006</v>
      </c>
      <c r="I88" s="11">
        <v>52.6</v>
      </c>
      <c r="J88" s="11">
        <v>25.5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</row>
    <row r="89" spans="1:60" ht="15.75" x14ac:dyDescent="0.25">
      <c r="A89" s="12" t="s">
        <v>548</v>
      </c>
      <c r="B89" s="11"/>
      <c r="C89" s="11">
        <v>54.7</v>
      </c>
      <c r="D89" s="11">
        <v>69.5</v>
      </c>
      <c r="E89" s="11">
        <v>51.9</v>
      </c>
      <c r="F89" s="11">
        <v>54.1</v>
      </c>
      <c r="G89" s="11">
        <v>40.299999999999997</v>
      </c>
      <c r="H89" s="11">
        <v>67.400000000000006</v>
      </c>
      <c r="I89" s="11">
        <v>53.3</v>
      </c>
      <c r="J89" s="11">
        <v>26.9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</row>
    <row r="90" spans="1:60" ht="15.75" x14ac:dyDescent="0.25">
      <c r="A90" s="12" t="s">
        <v>549</v>
      </c>
      <c r="B90" s="11"/>
      <c r="C90" s="11">
        <v>55</v>
      </c>
      <c r="D90" s="11">
        <v>69.5</v>
      </c>
      <c r="E90" s="11">
        <v>52.5</v>
      </c>
      <c r="F90" s="11">
        <v>54.6</v>
      </c>
      <c r="G90" s="11">
        <v>41.4</v>
      </c>
      <c r="H90" s="11">
        <v>67.7</v>
      </c>
      <c r="I90" s="11">
        <v>53.9</v>
      </c>
      <c r="J90" s="11">
        <v>26.3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</row>
    <row r="91" spans="1:60" ht="15.75" x14ac:dyDescent="0.25">
      <c r="A91" s="12" t="s">
        <v>550</v>
      </c>
      <c r="B91" s="11"/>
      <c r="C91" s="11">
        <v>54.9</v>
      </c>
      <c r="D91" s="11">
        <v>69.8</v>
      </c>
      <c r="E91" s="11">
        <v>52.3</v>
      </c>
      <c r="F91" s="11">
        <v>54.6</v>
      </c>
      <c r="G91" s="11">
        <v>41.2</v>
      </c>
      <c r="H91" s="11">
        <v>67.5</v>
      </c>
      <c r="I91" s="11">
        <v>53.5</v>
      </c>
      <c r="J91" s="11">
        <v>25.9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</row>
    <row r="92" spans="1:60" ht="15.75" x14ac:dyDescent="0.25">
      <c r="A92" s="12" t="s">
        <v>551</v>
      </c>
      <c r="B92" s="11"/>
      <c r="C92" s="11">
        <v>54.6</v>
      </c>
      <c r="D92" s="11">
        <v>69.8</v>
      </c>
      <c r="E92" s="11">
        <v>51.9</v>
      </c>
      <c r="F92" s="11">
        <v>53.4</v>
      </c>
      <c r="G92" s="11">
        <v>40.1</v>
      </c>
      <c r="H92" s="11">
        <v>67.900000000000006</v>
      </c>
      <c r="I92" s="11">
        <v>53.6</v>
      </c>
      <c r="J92" s="11">
        <v>25.9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</row>
    <row r="93" spans="1:60" ht="15.75" x14ac:dyDescent="0.25">
      <c r="A93" s="12" t="s">
        <v>552</v>
      </c>
      <c r="B93" s="11"/>
      <c r="C93" s="11">
        <v>54.7</v>
      </c>
      <c r="D93" s="11">
        <v>69.3</v>
      </c>
      <c r="E93" s="11">
        <v>52.4</v>
      </c>
      <c r="F93" s="11">
        <v>53.9</v>
      </c>
      <c r="G93" s="11">
        <v>42.1</v>
      </c>
      <c r="H93" s="11">
        <v>67.099999999999994</v>
      </c>
      <c r="I93" s="11">
        <v>53.4</v>
      </c>
      <c r="J93" s="11">
        <v>25.8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</row>
    <row r="94" spans="1:60" ht="15.75" x14ac:dyDescent="0.25">
      <c r="A94" s="12" t="s">
        <v>553</v>
      </c>
      <c r="B94" s="11"/>
      <c r="C94" s="11">
        <v>53.7</v>
      </c>
      <c r="D94" s="11">
        <v>69.7</v>
      </c>
      <c r="E94" s="11">
        <v>50.4</v>
      </c>
      <c r="F94" s="11">
        <v>52</v>
      </c>
      <c r="G94" s="11">
        <v>39.5</v>
      </c>
      <c r="H94" s="11">
        <v>65.400000000000006</v>
      </c>
      <c r="I94" s="11">
        <v>51.8</v>
      </c>
      <c r="J94" s="11">
        <v>25.2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</row>
    <row r="95" spans="1:60" ht="15.75" x14ac:dyDescent="0.25">
      <c r="A95" s="12" t="s">
        <v>554</v>
      </c>
      <c r="B95" s="11"/>
      <c r="C95" s="11">
        <v>54.5</v>
      </c>
      <c r="D95" s="11">
        <v>70</v>
      </c>
      <c r="E95" s="11">
        <v>51.6</v>
      </c>
      <c r="F95" s="11">
        <v>53.4</v>
      </c>
      <c r="G95" s="11">
        <v>40.700000000000003</v>
      </c>
      <c r="H95" s="11">
        <v>66.7</v>
      </c>
      <c r="I95" s="11">
        <v>52.7</v>
      </c>
      <c r="J95" s="11">
        <v>25.6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</row>
    <row r="96" spans="1:60" ht="15.75" x14ac:dyDescent="0.25">
      <c r="A96" s="12" t="s">
        <v>555</v>
      </c>
      <c r="B96" s="11"/>
      <c r="C96" s="11">
        <v>54.5</v>
      </c>
      <c r="D96" s="11">
        <v>69.900000000000006</v>
      </c>
      <c r="E96" s="11">
        <v>51.8</v>
      </c>
      <c r="F96" s="11">
        <v>53.6</v>
      </c>
      <c r="G96" s="11">
        <v>40.700000000000003</v>
      </c>
      <c r="H96" s="11">
        <v>67.3</v>
      </c>
      <c r="I96" s="11">
        <v>53.1</v>
      </c>
      <c r="J96" s="11">
        <v>25.2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</row>
    <row r="97" spans="1:60" ht="15.75" x14ac:dyDescent="0.25">
      <c r="A97" s="12" t="s">
        <v>556</v>
      </c>
      <c r="B97" s="11"/>
      <c r="C97" s="11">
        <v>54.2</v>
      </c>
      <c r="D97" s="11">
        <v>70.2</v>
      </c>
      <c r="E97" s="11">
        <v>51.4</v>
      </c>
      <c r="F97" s="11">
        <v>52.8</v>
      </c>
      <c r="G97" s="11">
        <v>41.2</v>
      </c>
      <c r="H97" s="11">
        <v>66.3</v>
      </c>
      <c r="I97" s="11">
        <v>52.4</v>
      </c>
      <c r="J97" s="11">
        <v>23.9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</row>
    <row r="98" spans="1:60" ht="15.75" x14ac:dyDescent="0.25">
      <c r="A98" s="12" t="s">
        <v>557</v>
      </c>
      <c r="B98" s="11"/>
      <c r="C98" s="11">
        <v>54.4</v>
      </c>
      <c r="D98" s="11">
        <v>70.400000000000006</v>
      </c>
      <c r="E98" s="11">
        <v>51.3</v>
      </c>
      <c r="F98" s="11">
        <v>53.4</v>
      </c>
      <c r="G98" s="11">
        <v>41.1</v>
      </c>
      <c r="H98" s="11">
        <v>66.599999999999994</v>
      </c>
      <c r="I98" s="11">
        <v>51.6</v>
      </c>
      <c r="J98" s="11">
        <v>24.7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</row>
    <row r="99" spans="1:60" ht="15.75" x14ac:dyDescent="0.25">
      <c r="A99" s="12" t="s">
        <v>558</v>
      </c>
      <c r="B99" s="11"/>
      <c r="C99" s="11">
        <v>54.4</v>
      </c>
      <c r="D99" s="11">
        <v>70.2</v>
      </c>
      <c r="E99" s="11">
        <v>51.2</v>
      </c>
      <c r="F99" s="11">
        <v>54.2</v>
      </c>
      <c r="G99" s="11">
        <v>40.5</v>
      </c>
      <c r="H99" s="11">
        <v>67</v>
      </c>
      <c r="I99" s="11">
        <v>51.3</v>
      </c>
      <c r="J99" s="11">
        <v>25.7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</row>
    <row r="100" spans="1:60" ht="15.75" x14ac:dyDescent="0.25">
      <c r="A100" s="12" t="s">
        <v>559</v>
      </c>
      <c r="B100" s="11"/>
      <c r="C100" s="11">
        <v>54.8</v>
      </c>
      <c r="D100" s="11">
        <v>70.7</v>
      </c>
      <c r="E100" s="11">
        <v>51.8</v>
      </c>
      <c r="F100" s="11">
        <v>54</v>
      </c>
      <c r="G100" s="11">
        <v>41.4</v>
      </c>
      <c r="H100" s="11">
        <v>66.599999999999994</v>
      </c>
      <c r="I100" s="11">
        <v>52.6</v>
      </c>
      <c r="J100" s="11">
        <v>25.2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</row>
    <row r="101" spans="1:60" ht="15.75" x14ac:dyDescent="0.25">
      <c r="A101" s="12" t="s">
        <v>560</v>
      </c>
      <c r="B101" s="11"/>
      <c r="C101" s="11">
        <v>54.3</v>
      </c>
      <c r="D101" s="11">
        <v>71.099999999999994</v>
      </c>
      <c r="E101" s="11">
        <v>51</v>
      </c>
      <c r="F101" s="11">
        <v>53.3</v>
      </c>
      <c r="G101" s="11">
        <v>39.799999999999997</v>
      </c>
      <c r="H101" s="11">
        <v>65.8</v>
      </c>
      <c r="I101" s="11">
        <v>52.3</v>
      </c>
      <c r="J101" s="11">
        <v>24.4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</row>
    <row r="102" spans="1:60" ht="15.75" x14ac:dyDescent="0.25">
      <c r="A102" s="12" t="s">
        <v>561</v>
      </c>
      <c r="B102" s="11"/>
      <c r="C102" s="11">
        <v>54.6</v>
      </c>
      <c r="D102" s="11">
        <v>70.099999999999994</v>
      </c>
      <c r="E102" s="11">
        <v>52.2</v>
      </c>
      <c r="F102" s="11">
        <v>54.9</v>
      </c>
      <c r="G102" s="11">
        <v>41.4</v>
      </c>
      <c r="H102" s="11">
        <v>68.099999999999994</v>
      </c>
      <c r="I102" s="11">
        <v>52.5</v>
      </c>
      <c r="J102" s="11">
        <v>23.8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</row>
    <row r="103" spans="1:60" ht="15.75" x14ac:dyDescent="0.25">
      <c r="A103" s="12" t="s">
        <v>562</v>
      </c>
      <c r="B103" s="11"/>
      <c r="C103" s="11">
        <v>54.8</v>
      </c>
      <c r="D103" s="11">
        <v>70.3</v>
      </c>
      <c r="E103" s="11">
        <v>52.4</v>
      </c>
      <c r="F103" s="11">
        <v>55.3</v>
      </c>
      <c r="G103" s="11">
        <v>40.4</v>
      </c>
      <c r="H103" s="11">
        <v>68.3</v>
      </c>
      <c r="I103" s="11">
        <v>53.7</v>
      </c>
      <c r="J103" s="11">
        <v>24.2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</row>
    <row r="104" spans="1:60" ht="15.75" x14ac:dyDescent="0.25">
      <c r="A104" s="12" t="s">
        <v>563</v>
      </c>
      <c r="B104" s="11"/>
      <c r="C104" s="11">
        <v>55.1</v>
      </c>
      <c r="D104" s="11">
        <v>70.3</v>
      </c>
      <c r="E104" s="11">
        <v>52.9</v>
      </c>
      <c r="F104" s="11">
        <v>56.6</v>
      </c>
      <c r="G104" s="11">
        <v>41.4</v>
      </c>
      <c r="H104" s="11">
        <v>69.2</v>
      </c>
      <c r="I104" s="11">
        <v>53.1</v>
      </c>
      <c r="J104" s="11">
        <v>24.5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</row>
    <row r="105" spans="1:60" ht="15.75" x14ac:dyDescent="0.25">
      <c r="A105" s="12" t="s">
        <v>564</v>
      </c>
      <c r="B105" s="11"/>
      <c r="C105" s="11">
        <v>55.1</v>
      </c>
      <c r="D105" s="11">
        <v>70.5</v>
      </c>
      <c r="E105" s="11">
        <v>53.2</v>
      </c>
      <c r="F105" s="11">
        <v>56.5</v>
      </c>
      <c r="G105" s="11">
        <v>43</v>
      </c>
      <c r="H105" s="11">
        <v>68.7</v>
      </c>
      <c r="I105" s="11">
        <v>52.8</v>
      </c>
      <c r="J105" s="11">
        <v>22.7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</row>
    <row r="106" spans="1:60" ht="15.75" x14ac:dyDescent="0.25">
      <c r="A106" s="12" t="s">
        <v>565</v>
      </c>
      <c r="B106" s="11">
        <v>56.6</v>
      </c>
      <c r="C106" s="11">
        <v>54.3</v>
      </c>
      <c r="D106" s="11">
        <v>69.900000000000006</v>
      </c>
      <c r="E106" s="11">
        <v>51.7</v>
      </c>
      <c r="F106" s="11">
        <v>53.6</v>
      </c>
      <c r="G106" s="11">
        <v>40.9</v>
      </c>
      <c r="H106" s="11">
        <v>66.8</v>
      </c>
      <c r="I106" s="11">
        <v>52.9</v>
      </c>
      <c r="J106" s="11">
        <v>24</v>
      </c>
      <c r="K106" s="11">
        <v>85.8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</row>
    <row r="107" spans="1:60" ht="15.75" x14ac:dyDescent="0.25">
      <c r="A107" s="12" t="s">
        <v>566</v>
      </c>
      <c r="B107" s="11">
        <v>58.1</v>
      </c>
      <c r="C107" s="11">
        <v>55.7</v>
      </c>
      <c r="D107" s="11">
        <v>71.7</v>
      </c>
      <c r="E107" s="11">
        <v>53.1</v>
      </c>
      <c r="F107" s="11">
        <v>56.5</v>
      </c>
      <c r="G107" s="11">
        <v>42.1</v>
      </c>
      <c r="H107" s="11">
        <v>69.5</v>
      </c>
      <c r="I107" s="11">
        <v>52.8</v>
      </c>
      <c r="J107" s="11">
        <v>24.4</v>
      </c>
      <c r="K107" s="11">
        <v>88.8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</row>
    <row r="108" spans="1:60" ht="15.75" x14ac:dyDescent="0.25">
      <c r="A108" s="12" t="s">
        <v>567</v>
      </c>
      <c r="B108" s="11">
        <v>58.3</v>
      </c>
      <c r="C108" s="11">
        <v>55.6</v>
      </c>
      <c r="D108" s="11">
        <v>71.400000000000006</v>
      </c>
      <c r="E108" s="11">
        <v>53.1</v>
      </c>
      <c r="F108" s="11">
        <v>55.8</v>
      </c>
      <c r="G108" s="11">
        <v>42.1</v>
      </c>
      <c r="H108" s="11">
        <v>69.7</v>
      </c>
      <c r="I108" s="11">
        <v>53.2</v>
      </c>
      <c r="J108" s="11">
        <v>24.3</v>
      </c>
      <c r="K108" s="11">
        <v>94.1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</row>
    <row r="109" spans="1:60" ht="15.75" x14ac:dyDescent="0.25">
      <c r="A109" s="12" t="s">
        <v>568</v>
      </c>
      <c r="B109" s="11">
        <v>58.9</v>
      </c>
      <c r="C109" s="11">
        <v>56.2</v>
      </c>
      <c r="D109" s="11">
        <v>71.599999999999994</v>
      </c>
      <c r="E109" s="11">
        <v>54.2</v>
      </c>
      <c r="F109" s="11">
        <v>58.5</v>
      </c>
      <c r="G109" s="11">
        <v>42.8</v>
      </c>
      <c r="H109" s="11">
        <v>70.3</v>
      </c>
      <c r="I109" s="11">
        <v>54.2</v>
      </c>
      <c r="J109" s="11">
        <v>24.2</v>
      </c>
      <c r="K109" s="11">
        <v>92.7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</row>
    <row r="110" spans="1:60" ht="15.75" x14ac:dyDescent="0.25">
      <c r="A110" s="12" t="s">
        <v>569</v>
      </c>
      <c r="B110" s="11">
        <v>58.7</v>
      </c>
      <c r="C110" s="11">
        <v>56.2</v>
      </c>
      <c r="D110" s="11">
        <v>71.3</v>
      </c>
      <c r="E110" s="11">
        <v>54.3</v>
      </c>
      <c r="F110" s="11">
        <v>56.6</v>
      </c>
      <c r="G110" s="11">
        <v>41.9</v>
      </c>
      <c r="H110" s="11">
        <v>73.2</v>
      </c>
      <c r="I110" s="11">
        <v>54.6</v>
      </c>
      <c r="J110" s="11">
        <v>24.2</v>
      </c>
      <c r="K110" s="11">
        <v>90.4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</row>
    <row r="111" spans="1:60" ht="15.75" x14ac:dyDescent="0.25">
      <c r="A111" s="12" t="s">
        <v>570</v>
      </c>
      <c r="B111" s="11">
        <v>58.9</v>
      </c>
      <c r="C111" s="11">
        <v>56.5</v>
      </c>
      <c r="D111" s="11">
        <v>71.900000000000006</v>
      </c>
      <c r="E111" s="11">
        <v>54.4</v>
      </c>
      <c r="F111" s="11">
        <v>57.2</v>
      </c>
      <c r="G111" s="11">
        <v>43.7</v>
      </c>
      <c r="H111" s="11">
        <v>70.2</v>
      </c>
      <c r="I111" s="11">
        <v>54.5</v>
      </c>
      <c r="J111" s="11">
        <v>24.3</v>
      </c>
      <c r="K111" s="11">
        <v>88.5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</row>
    <row r="112" spans="1:60" ht="15.75" x14ac:dyDescent="0.25">
      <c r="A112" s="12" t="s">
        <v>571</v>
      </c>
      <c r="B112" s="11">
        <v>58.7</v>
      </c>
      <c r="C112" s="11">
        <v>56.2</v>
      </c>
      <c r="D112" s="11">
        <v>72.099999999999994</v>
      </c>
      <c r="E112" s="11">
        <v>53.7</v>
      </c>
      <c r="F112" s="11">
        <v>57.3</v>
      </c>
      <c r="G112" s="11">
        <v>42.1</v>
      </c>
      <c r="H112" s="11">
        <v>70.7</v>
      </c>
      <c r="I112" s="11">
        <v>53.5</v>
      </c>
      <c r="J112" s="11">
        <v>24.6</v>
      </c>
      <c r="K112" s="11">
        <v>89.7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</row>
    <row r="113" spans="1:60" ht="15.75" x14ac:dyDescent="0.25">
      <c r="A113" s="12" t="s">
        <v>572</v>
      </c>
      <c r="B113" s="11">
        <v>58.9</v>
      </c>
      <c r="C113" s="11">
        <v>56.4</v>
      </c>
      <c r="D113" s="11">
        <v>71.599999999999994</v>
      </c>
      <c r="E113" s="11">
        <v>54.6</v>
      </c>
      <c r="F113" s="11">
        <v>57.9</v>
      </c>
      <c r="G113" s="11">
        <v>43.4</v>
      </c>
      <c r="H113" s="11">
        <v>72</v>
      </c>
      <c r="I113" s="11">
        <v>54</v>
      </c>
      <c r="J113" s="11">
        <v>24.3</v>
      </c>
      <c r="K113" s="11">
        <v>89.8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</row>
    <row r="114" spans="1:60" ht="15.75" x14ac:dyDescent="0.25">
      <c r="A114" s="12" t="s">
        <v>573</v>
      </c>
      <c r="B114" s="11">
        <v>59.5</v>
      </c>
      <c r="C114" s="11">
        <v>57.2</v>
      </c>
      <c r="D114" s="11">
        <v>72.5</v>
      </c>
      <c r="E114" s="11">
        <v>55.3</v>
      </c>
      <c r="F114" s="11">
        <v>59</v>
      </c>
      <c r="G114" s="11">
        <v>43.6</v>
      </c>
      <c r="H114" s="11">
        <v>73.2</v>
      </c>
      <c r="I114" s="11">
        <v>54.6</v>
      </c>
      <c r="J114" s="11">
        <v>24.9</v>
      </c>
      <c r="K114" s="11">
        <v>86.8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</row>
    <row r="115" spans="1:60" ht="15.75" x14ac:dyDescent="0.25">
      <c r="A115" s="12" t="s">
        <v>574</v>
      </c>
      <c r="B115" s="11">
        <v>59.4</v>
      </c>
      <c r="C115" s="11">
        <v>57.1</v>
      </c>
      <c r="D115" s="11">
        <v>72.8</v>
      </c>
      <c r="E115" s="11">
        <v>55.1</v>
      </c>
      <c r="F115" s="11">
        <v>58.2</v>
      </c>
      <c r="G115" s="11">
        <v>42.7</v>
      </c>
      <c r="H115" s="11">
        <v>74.8</v>
      </c>
      <c r="I115" s="11">
        <v>54.4</v>
      </c>
      <c r="J115" s="11">
        <v>24.5</v>
      </c>
      <c r="K115" s="11">
        <v>85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</row>
    <row r="116" spans="1:60" ht="15.75" x14ac:dyDescent="0.25">
      <c r="A116" s="12" t="s">
        <v>575</v>
      </c>
      <c r="B116" s="11">
        <v>59.6</v>
      </c>
      <c r="C116" s="11">
        <v>57.4</v>
      </c>
      <c r="D116" s="11">
        <v>73.2</v>
      </c>
      <c r="E116" s="11">
        <v>55.5</v>
      </c>
      <c r="F116" s="11">
        <v>59.4</v>
      </c>
      <c r="G116" s="11">
        <v>44.6</v>
      </c>
      <c r="H116" s="11">
        <v>74.400000000000006</v>
      </c>
      <c r="I116" s="11">
        <v>53.3</v>
      </c>
      <c r="J116" s="11">
        <v>23.8</v>
      </c>
      <c r="K116" s="11">
        <v>84.3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</row>
    <row r="117" spans="1:60" ht="15.75" x14ac:dyDescent="0.25">
      <c r="A117" s="12" t="s">
        <v>576</v>
      </c>
      <c r="B117" s="11">
        <v>59.3</v>
      </c>
      <c r="C117" s="11">
        <v>57.2</v>
      </c>
      <c r="D117" s="11">
        <v>72.599999999999994</v>
      </c>
      <c r="E117" s="11">
        <v>55.5</v>
      </c>
      <c r="F117" s="11">
        <v>59.6</v>
      </c>
      <c r="G117" s="11">
        <v>43.7</v>
      </c>
      <c r="H117" s="11">
        <v>73.5</v>
      </c>
      <c r="I117" s="11">
        <v>54.6</v>
      </c>
      <c r="J117" s="11">
        <v>23.8</v>
      </c>
      <c r="K117" s="11">
        <v>82.7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</row>
    <row r="118" spans="1:60" ht="15.75" x14ac:dyDescent="0.25">
      <c r="A118" s="12" t="s">
        <v>577</v>
      </c>
      <c r="B118" s="11">
        <v>59.2</v>
      </c>
      <c r="C118" s="11">
        <v>57.1</v>
      </c>
      <c r="D118" s="11">
        <v>72.400000000000006</v>
      </c>
      <c r="E118" s="11">
        <v>55.3</v>
      </c>
      <c r="F118" s="11">
        <v>58.4</v>
      </c>
      <c r="G118" s="11">
        <v>44.1</v>
      </c>
      <c r="H118" s="11">
        <v>73.400000000000006</v>
      </c>
      <c r="I118" s="11">
        <v>54.5</v>
      </c>
      <c r="J118" s="11">
        <v>24.4</v>
      </c>
      <c r="K118" s="11">
        <v>83.1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</row>
    <row r="119" spans="1:60" ht="15.75" x14ac:dyDescent="0.25">
      <c r="A119" s="12" t="s">
        <v>578</v>
      </c>
      <c r="B119" s="11">
        <v>59.8</v>
      </c>
      <c r="C119" s="11">
        <v>57.7</v>
      </c>
      <c r="D119" s="11">
        <v>73.5</v>
      </c>
      <c r="E119" s="11">
        <v>56</v>
      </c>
      <c r="F119" s="11">
        <v>59.4</v>
      </c>
      <c r="G119" s="11">
        <v>44.5</v>
      </c>
      <c r="H119" s="11">
        <v>75.099999999999994</v>
      </c>
      <c r="I119" s="11">
        <v>54.8</v>
      </c>
      <c r="J119" s="11">
        <v>23.5</v>
      </c>
      <c r="K119" s="11">
        <v>82.3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</row>
    <row r="120" spans="1:60" ht="15.75" x14ac:dyDescent="0.25">
      <c r="A120" s="12" t="s">
        <v>579</v>
      </c>
      <c r="B120" s="11">
        <v>60.3</v>
      </c>
      <c r="C120" s="11">
        <v>58.1</v>
      </c>
      <c r="D120" s="11">
        <v>73.900000000000006</v>
      </c>
      <c r="E120" s="11">
        <v>56.1</v>
      </c>
      <c r="F120" s="11">
        <v>59.4</v>
      </c>
      <c r="G120" s="11">
        <v>45.1</v>
      </c>
      <c r="H120" s="11">
        <v>73.900000000000006</v>
      </c>
      <c r="I120" s="11">
        <v>55.3</v>
      </c>
      <c r="J120" s="11">
        <v>24.4</v>
      </c>
      <c r="K120" s="11">
        <v>86.1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</row>
    <row r="121" spans="1:60" ht="15.75" x14ac:dyDescent="0.25">
      <c r="A121" s="12" t="s">
        <v>580</v>
      </c>
      <c r="B121" s="11">
        <v>60.9</v>
      </c>
      <c r="C121" s="11">
        <v>58.7</v>
      </c>
      <c r="D121" s="11">
        <v>74.400000000000006</v>
      </c>
      <c r="E121" s="11">
        <v>56.9</v>
      </c>
      <c r="F121" s="11">
        <v>60.8</v>
      </c>
      <c r="G121" s="11">
        <v>46.4</v>
      </c>
      <c r="H121" s="11">
        <v>76.099999999999994</v>
      </c>
      <c r="I121" s="11">
        <v>54.2</v>
      </c>
      <c r="J121" s="11">
        <v>24.7</v>
      </c>
      <c r="K121" s="11">
        <v>87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</row>
    <row r="122" spans="1:60" ht="15.75" x14ac:dyDescent="0.25">
      <c r="A122" s="12" t="s">
        <v>581</v>
      </c>
      <c r="B122" s="11">
        <v>60.7</v>
      </c>
      <c r="C122" s="11">
        <v>58.3</v>
      </c>
      <c r="D122" s="11">
        <v>74.099999999999994</v>
      </c>
      <c r="E122" s="11">
        <v>56.3</v>
      </c>
      <c r="F122" s="11">
        <v>59.7</v>
      </c>
      <c r="G122" s="11">
        <v>45.3</v>
      </c>
      <c r="H122" s="11">
        <v>77.3</v>
      </c>
      <c r="I122" s="11">
        <v>53.5</v>
      </c>
      <c r="J122" s="11">
        <v>24.7</v>
      </c>
      <c r="K122" s="11">
        <v>90.3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</row>
    <row r="123" spans="1:60" ht="15.75" x14ac:dyDescent="0.25">
      <c r="A123" s="12" t="s">
        <v>582</v>
      </c>
      <c r="B123" s="11">
        <v>61.2</v>
      </c>
      <c r="C123" s="11">
        <v>58.9</v>
      </c>
      <c r="D123" s="11">
        <v>73.3</v>
      </c>
      <c r="E123" s="11">
        <v>58</v>
      </c>
      <c r="F123" s="11">
        <v>61</v>
      </c>
      <c r="G123" s="11">
        <v>46</v>
      </c>
      <c r="H123" s="11">
        <v>82.1</v>
      </c>
      <c r="I123" s="11">
        <v>54.4</v>
      </c>
      <c r="J123" s="11">
        <v>24.6</v>
      </c>
      <c r="K123" s="11">
        <v>89.3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</row>
    <row r="124" spans="1:60" ht="15.75" x14ac:dyDescent="0.25">
      <c r="A124" s="12" t="s">
        <v>583</v>
      </c>
      <c r="B124" s="11">
        <v>61.2</v>
      </c>
      <c r="C124" s="11">
        <v>59.1</v>
      </c>
      <c r="D124" s="11">
        <v>74.599999999999994</v>
      </c>
      <c r="E124" s="11">
        <v>57.4</v>
      </c>
      <c r="F124" s="11">
        <v>60.7</v>
      </c>
      <c r="G124" s="11">
        <v>45.8</v>
      </c>
      <c r="H124" s="11">
        <v>78.7</v>
      </c>
      <c r="I124" s="11">
        <v>54.9</v>
      </c>
      <c r="J124" s="11">
        <v>25.3</v>
      </c>
      <c r="K124" s="11">
        <v>85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</row>
    <row r="125" spans="1:60" ht="15.75" x14ac:dyDescent="0.25">
      <c r="A125" s="12" t="s">
        <v>584</v>
      </c>
      <c r="B125" s="11">
        <v>60.8</v>
      </c>
      <c r="C125" s="11">
        <v>58.6</v>
      </c>
      <c r="D125" s="11">
        <v>75</v>
      </c>
      <c r="E125" s="11">
        <v>56.6</v>
      </c>
      <c r="F125" s="11">
        <v>60.9</v>
      </c>
      <c r="G125" s="11">
        <v>44.7</v>
      </c>
      <c r="H125" s="11">
        <v>78.400000000000006</v>
      </c>
      <c r="I125" s="11">
        <v>53.7</v>
      </c>
      <c r="J125" s="11">
        <v>24.2</v>
      </c>
      <c r="K125" s="11">
        <v>84.6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</row>
    <row r="126" spans="1:60" ht="15.75" x14ac:dyDescent="0.25">
      <c r="A126" s="12" t="s">
        <v>585</v>
      </c>
      <c r="B126" s="11">
        <v>60.7</v>
      </c>
      <c r="C126" s="11">
        <v>58.6</v>
      </c>
      <c r="D126" s="11">
        <v>74.900000000000006</v>
      </c>
      <c r="E126" s="11">
        <v>56.6</v>
      </c>
      <c r="F126" s="11">
        <v>61.4</v>
      </c>
      <c r="G126" s="11">
        <v>45.4</v>
      </c>
      <c r="H126" s="11">
        <v>76.900000000000006</v>
      </c>
      <c r="I126" s="11">
        <v>53.5</v>
      </c>
      <c r="J126" s="11">
        <v>24.2</v>
      </c>
      <c r="K126" s="11">
        <v>83.3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</row>
    <row r="127" spans="1:60" ht="15.75" x14ac:dyDescent="0.25">
      <c r="A127" s="12" t="s">
        <v>586</v>
      </c>
      <c r="B127" s="11">
        <v>61.8</v>
      </c>
      <c r="C127" s="11">
        <v>59.5</v>
      </c>
      <c r="D127" s="11">
        <v>75.2</v>
      </c>
      <c r="E127" s="11">
        <v>58.1</v>
      </c>
      <c r="F127" s="11">
        <v>62.2</v>
      </c>
      <c r="G127" s="11">
        <v>46.7</v>
      </c>
      <c r="H127" s="11">
        <v>79.3</v>
      </c>
      <c r="I127" s="11">
        <v>55</v>
      </c>
      <c r="J127" s="11">
        <v>24.4</v>
      </c>
      <c r="K127" s="11">
        <v>87.2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</row>
    <row r="128" spans="1:60" ht="15.75" x14ac:dyDescent="0.25">
      <c r="A128" s="12" t="s">
        <v>587</v>
      </c>
      <c r="B128" s="11">
        <v>61.6</v>
      </c>
      <c r="C128" s="11">
        <v>59.2</v>
      </c>
      <c r="D128" s="11">
        <v>75.099999999999994</v>
      </c>
      <c r="E128" s="11">
        <v>57.6</v>
      </c>
      <c r="F128" s="11">
        <v>61.6</v>
      </c>
      <c r="G128" s="11">
        <v>46.1</v>
      </c>
      <c r="H128" s="11">
        <v>79.099999999999994</v>
      </c>
      <c r="I128" s="11">
        <v>54.6</v>
      </c>
      <c r="J128" s="11">
        <v>24</v>
      </c>
      <c r="K128" s="11">
        <v>90.4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</row>
    <row r="129" spans="1:60" ht="15.75" x14ac:dyDescent="0.25">
      <c r="A129" s="12" t="s">
        <v>588</v>
      </c>
      <c r="B129" s="11">
        <v>62</v>
      </c>
      <c r="C129" s="11">
        <v>59.6</v>
      </c>
      <c r="D129" s="11">
        <v>75.7</v>
      </c>
      <c r="E129" s="11">
        <v>58</v>
      </c>
      <c r="F129" s="11">
        <v>61.2</v>
      </c>
      <c r="G129" s="11">
        <v>47.1</v>
      </c>
      <c r="H129" s="11">
        <v>80.599999999999994</v>
      </c>
      <c r="I129" s="11">
        <v>54.2</v>
      </c>
      <c r="J129" s="11">
        <v>24</v>
      </c>
      <c r="K129" s="11">
        <v>90.8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</row>
    <row r="130" spans="1:60" ht="15.75" x14ac:dyDescent="0.25">
      <c r="A130" s="12" t="s">
        <v>589</v>
      </c>
      <c r="B130" s="11">
        <v>62</v>
      </c>
      <c r="C130" s="11">
        <v>59.7</v>
      </c>
      <c r="D130" s="11">
        <v>75.3</v>
      </c>
      <c r="E130" s="11">
        <v>58.4</v>
      </c>
      <c r="F130" s="11">
        <v>61.9</v>
      </c>
      <c r="G130" s="11">
        <v>46.3</v>
      </c>
      <c r="H130" s="11">
        <v>81.099999999999994</v>
      </c>
      <c r="I130" s="11">
        <v>55.5</v>
      </c>
      <c r="J130" s="11">
        <v>24.1</v>
      </c>
      <c r="K130" s="11">
        <v>89.4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</row>
    <row r="131" spans="1:60" ht="15.75" x14ac:dyDescent="0.25">
      <c r="A131" s="12" t="s">
        <v>590</v>
      </c>
      <c r="B131" s="11">
        <v>62</v>
      </c>
      <c r="C131" s="11">
        <v>59.7</v>
      </c>
      <c r="D131" s="11">
        <v>75.900000000000006</v>
      </c>
      <c r="E131" s="11">
        <v>58.1</v>
      </c>
      <c r="F131" s="11">
        <v>61.1</v>
      </c>
      <c r="G131" s="11">
        <v>46.3</v>
      </c>
      <c r="H131" s="11">
        <v>79.599999999999994</v>
      </c>
      <c r="I131" s="11">
        <v>55.9</v>
      </c>
      <c r="J131" s="11">
        <v>24.1</v>
      </c>
      <c r="K131" s="11">
        <v>87.4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</row>
    <row r="132" spans="1:60" ht="15.75" x14ac:dyDescent="0.25">
      <c r="A132" s="12" t="s">
        <v>591</v>
      </c>
      <c r="B132" s="11">
        <v>61.8</v>
      </c>
      <c r="C132" s="11">
        <v>59.9</v>
      </c>
      <c r="D132" s="11">
        <v>76.2</v>
      </c>
      <c r="E132" s="11">
        <v>58.1</v>
      </c>
      <c r="F132" s="11">
        <v>61.5</v>
      </c>
      <c r="G132" s="11">
        <v>45.9</v>
      </c>
      <c r="H132" s="11">
        <v>80.7</v>
      </c>
      <c r="I132" s="11">
        <v>55.6</v>
      </c>
      <c r="J132" s="11">
        <v>24</v>
      </c>
      <c r="K132" s="11">
        <v>83.3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</row>
    <row r="133" spans="1:60" ht="15.75" x14ac:dyDescent="0.25">
      <c r="A133" s="12" t="s">
        <v>592</v>
      </c>
      <c r="B133" s="11">
        <v>61.8</v>
      </c>
      <c r="C133" s="11">
        <v>59.9</v>
      </c>
      <c r="D133" s="11">
        <v>76.3</v>
      </c>
      <c r="E133" s="11">
        <v>57.9</v>
      </c>
      <c r="F133" s="11">
        <v>60.9</v>
      </c>
      <c r="G133" s="11">
        <v>45.2</v>
      </c>
      <c r="H133" s="11">
        <v>81.599999999999994</v>
      </c>
      <c r="I133" s="11">
        <v>55.5</v>
      </c>
      <c r="J133" s="11">
        <v>24.9</v>
      </c>
      <c r="K133" s="11">
        <v>81.3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</row>
    <row r="134" spans="1:60" ht="15.75" x14ac:dyDescent="0.25">
      <c r="A134" s="12" t="s">
        <v>593</v>
      </c>
      <c r="B134" s="11">
        <v>62.4</v>
      </c>
      <c r="C134" s="11">
        <v>60.6</v>
      </c>
      <c r="D134" s="11">
        <v>76.599999999999994</v>
      </c>
      <c r="E134" s="11">
        <v>59.1</v>
      </c>
      <c r="F134" s="11">
        <v>62.1</v>
      </c>
      <c r="G134" s="11">
        <v>47.4</v>
      </c>
      <c r="H134" s="11">
        <v>80.400000000000006</v>
      </c>
      <c r="I134" s="11">
        <v>57.1</v>
      </c>
      <c r="J134" s="11">
        <v>24.2</v>
      </c>
      <c r="K134" s="11">
        <v>81.3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</row>
    <row r="135" spans="1:60" ht="15.75" x14ac:dyDescent="0.25">
      <c r="A135" s="12" t="s">
        <v>594</v>
      </c>
      <c r="B135" s="11">
        <v>61.5</v>
      </c>
      <c r="C135" s="11">
        <v>59.6</v>
      </c>
      <c r="D135" s="11">
        <v>76.7</v>
      </c>
      <c r="E135" s="11">
        <v>57.2</v>
      </c>
      <c r="F135" s="11">
        <v>59.8</v>
      </c>
      <c r="G135" s="11">
        <v>44.4</v>
      </c>
      <c r="H135" s="11">
        <v>81.099999999999994</v>
      </c>
      <c r="I135" s="11">
        <v>54.6</v>
      </c>
      <c r="J135" s="11">
        <v>24.7</v>
      </c>
      <c r="K135" s="11">
        <v>82.4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</row>
    <row r="136" spans="1:60" ht="15.75" x14ac:dyDescent="0.25">
      <c r="A136" s="12" t="s">
        <v>595</v>
      </c>
      <c r="B136" s="11">
        <v>62.1</v>
      </c>
      <c r="C136" s="11">
        <v>60</v>
      </c>
      <c r="D136" s="11">
        <v>75.8</v>
      </c>
      <c r="E136" s="11">
        <v>58.4</v>
      </c>
      <c r="F136" s="11">
        <v>61.3</v>
      </c>
      <c r="G136" s="11">
        <v>46.5</v>
      </c>
      <c r="H136" s="11">
        <v>82.1</v>
      </c>
      <c r="I136" s="11">
        <v>55.2</v>
      </c>
      <c r="J136" s="11">
        <v>24.6</v>
      </c>
      <c r="K136" s="11">
        <v>85.4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</row>
    <row r="137" spans="1:60" ht="15.75" x14ac:dyDescent="0.25">
      <c r="A137" s="12" t="s">
        <v>596</v>
      </c>
      <c r="B137" s="11">
        <v>62.5</v>
      </c>
      <c r="C137" s="11">
        <v>60.3</v>
      </c>
      <c r="D137" s="11">
        <v>76.599999999999994</v>
      </c>
      <c r="E137" s="11">
        <v>58.5</v>
      </c>
      <c r="F137" s="11">
        <v>61.7</v>
      </c>
      <c r="G137" s="11">
        <v>47.1</v>
      </c>
      <c r="H137" s="11">
        <v>80.3</v>
      </c>
      <c r="I137" s="11">
        <v>55.7</v>
      </c>
      <c r="J137" s="11">
        <v>24.5</v>
      </c>
      <c r="K137" s="11">
        <v>88.1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</row>
    <row r="138" spans="1:60" ht="15.75" x14ac:dyDescent="0.25">
      <c r="A138" s="12" t="s">
        <v>597</v>
      </c>
      <c r="B138" s="11">
        <v>62.4</v>
      </c>
      <c r="C138" s="11">
        <v>60.1</v>
      </c>
      <c r="D138" s="11">
        <v>76.400000000000006</v>
      </c>
      <c r="E138" s="11">
        <v>58.3</v>
      </c>
      <c r="F138" s="11">
        <v>61</v>
      </c>
      <c r="G138" s="11">
        <v>45.6</v>
      </c>
      <c r="H138" s="11">
        <v>83.1</v>
      </c>
      <c r="I138" s="11">
        <v>55.2</v>
      </c>
      <c r="J138" s="11">
        <v>24.5</v>
      </c>
      <c r="K138" s="11">
        <v>89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</row>
    <row r="139" spans="1:60" ht="15.75" x14ac:dyDescent="0.25">
      <c r="A139" s="12" t="s">
        <v>598</v>
      </c>
      <c r="B139" s="11">
        <v>62</v>
      </c>
      <c r="C139" s="11">
        <v>59.8</v>
      </c>
      <c r="D139" s="11">
        <v>76.599999999999994</v>
      </c>
      <c r="E139" s="11">
        <v>57.7</v>
      </c>
      <c r="F139" s="11">
        <v>60.3</v>
      </c>
      <c r="G139" s="11">
        <v>46</v>
      </c>
      <c r="H139" s="11">
        <v>81.3</v>
      </c>
      <c r="I139" s="11">
        <v>54.6</v>
      </c>
      <c r="J139" s="11">
        <v>24.3</v>
      </c>
      <c r="K139" s="11">
        <v>86.7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</row>
    <row r="140" spans="1:60" ht="15.75" x14ac:dyDescent="0.25">
      <c r="A140" s="12" t="s">
        <v>599</v>
      </c>
      <c r="B140" s="11">
        <v>62.2</v>
      </c>
      <c r="C140" s="11">
        <v>60.1</v>
      </c>
      <c r="D140" s="11">
        <v>76.7</v>
      </c>
      <c r="E140" s="11">
        <v>58.3</v>
      </c>
      <c r="F140" s="11">
        <v>61.7</v>
      </c>
      <c r="G140" s="11">
        <v>46.8</v>
      </c>
      <c r="H140" s="11">
        <v>81.099999999999994</v>
      </c>
      <c r="I140" s="11">
        <v>54.8</v>
      </c>
      <c r="J140" s="11">
        <v>24.3</v>
      </c>
      <c r="K140" s="11">
        <v>84.8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</row>
    <row r="141" spans="1:60" ht="15.75" x14ac:dyDescent="0.25">
      <c r="A141" s="12" t="s">
        <v>600</v>
      </c>
      <c r="B141" s="11">
        <v>61.9</v>
      </c>
      <c r="C141" s="11">
        <v>59.9</v>
      </c>
      <c r="D141" s="11">
        <v>75.599999999999994</v>
      </c>
      <c r="E141" s="11">
        <v>58.3</v>
      </c>
      <c r="F141" s="11">
        <v>61.4</v>
      </c>
      <c r="G141" s="11">
        <v>46</v>
      </c>
      <c r="H141" s="11">
        <v>83.2</v>
      </c>
      <c r="I141" s="11">
        <v>54.5</v>
      </c>
      <c r="J141" s="11">
        <v>25.2</v>
      </c>
      <c r="K141" s="11">
        <v>83.7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</row>
    <row r="142" spans="1:60" ht="15.75" x14ac:dyDescent="0.25">
      <c r="A142" s="12" t="s">
        <v>601</v>
      </c>
      <c r="B142" s="11">
        <v>62.4</v>
      </c>
      <c r="C142" s="11">
        <v>60.5</v>
      </c>
      <c r="D142" s="11">
        <v>76.599999999999994</v>
      </c>
      <c r="E142" s="11">
        <v>58.9</v>
      </c>
      <c r="F142" s="11">
        <v>61.1</v>
      </c>
      <c r="G142" s="11">
        <v>46.7</v>
      </c>
      <c r="H142" s="11">
        <v>84.3</v>
      </c>
      <c r="I142" s="11">
        <v>55.3</v>
      </c>
      <c r="J142" s="11">
        <v>25</v>
      </c>
      <c r="K142" s="11">
        <v>82.6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</row>
    <row r="143" spans="1:60" ht="15.75" x14ac:dyDescent="0.25">
      <c r="A143" s="12" t="s">
        <v>602</v>
      </c>
      <c r="B143" s="11">
        <v>62.3</v>
      </c>
      <c r="C143" s="11">
        <v>60.3</v>
      </c>
      <c r="D143" s="11">
        <v>76.5</v>
      </c>
      <c r="E143" s="11">
        <v>58.6</v>
      </c>
      <c r="F143" s="11">
        <v>60.4</v>
      </c>
      <c r="G143" s="11">
        <v>46.6</v>
      </c>
      <c r="H143" s="11">
        <v>83.7</v>
      </c>
      <c r="I143" s="11">
        <v>55.1</v>
      </c>
      <c r="J143" s="11">
        <v>24.7</v>
      </c>
      <c r="K143" s="11">
        <v>83.6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</row>
    <row r="144" spans="1:60" ht="15.75" x14ac:dyDescent="0.25">
      <c r="A144" s="12" t="s">
        <v>603</v>
      </c>
      <c r="B144" s="11">
        <v>62.2</v>
      </c>
      <c r="C144" s="11">
        <v>60.6</v>
      </c>
      <c r="D144" s="11">
        <v>76.400000000000006</v>
      </c>
      <c r="E144" s="11">
        <v>59.1</v>
      </c>
      <c r="F144" s="11">
        <v>62.6</v>
      </c>
      <c r="G144" s="11">
        <v>47</v>
      </c>
      <c r="H144" s="11">
        <v>83.5</v>
      </c>
      <c r="I144" s="11">
        <v>55.3</v>
      </c>
      <c r="J144" s="11">
        <v>25.3</v>
      </c>
      <c r="K144" s="11">
        <v>78.2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</row>
    <row r="145" spans="1:60" ht="15.75" x14ac:dyDescent="0.25">
      <c r="A145" s="12" t="s">
        <v>604</v>
      </c>
      <c r="B145" s="11">
        <v>62.5</v>
      </c>
      <c r="C145" s="11">
        <v>60.7</v>
      </c>
      <c r="D145" s="11">
        <v>76.599999999999994</v>
      </c>
      <c r="E145" s="11">
        <v>59.4</v>
      </c>
      <c r="F145" s="11">
        <v>61.3</v>
      </c>
      <c r="G145" s="11">
        <v>47.5</v>
      </c>
      <c r="H145" s="11">
        <v>83.9</v>
      </c>
      <c r="I145" s="11">
        <v>56</v>
      </c>
      <c r="J145" s="11">
        <v>24.6</v>
      </c>
      <c r="K145" s="11">
        <v>81.2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</row>
    <row r="146" spans="1:60" ht="15.75" x14ac:dyDescent="0.25">
      <c r="A146" s="12" t="s">
        <v>605</v>
      </c>
      <c r="B146" s="11">
        <v>63.2</v>
      </c>
      <c r="C146" s="11">
        <v>61.4</v>
      </c>
      <c r="D146" s="11">
        <v>77.099999999999994</v>
      </c>
      <c r="E146" s="11">
        <v>60.3</v>
      </c>
      <c r="F146" s="11">
        <v>62.3</v>
      </c>
      <c r="G146" s="11">
        <v>47.7</v>
      </c>
      <c r="H146" s="11">
        <v>85.8</v>
      </c>
      <c r="I146" s="11">
        <v>57.1</v>
      </c>
      <c r="J146" s="11">
        <v>24.3</v>
      </c>
      <c r="K146" s="11">
        <v>82.4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</row>
    <row r="147" spans="1:60" ht="15.75" x14ac:dyDescent="0.25">
      <c r="A147" s="12" t="s">
        <v>606</v>
      </c>
      <c r="B147" s="11">
        <v>63.6</v>
      </c>
      <c r="C147" s="11">
        <v>61.5</v>
      </c>
      <c r="D147" s="11">
        <v>77.400000000000006</v>
      </c>
      <c r="E147" s="11">
        <v>60.3</v>
      </c>
      <c r="F147" s="11">
        <v>62.8</v>
      </c>
      <c r="G147" s="11">
        <v>47.8</v>
      </c>
      <c r="H147" s="11">
        <v>86.8</v>
      </c>
      <c r="I147" s="11">
        <v>56.2</v>
      </c>
      <c r="J147" s="11">
        <v>24.7</v>
      </c>
      <c r="K147" s="11">
        <v>86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</row>
    <row r="148" spans="1:60" ht="15.75" x14ac:dyDescent="0.25">
      <c r="A148" s="12" t="s">
        <v>607</v>
      </c>
      <c r="B148" s="11">
        <v>63.4</v>
      </c>
      <c r="C148" s="11">
        <v>61.6</v>
      </c>
      <c r="D148" s="11">
        <v>77.7</v>
      </c>
      <c r="E148" s="11">
        <v>60.4</v>
      </c>
      <c r="F148" s="11">
        <v>64.2</v>
      </c>
      <c r="G148" s="11">
        <v>48.1</v>
      </c>
      <c r="H148" s="11">
        <v>86.4</v>
      </c>
      <c r="I148" s="11">
        <v>55.7</v>
      </c>
      <c r="J148" s="11">
        <v>24.2</v>
      </c>
      <c r="K148" s="11">
        <v>82.8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</row>
    <row r="149" spans="1:60" ht="15.75" x14ac:dyDescent="0.25">
      <c r="A149" s="12" t="s">
        <v>608</v>
      </c>
      <c r="B149" s="11">
        <v>63.7</v>
      </c>
      <c r="C149" s="11">
        <v>61.9</v>
      </c>
      <c r="D149" s="11">
        <v>77.3</v>
      </c>
      <c r="E149" s="11">
        <v>61.1</v>
      </c>
      <c r="F149" s="11">
        <v>64.2</v>
      </c>
      <c r="G149" s="11">
        <v>48.3</v>
      </c>
      <c r="H149" s="11">
        <v>88.9</v>
      </c>
      <c r="I149" s="11">
        <v>56.3</v>
      </c>
      <c r="J149" s="11">
        <v>24.6</v>
      </c>
      <c r="K149" s="11">
        <v>81.8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</row>
    <row r="150" spans="1:60" ht="15.75" x14ac:dyDescent="0.25">
      <c r="A150" s="12" t="s">
        <v>609</v>
      </c>
      <c r="B150" s="11">
        <v>63.7</v>
      </c>
      <c r="C150" s="11">
        <v>61.8</v>
      </c>
      <c r="D150" s="11">
        <v>78.400000000000006</v>
      </c>
      <c r="E150" s="11">
        <v>60.5</v>
      </c>
      <c r="F150" s="11">
        <v>63.8</v>
      </c>
      <c r="G150" s="11">
        <v>46.9</v>
      </c>
      <c r="H150" s="11">
        <v>87.7</v>
      </c>
      <c r="I150" s="11">
        <v>56.6</v>
      </c>
      <c r="J150" s="11">
        <v>23.9</v>
      </c>
      <c r="K150" s="11">
        <v>82.3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</row>
    <row r="151" spans="1:60" ht="15.75" x14ac:dyDescent="0.25">
      <c r="A151" s="12" t="s">
        <v>610</v>
      </c>
      <c r="B151" s="11">
        <v>64.099999999999994</v>
      </c>
      <c r="C151" s="11">
        <v>62.1</v>
      </c>
      <c r="D151" s="11">
        <v>77.900000000000006</v>
      </c>
      <c r="E151" s="11">
        <v>61.3</v>
      </c>
      <c r="F151" s="11">
        <v>65.099999999999994</v>
      </c>
      <c r="G151" s="11">
        <v>48.4</v>
      </c>
      <c r="H151" s="11">
        <v>88.5</v>
      </c>
      <c r="I151" s="11">
        <v>56.5</v>
      </c>
      <c r="J151" s="11">
        <v>24.1</v>
      </c>
      <c r="K151" s="11">
        <v>84.8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</row>
    <row r="152" spans="1:60" ht="15.75" x14ac:dyDescent="0.25">
      <c r="A152" s="12" t="s">
        <v>611</v>
      </c>
      <c r="B152" s="11">
        <v>64.400000000000006</v>
      </c>
      <c r="C152" s="11">
        <v>62.3</v>
      </c>
      <c r="D152" s="11">
        <v>77.900000000000006</v>
      </c>
      <c r="E152" s="11">
        <v>61.6</v>
      </c>
      <c r="F152" s="11">
        <v>65.099999999999994</v>
      </c>
      <c r="G152" s="11">
        <v>48.6</v>
      </c>
      <c r="H152" s="11">
        <v>89.5</v>
      </c>
      <c r="I152" s="11">
        <v>56.6</v>
      </c>
      <c r="J152" s="11">
        <v>24.4</v>
      </c>
      <c r="K152" s="11">
        <v>86.8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</row>
    <row r="153" spans="1:60" ht="15.75" x14ac:dyDescent="0.25">
      <c r="A153" s="12" t="s">
        <v>612</v>
      </c>
      <c r="B153" s="11">
        <v>64.900000000000006</v>
      </c>
      <c r="C153" s="11">
        <v>62.8</v>
      </c>
      <c r="D153" s="11">
        <v>79.900000000000006</v>
      </c>
      <c r="E153" s="11">
        <v>61.3</v>
      </c>
      <c r="F153" s="11">
        <v>66.400000000000006</v>
      </c>
      <c r="G153" s="11">
        <v>48.8</v>
      </c>
      <c r="H153" s="11">
        <v>90.5</v>
      </c>
      <c r="I153" s="11">
        <v>54.2</v>
      </c>
      <c r="J153" s="11">
        <v>24.1</v>
      </c>
      <c r="K153" s="11">
        <v>87.3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</row>
    <row r="154" spans="1:60" ht="15.75" x14ac:dyDescent="0.25">
      <c r="A154" s="12" t="s">
        <v>613</v>
      </c>
      <c r="B154" s="11">
        <v>66.099999999999994</v>
      </c>
      <c r="C154" s="11">
        <v>64</v>
      </c>
      <c r="D154" s="11">
        <v>79.599999999999994</v>
      </c>
      <c r="E154" s="11">
        <v>63.5</v>
      </c>
      <c r="F154" s="11">
        <v>68.7</v>
      </c>
      <c r="G154" s="11">
        <v>49.9</v>
      </c>
      <c r="H154" s="11">
        <v>93.7</v>
      </c>
      <c r="I154" s="11">
        <v>56.9</v>
      </c>
      <c r="J154" s="11">
        <v>25.3</v>
      </c>
      <c r="K154" s="11">
        <v>89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</row>
    <row r="155" spans="1:60" ht="15.75" x14ac:dyDescent="0.25">
      <c r="A155" s="12" t="s">
        <v>614</v>
      </c>
      <c r="B155" s="11">
        <v>64.900000000000006</v>
      </c>
      <c r="C155" s="11">
        <v>62.7</v>
      </c>
      <c r="D155" s="11">
        <v>78.599999999999994</v>
      </c>
      <c r="E155" s="11">
        <v>61.4</v>
      </c>
      <c r="F155" s="11">
        <v>67.8</v>
      </c>
      <c r="G155" s="11">
        <v>48.5</v>
      </c>
      <c r="H155" s="11">
        <v>87</v>
      </c>
      <c r="I155" s="11">
        <v>56.1</v>
      </c>
      <c r="J155" s="11">
        <v>25.9</v>
      </c>
      <c r="K155" s="11">
        <v>89.2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</row>
    <row r="156" spans="1:60" ht="15.75" x14ac:dyDescent="0.25">
      <c r="A156" s="12" t="s">
        <v>615</v>
      </c>
      <c r="B156" s="11">
        <v>65.099999999999994</v>
      </c>
      <c r="C156" s="11">
        <v>63.2</v>
      </c>
      <c r="D156" s="11">
        <v>78.900000000000006</v>
      </c>
      <c r="E156" s="11">
        <v>62.3</v>
      </c>
      <c r="F156" s="11">
        <v>67</v>
      </c>
      <c r="G156" s="11">
        <v>49.5</v>
      </c>
      <c r="H156" s="11">
        <v>91.6</v>
      </c>
      <c r="I156" s="11">
        <v>55.8</v>
      </c>
      <c r="J156" s="11">
        <v>25.7</v>
      </c>
      <c r="K156" s="11">
        <v>84.7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</row>
    <row r="157" spans="1:60" ht="15.75" x14ac:dyDescent="0.25">
      <c r="A157" s="12" t="s">
        <v>616</v>
      </c>
      <c r="B157" s="11">
        <v>66.3</v>
      </c>
      <c r="C157" s="11">
        <v>63.1</v>
      </c>
      <c r="D157" s="11">
        <v>80.099999999999994</v>
      </c>
      <c r="E157" s="11">
        <v>61.4</v>
      </c>
      <c r="F157" s="11">
        <v>66.900000000000006</v>
      </c>
      <c r="G157" s="11">
        <v>49.4</v>
      </c>
      <c r="H157" s="11">
        <v>88.4</v>
      </c>
      <c r="I157" s="11">
        <v>55</v>
      </c>
      <c r="J157" s="11">
        <v>25.2</v>
      </c>
      <c r="K157" s="11">
        <v>105.6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</row>
    <row r="158" spans="1:60" ht="15.75" x14ac:dyDescent="0.25">
      <c r="A158" s="12" t="s">
        <v>617</v>
      </c>
      <c r="B158" s="11">
        <v>65.400000000000006</v>
      </c>
      <c r="C158" s="11">
        <v>62.9</v>
      </c>
      <c r="D158" s="11">
        <v>78</v>
      </c>
      <c r="E158" s="11">
        <v>62.3</v>
      </c>
      <c r="F158" s="11">
        <v>66.3</v>
      </c>
      <c r="G158" s="11">
        <v>51.1</v>
      </c>
      <c r="H158" s="11">
        <v>89.8</v>
      </c>
      <c r="I158" s="11">
        <v>55.5</v>
      </c>
      <c r="J158" s="11">
        <v>26</v>
      </c>
      <c r="K158" s="11">
        <v>93.1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</row>
    <row r="159" spans="1:60" ht="15.75" x14ac:dyDescent="0.25">
      <c r="A159" s="12" t="s">
        <v>618</v>
      </c>
      <c r="B159" s="11">
        <v>65.400000000000006</v>
      </c>
      <c r="C159" s="11">
        <v>63.2</v>
      </c>
      <c r="D159" s="11">
        <v>78.599999999999994</v>
      </c>
      <c r="E159" s="11">
        <v>62.6</v>
      </c>
      <c r="F159" s="11">
        <v>66.8</v>
      </c>
      <c r="G159" s="11">
        <v>50.4</v>
      </c>
      <c r="H159" s="11">
        <v>91</v>
      </c>
      <c r="I159" s="11">
        <v>56.4</v>
      </c>
      <c r="J159" s="11">
        <v>25</v>
      </c>
      <c r="K159" s="11">
        <v>89.5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</row>
    <row r="160" spans="1:60" ht="15.75" x14ac:dyDescent="0.25">
      <c r="A160" s="12" t="s">
        <v>619</v>
      </c>
      <c r="B160" s="11">
        <v>65.2</v>
      </c>
      <c r="C160" s="11">
        <v>63.4</v>
      </c>
      <c r="D160" s="11">
        <v>78.099999999999994</v>
      </c>
      <c r="E160" s="11">
        <v>63.3</v>
      </c>
      <c r="F160" s="11">
        <v>67.400000000000006</v>
      </c>
      <c r="G160" s="11">
        <v>51.5</v>
      </c>
      <c r="H160" s="11">
        <v>90.9</v>
      </c>
      <c r="I160" s="11">
        <v>57.1</v>
      </c>
      <c r="J160" s="11">
        <v>25.1</v>
      </c>
      <c r="K160" s="11">
        <v>83.1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</row>
    <row r="161" spans="1:60" ht="15.75" x14ac:dyDescent="0.25">
      <c r="A161" s="12" t="s">
        <v>620</v>
      </c>
      <c r="B161" s="11">
        <v>66.099999999999994</v>
      </c>
      <c r="C161" s="11">
        <v>64.099999999999994</v>
      </c>
      <c r="D161" s="11">
        <v>79.3</v>
      </c>
      <c r="E161" s="11">
        <v>63.7</v>
      </c>
      <c r="F161" s="11">
        <v>67.3</v>
      </c>
      <c r="G161" s="11">
        <v>52</v>
      </c>
      <c r="H161" s="11">
        <v>91.8</v>
      </c>
      <c r="I161" s="11">
        <v>57.3</v>
      </c>
      <c r="J161" s="11">
        <v>25.7</v>
      </c>
      <c r="K161" s="11">
        <v>87.5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</row>
    <row r="162" spans="1:60" ht="15.75" x14ac:dyDescent="0.25">
      <c r="A162" s="12" t="s">
        <v>621</v>
      </c>
      <c r="B162" s="11">
        <v>66.099999999999994</v>
      </c>
      <c r="C162" s="11">
        <v>64</v>
      </c>
      <c r="D162" s="11">
        <v>79.5</v>
      </c>
      <c r="E162" s="11">
        <v>63.4</v>
      </c>
      <c r="F162" s="11">
        <v>67.7</v>
      </c>
      <c r="G162" s="11">
        <v>52.1</v>
      </c>
      <c r="H162" s="11">
        <v>90.9</v>
      </c>
      <c r="I162" s="11">
        <v>56.8</v>
      </c>
      <c r="J162" s="11">
        <v>25.8</v>
      </c>
      <c r="K162" s="11">
        <v>87.6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</row>
    <row r="163" spans="1:60" ht="15.75" x14ac:dyDescent="0.25">
      <c r="A163" s="12" t="s">
        <v>622</v>
      </c>
      <c r="B163" s="11">
        <v>66.599999999999994</v>
      </c>
      <c r="C163" s="11">
        <v>64.599999999999994</v>
      </c>
      <c r="D163" s="11">
        <v>79.400000000000006</v>
      </c>
      <c r="E163" s="11">
        <v>64.400000000000006</v>
      </c>
      <c r="F163" s="11">
        <v>68.400000000000006</v>
      </c>
      <c r="G163" s="11">
        <v>54.6</v>
      </c>
      <c r="H163" s="11">
        <v>90.9</v>
      </c>
      <c r="I163" s="11">
        <v>56.9</v>
      </c>
      <c r="J163" s="11">
        <v>26.4</v>
      </c>
      <c r="K163" s="11">
        <v>87.3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</row>
    <row r="164" spans="1:60" ht="15.75" x14ac:dyDescent="0.25">
      <c r="A164" s="12" t="s">
        <v>623</v>
      </c>
      <c r="B164" s="11">
        <v>66.5</v>
      </c>
      <c r="C164" s="11">
        <v>64.5</v>
      </c>
      <c r="D164" s="11">
        <v>79.7</v>
      </c>
      <c r="E164" s="11">
        <v>64</v>
      </c>
      <c r="F164" s="11">
        <v>67.900000000000006</v>
      </c>
      <c r="G164" s="11">
        <v>52.2</v>
      </c>
      <c r="H164" s="11">
        <v>94.3</v>
      </c>
      <c r="I164" s="11">
        <v>56.3</v>
      </c>
      <c r="J164" s="11">
        <v>26.7</v>
      </c>
      <c r="K164" s="11">
        <v>87.8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</row>
    <row r="165" spans="1:60" ht="15.75" x14ac:dyDescent="0.25">
      <c r="A165" s="12" t="s">
        <v>624</v>
      </c>
      <c r="B165" s="11">
        <v>66.599999999999994</v>
      </c>
      <c r="C165" s="11">
        <v>64.8</v>
      </c>
      <c r="D165" s="11">
        <v>79.7</v>
      </c>
      <c r="E165" s="11">
        <v>64.2</v>
      </c>
      <c r="F165" s="11">
        <v>68.099999999999994</v>
      </c>
      <c r="G165" s="11">
        <v>52.5</v>
      </c>
      <c r="H165" s="11">
        <v>93.5</v>
      </c>
      <c r="I165" s="11">
        <v>57.1</v>
      </c>
      <c r="J165" s="11">
        <v>27.7</v>
      </c>
      <c r="K165" s="11">
        <v>85.1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</row>
    <row r="166" spans="1:60" ht="15.75" x14ac:dyDescent="0.25">
      <c r="A166" s="12" t="s">
        <v>625</v>
      </c>
      <c r="B166" s="11">
        <v>67.599999999999994</v>
      </c>
      <c r="C166" s="11">
        <v>65.8</v>
      </c>
      <c r="D166" s="11">
        <v>80.400000000000006</v>
      </c>
      <c r="E166" s="11">
        <v>66.3</v>
      </c>
      <c r="F166" s="11">
        <v>69.7</v>
      </c>
      <c r="G166" s="11">
        <v>56.6</v>
      </c>
      <c r="H166" s="11">
        <v>94.5</v>
      </c>
      <c r="I166" s="11">
        <v>58</v>
      </c>
      <c r="J166" s="11">
        <v>25.3</v>
      </c>
      <c r="K166" s="11">
        <v>86.6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</row>
    <row r="167" spans="1:60" ht="15.75" x14ac:dyDescent="0.25">
      <c r="A167" s="12" t="s">
        <v>626</v>
      </c>
      <c r="B167" s="11">
        <v>70.2</v>
      </c>
      <c r="C167" s="11">
        <v>68.5</v>
      </c>
      <c r="D167" s="11">
        <v>86.4</v>
      </c>
      <c r="E167" s="11">
        <v>67.8</v>
      </c>
      <c r="F167" s="11">
        <v>69.8</v>
      </c>
      <c r="G167" s="11">
        <v>54.1</v>
      </c>
      <c r="H167" s="11">
        <v>104.6</v>
      </c>
      <c r="I167" s="11">
        <v>59.4</v>
      </c>
      <c r="J167" s="11">
        <v>24</v>
      </c>
      <c r="K167" s="11">
        <v>87.3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</row>
    <row r="168" spans="1:60" ht="15.75" x14ac:dyDescent="0.25">
      <c r="A168" s="12" t="s">
        <v>627</v>
      </c>
      <c r="B168" s="11">
        <v>70.099999999999994</v>
      </c>
      <c r="C168" s="11">
        <v>68.400000000000006</v>
      </c>
      <c r="D168" s="11">
        <v>86.8</v>
      </c>
      <c r="E168" s="11">
        <v>67.2</v>
      </c>
      <c r="F168" s="11">
        <v>69.900000000000006</v>
      </c>
      <c r="G168" s="11">
        <v>53</v>
      </c>
      <c r="H168" s="11">
        <v>106.2</v>
      </c>
      <c r="I168" s="11">
        <v>57.7</v>
      </c>
      <c r="J168" s="11">
        <v>24.8</v>
      </c>
      <c r="K168" s="11">
        <v>87.3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</row>
    <row r="169" spans="1:60" ht="15.75" x14ac:dyDescent="0.25">
      <c r="A169" s="12" t="s">
        <v>628</v>
      </c>
      <c r="B169" s="11">
        <v>70.3</v>
      </c>
      <c r="C169" s="11">
        <v>68.8</v>
      </c>
      <c r="D169" s="11">
        <v>86.2</v>
      </c>
      <c r="E169" s="11">
        <v>68</v>
      </c>
      <c r="F169" s="11">
        <v>70.7</v>
      </c>
      <c r="G169" s="11">
        <v>53.1</v>
      </c>
      <c r="H169" s="11">
        <v>107.4</v>
      </c>
      <c r="I169" s="11">
        <v>59</v>
      </c>
      <c r="J169" s="11">
        <v>26.2</v>
      </c>
      <c r="K169" s="11">
        <v>85.1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</row>
    <row r="170" spans="1:60" ht="15.75" x14ac:dyDescent="0.25">
      <c r="A170" s="12" t="s">
        <v>629</v>
      </c>
      <c r="B170" s="11">
        <v>71.599999999999994</v>
      </c>
      <c r="C170" s="11">
        <v>70</v>
      </c>
      <c r="D170" s="11">
        <v>87.7</v>
      </c>
      <c r="E170" s="11">
        <v>69.3</v>
      </c>
      <c r="F170" s="11">
        <v>71.5</v>
      </c>
      <c r="G170" s="11">
        <v>55</v>
      </c>
      <c r="H170" s="11">
        <v>108.2</v>
      </c>
      <c r="I170" s="11">
        <v>60.2</v>
      </c>
      <c r="J170" s="11">
        <v>26.3</v>
      </c>
      <c r="K170" s="11">
        <v>87.6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</row>
    <row r="171" spans="1:60" ht="15.75" x14ac:dyDescent="0.25">
      <c r="A171" s="12" t="s">
        <v>630</v>
      </c>
      <c r="B171" s="11">
        <v>71.3</v>
      </c>
      <c r="C171" s="11">
        <v>69.5</v>
      </c>
      <c r="D171" s="11">
        <v>87</v>
      </c>
      <c r="E171" s="11">
        <v>68.900000000000006</v>
      </c>
      <c r="F171" s="11">
        <v>70.7</v>
      </c>
      <c r="G171" s="11">
        <v>54.5</v>
      </c>
      <c r="H171" s="11">
        <v>107.5</v>
      </c>
      <c r="I171" s="11">
        <v>60.2</v>
      </c>
      <c r="J171" s="11">
        <v>25.9</v>
      </c>
      <c r="K171" s="11">
        <v>90.1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</row>
    <row r="172" spans="1:60" ht="15.75" x14ac:dyDescent="0.25">
      <c r="A172" s="12" t="s">
        <v>631</v>
      </c>
      <c r="B172" s="11">
        <v>72</v>
      </c>
      <c r="C172" s="11">
        <v>70.2</v>
      </c>
      <c r="D172" s="11">
        <v>87.3</v>
      </c>
      <c r="E172" s="11">
        <v>69.8</v>
      </c>
      <c r="F172" s="11">
        <v>71.3</v>
      </c>
      <c r="G172" s="11">
        <v>54.9</v>
      </c>
      <c r="H172" s="11">
        <v>108.2</v>
      </c>
      <c r="I172" s="11">
        <v>61.8</v>
      </c>
      <c r="J172" s="11">
        <v>27.3</v>
      </c>
      <c r="K172" s="11">
        <v>89.4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</row>
    <row r="173" spans="1:60" ht="15.75" x14ac:dyDescent="0.25">
      <c r="A173" s="12" t="s">
        <v>632</v>
      </c>
      <c r="B173" s="11">
        <v>71.900000000000006</v>
      </c>
      <c r="C173" s="11">
        <v>70.2</v>
      </c>
      <c r="D173" s="11">
        <v>87.6</v>
      </c>
      <c r="E173" s="11">
        <v>70</v>
      </c>
      <c r="F173" s="11">
        <v>71.3</v>
      </c>
      <c r="G173" s="11">
        <v>54.9</v>
      </c>
      <c r="H173" s="11">
        <v>109.8</v>
      </c>
      <c r="I173" s="11">
        <v>61.5</v>
      </c>
      <c r="J173" s="11">
        <v>25.6</v>
      </c>
      <c r="K173" s="11">
        <v>89.3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</row>
    <row r="174" spans="1:60" ht="15.75" x14ac:dyDescent="0.25">
      <c r="A174" s="12" t="s">
        <v>633</v>
      </c>
      <c r="B174" s="11">
        <v>72.2</v>
      </c>
      <c r="C174" s="11">
        <v>70.599999999999994</v>
      </c>
      <c r="D174" s="11">
        <v>87.6</v>
      </c>
      <c r="E174" s="11">
        <v>70.5</v>
      </c>
      <c r="F174" s="11">
        <v>71.2</v>
      </c>
      <c r="G174" s="11">
        <v>57.4</v>
      </c>
      <c r="H174" s="11">
        <v>108.9</v>
      </c>
      <c r="I174" s="11">
        <v>61.4</v>
      </c>
      <c r="J174" s="11">
        <v>26.3</v>
      </c>
      <c r="K174" s="11">
        <v>87.7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</row>
    <row r="175" spans="1:60" ht="15.75" x14ac:dyDescent="0.25">
      <c r="A175" s="12" t="s">
        <v>634</v>
      </c>
      <c r="B175" s="11">
        <v>73</v>
      </c>
      <c r="C175" s="11">
        <v>71.3</v>
      </c>
      <c r="D175" s="11">
        <v>88.8</v>
      </c>
      <c r="E175" s="11">
        <v>71</v>
      </c>
      <c r="F175" s="11">
        <v>70.900000000000006</v>
      </c>
      <c r="G175" s="11">
        <v>55.5</v>
      </c>
      <c r="H175" s="11">
        <v>113.2</v>
      </c>
      <c r="I175" s="11">
        <v>62.3</v>
      </c>
      <c r="J175" s="11">
        <v>26.5</v>
      </c>
      <c r="K175" s="11">
        <v>89.5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</row>
    <row r="176" spans="1:60" ht="15.75" x14ac:dyDescent="0.25">
      <c r="A176" s="12" t="s">
        <v>635</v>
      </c>
      <c r="B176" s="11">
        <v>73.7</v>
      </c>
      <c r="C176" s="11">
        <v>72</v>
      </c>
      <c r="D176" s="11">
        <v>89.5</v>
      </c>
      <c r="E176" s="11">
        <v>72</v>
      </c>
      <c r="F176" s="11">
        <v>72</v>
      </c>
      <c r="G176" s="11">
        <v>58.4</v>
      </c>
      <c r="H176" s="11">
        <v>110.8</v>
      </c>
      <c r="I176" s="11">
        <v>63.3</v>
      </c>
      <c r="J176" s="11">
        <v>26.3</v>
      </c>
      <c r="K176" s="11">
        <v>90.1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</row>
    <row r="177" spans="1:60" ht="15.75" x14ac:dyDescent="0.25">
      <c r="A177" s="12" t="s">
        <v>636</v>
      </c>
      <c r="B177" s="11">
        <v>74.7</v>
      </c>
      <c r="C177" s="11">
        <v>72.8</v>
      </c>
      <c r="D177" s="11">
        <v>89.8</v>
      </c>
      <c r="E177" s="11">
        <v>73.2</v>
      </c>
      <c r="F177" s="11">
        <v>72.5</v>
      </c>
      <c r="G177" s="11">
        <v>58.4</v>
      </c>
      <c r="H177" s="11">
        <v>113</v>
      </c>
      <c r="I177" s="11">
        <v>65.5</v>
      </c>
      <c r="J177" s="11">
        <v>26.8</v>
      </c>
      <c r="K177" s="11">
        <v>93.9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</row>
    <row r="178" spans="1:60" ht="15.75" x14ac:dyDescent="0.25">
      <c r="A178" s="12" t="s">
        <v>637</v>
      </c>
      <c r="B178" s="11">
        <v>74.099999999999994</v>
      </c>
      <c r="C178" s="11">
        <v>72.400000000000006</v>
      </c>
      <c r="D178" s="11">
        <v>89.2</v>
      </c>
      <c r="E178" s="11">
        <v>72.8</v>
      </c>
      <c r="F178" s="11">
        <v>72</v>
      </c>
      <c r="G178" s="11">
        <v>58.1</v>
      </c>
      <c r="H178" s="11">
        <v>110.4</v>
      </c>
      <c r="I178" s="11">
        <v>66.099999999999994</v>
      </c>
      <c r="J178" s="11">
        <v>26.6</v>
      </c>
      <c r="K178" s="11">
        <v>91.6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</row>
    <row r="179" spans="1:60" ht="15.75" x14ac:dyDescent="0.25">
      <c r="A179" s="12" t="s">
        <v>638</v>
      </c>
      <c r="B179" s="11">
        <v>75.2</v>
      </c>
      <c r="C179" s="11">
        <v>73.5</v>
      </c>
      <c r="D179" s="11">
        <v>90.1</v>
      </c>
      <c r="E179" s="11">
        <v>74.3</v>
      </c>
      <c r="F179" s="11">
        <v>73</v>
      </c>
      <c r="G179" s="11">
        <v>59.9</v>
      </c>
      <c r="H179" s="11">
        <v>113.6</v>
      </c>
      <c r="I179" s="11">
        <v>66.8</v>
      </c>
      <c r="J179" s="11">
        <v>26.8</v>
      </c>
      <c r="K179" s="11">
        <v>91.4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</row>
    <row r="180" spans="1:60" ht="15.75" x14ac:dyDescent="0.25">
      <c r="A180" s="12" t="s">
        <v>639</v>
      </c>
      <c r="B180" s="11">
        <v>75.5</v>
      </c>
      <c r="C180" s="11">
        <v>73.7</v>
      </c>
      <c r="D180" s="11">
        <v>89.9</v>
      </c>
      <c r="E180" s="11">
        <v>74.900000000000006</v>
      </c>
      <c r="F180" s="11">
        <v>73</v>
      </c>
      <c r="G180" s="11">
        <v>59.6</v>
      </c>
      <c r="H180" s="11">
        <v>115.6</v>
      </c>
      <c r="I180" s="11">
        <v>67.8</v>
      </c>
      <c r="J180" s="11">
        <v>26.3</v>
      </c>
      <c r="K180" s="11">
        <v>93.2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</row>
    <row r="181" spans="1:60" ht="15.75" x14ac:dyDescent="0.25">
      <c r="A181" s="12" t="s">
        <v>640</v>
      </c>
      <c r="B181" s="11">
        <v>76.599999999999994</v>
      </c>
      <c r="C181" s="11">
        <v>74.900000000000006</v>
      </c>
      <c r="D181" s="11">
        <v>90.4</v>
      </c>
      <c r="E181" s="11">
        <v>76.900000000000006</v>
      </c>
      <c r="F181" s="11">
        <v>73.7</v>
      </c>
      <c r="G181" s="11">
        <v>63.8</v>
      </c>
      <c r="H181" s="11">
        <v>114.8</v>
      </c>
      <c r="I181" s="11">
        <v>69.8</v>
      </c>
      <c r="J181" s="11">
        <v>26.5</v>
      </c>
      <c r="K181" s="11">
        <v>93.2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</row>
    <row r="182" spans="1:60" ht="15.75" x14ac:dyDescent="0.25">
      <c r="A182" s="12" t="s">
        <v>641</v>
      </c>
      <c r="B182" s="11">
        <v>75.900000000000006</v>
      </c>
      <c r="C182" s="11">
        <v>74.2</v>
      </c>
      <c r="D182" s="11">
        <v>90.7</v>
      </c>
      <c r="E182" s="11">
        <v>75.3</v>
      </c>
      <c r="F182" s="11">
        <v>73.7</v>
      </c>
      <c r="G182" s="11">
        <v>59</v>
      </c>
      <c r="H182" s="11">
        <v>117.4</v>
      </c>
      <c r="I182" s="11">
        <v>68.400000000000006</v>
      </c>
      <c r="J182" s="11">
        <v>26.7</v>
      </c>
      <c r="K182" s="11">
        <v>92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</row>
    <row r="183" spans="1:60" ht="15.75" x14ac:dyDescent="0.25">
      <c r="A183" s="12" t="s">
        <v>642</v>
      </c>
      <c r="B183" s="11">
        <v>74.7</v>
      </c>
      <c r="C183" s="11">
        <v>73.400000000000006</v>
      </c>
      <c r="D183" s="11">
        <v>90.5</v>
      </c>
      <c r="E183" s="11">
        <v>73.599999999999994</v>
      </c>
      <c r="F183" s="11">
        <v>71.2</v>
      </c>
      <c r="G183" s="11">
        <v>60.3</v>
      </c>
      <c r="H183" s="11">
        <v>112.5</v>
      </c>
      <c r="I183" s="11">
        <v>65.8</v>
      </c>
      <c r="J183" s="11">
        <v>27.6</v>
      </c>
      <c r="K183" s="11">
        <v>86.4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</row>
    <row r="184" spans="1:60" ht="15.75" x14ac:dyDescent="0.25">
      <c r="A184" s="12" t="s">
        <v>643</v>
      </c>
      <c r="B184" s="11">
        <v>75.8</v>
      </c>
      <c r="C184" s="11">
        <v>74.599999999999994</v>
      </c>
      <c r="D184" s="11">
        <v>91.2</v>
      </c>
      <c r="E184" s="11">
        <v>75.3</v>
      </c>
      <c r="F184" s="11">
        <v>75.3</v>
      </c>
      <c r="G184" s="11">
        <v>61.7</v>
      </c>
      <c r="H184" s="11">
        <v>114</v>
      </c>
      <c r="I184" s="11">
        <v>66.8</v>
      </c>
      <c r="J184" s="11">
        <v>28.1</v>
      </c>
      <c r="K184" s="11">
        <v>85.3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</row>
    <row r="185" spans="1:60" ht="15.75" x14ac:dyDescent="0.25">
      <c r="A185" s="12" t="s">
        <v>644</v>
      </c>
      <c r="B185" s="11">
        <v>75.900000000000006</v>
      </c>
      <c r="C185" s="11">
        <v>74.7</v>
      </c>
      <c r="D185" s="11">
        <v>91</v>
      </c>
      <c r="E185" s="11">
        <v>75.400000000000006</v>
      </c>
      <c r="F185" s="11">
        <v>73.7</v>
      </c>
      <c r="G185" s="11">
        <v>62.9</v>
      </c>
      <c r="H185" s="11">
        <v>114</v>
      </c>
      <c r="I185" s="11">
        <v>66.599999999999994</v>
      </c>
      <c r="J185" s="11">
        <v>29.1</v>
      </c>
      <c r="K185" s="11">
        <v>86.3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</row>
    <row r="186" spans="1:60" ht="15.75" x14ac:dyDescent="0.25">
      <c r="A186" s="12" t="s">
        <v>645</v>
      </c>
      <c r="B186" s="11">
        <v>75.8</v>
      </c>
      <c r="C186" s="11">
        <v>74.400000000000006</v>
      </c>
      <c r="D186" s="11">
        <v>91</v>
      </c>
      <c r="E186" s="11">
        <v>75.2</v>
      </c>
      <c r="F186" s="11">
        <v>74.599999999999994</v>
      </c>
      <c r="G186" s="11">
        <v>60.6</v>
      </c>
      <c r="H186" s="11">
        <v>116</v>
      </c>
      <c r="I186" s="11">
        <v>66.900000000000006</v>
      </c>
      <c r="J186" s="11">
        <v>27.3</v>
      </c>
      <c r="K186" s="11">
        <v>89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</row>
    <row r="187" spans="1:60" ht="15.75" x14ac:dyDescent="0.25">
      <c r="A187" s="12" t="s">
        <v>646</v>
      </c>
      <c r="B187" s="11">
        <v>76.2</v>
      </c>
      <c r="C187" s="11">
        <v>74.8</v>
      </c>
      <c r="D187" s="11">
        <v>91.1</v>
      </c>
      <c r="E187" s="11">
        <v>76</v>
      </c>
      <c r="F187" s="11">
        <v>75.099999999999994</v>
      </c>
      <c r="G187" s="11">
        <v>62.5</v>
      </c>
      <c r="H187" s="11">
        <v>116</v>
      </c>
      <c r="I187" s="11">
        <v>66.900000000000006</v>
      </c>
      <c r="J187" s="11">
        <v>27.3</v>
      </c>
      <c r="K187" s="11">
        <v>88.7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</row>
    <row r="188" spans="1:60" ht="15.75" x14ac:dyDescent="0.25">
      <c r="A188" s="12" t="s">
        <v>647</v>
      </c>
      <c r="B188" s="11">
        <v>76.599999999999994</v>
      </c>
      <c r="C188" s="11">
        <v>75.3</v>
      </c>
      <c r="D188" s="11">
        <v>91.5</v>
      </c>
      <c r="E188" s="11">
        <v>76.599999999999994</v>
      </c>
      <c r="F188" s="11">
        <v>75.3</v>
      </c>
      <c r="G188" s="11">
        <v>62.3</v>
      </c>
      <c r="H188" s="11">
        <v>117.3</v>
      </c>
      <c r="I188" s="11">
        <v>68.099999999999994</v>
      </c>
      <c r="J188" s="11">
        <v>27.3</v>
      </c>
      <c r="K188" s="11">
        <v>88.7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</row>
    <row r="189" spans="1:60" ht="15.75" x14ac:dyDescent="0.25">
      <c r="A189" s="12" t="s">
        <v>648</v>
      </c>
      <c r="B189" s="11">
        <v>76.8</v>
      </c>
      <c r="C189" s="11">
        <v>75.099999999999994</v>
      </c>
      <c r="D189" s="11">
        <v>92.9</v>
      </c>
      <c r="E189" s="11">
        <v>75.900000000000006</v>
      </c>
      <c r="F189" s="11">
        <v>74.400000000000006</v>
      </c>
      <c r="G189" s="11">
        <v>65.2</v>
      </c>
      <c r="H189" s="11">
        <v>113.3</v>
      </c>
      <c r="I189" s="11">
        <v>66</v>
      </c>
      <c r="J189" s="11">
        <v>25.3</v>
      </c>
      <c r="K189" s="11">
        <v>92.5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</row>
    <row r="190" spans="1:60" ht="15.75" x14ac:dyDescent="0.25">
      <c r="A190" s="12" t="s">
        <v>649</v>
      </c>
      <c r="B190" s="11">
        <v>76.099999999999994</v>
      </c>
      <c r="C190" s="11">
        <v>74.099999999999994</v>
      </c>
      <c r="D190" s="11">
        <v>91</v>
      </c>
      <c r="E190" s="11">
        <v>75.599999999999994</v>
      </c>
      <c r="F190" s="11">
        <v>74.5</v>
      </c>
      <c r="G190" s="11">
        <v>63.3</v>
      </c>
      <c r="H190" s="11">
        <v>112.9</v>
      </c>
      <c r="I190" s="11">
        <v>66.900000000000006</v>
      </c>
      <c r="J190" s="11">
        <v>24.1</v>
      </c>
      <c r="K190" s="11">
        <v>96.5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</row>
    <row r="191" spans="1:60" ht="15.75" x14ac:dyDescent="0.25">
      <c r="A191" s="12" t="s">
        <v>650</v>
      </c>
      <c r="B191" s="11">
        <v>76</v>
      </c>
      <c r="C191" s="11">
        <v>74.2</v>
      </c>
      <c r="D191" s="11">
        <v>91.5</v>
      </c>
      <c r="E191" s="11">
        <v>75.599999999999994</v>
      </c>
      <c r="F191" s="11">
        <v>73.7</v>
      </c>
      <c r="G191" s="11">
        <v>63.5</v>
      </c>
      <c r="H191" s="11">
        <v>113.4</v>
      </c>
      <c r="I191" s="11">
        <v>67.2</v>
      </c>
      <c r="J191" s="11">
        <v>23</v>
      </c>
      <c r="K191" s="11">
        <v>94.7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</row>
    <row r="192" spans="1:60" ht="15.75" x14ac:dyDescent="0.25">
      <c r="A192" s="12" t="s">
        <v>651</v>
      </c>
      <c r="B192" s="11">
        <v>76.400000000000006</v>
      </c>
      <c r="C192" s="11">
        <v>74.5</v>
      </c>
      <c r="D192" s="11">
        <v>92</v>
      </c>
      <c r="E192" s="11">
        <v>76.099999999999994</v>
      </c>
      <c r="F192" s="11">
        <v>74.3</v>
      </c>
      <c r="G192" s="11">
        <v>64.5</v>
      </c>
      <c r="H192" s="11">
        <v>113.1</v>
      </c>
      <c r="I192" s="11">
        <v>67.3</v>
      </c>
      <c r="J192" s="11">
        <v>22.7</v>
      </c>
      <c r="K192" s="11">
        <v>95.7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</row>
    <row r="193" spans="1:60" ht="15.75" x14ac:dyDescent="0.25">
      <c r="A193" s="12" t="s">
        <v>652</v>
      </c>
      <c r="B193" s="11">
        <v>76.900000000000006</v>
      </c>
      <c r="C193" s="11">
        <v>75.5</v>
      </c>
      <c r="D193" s="11">
        <v>93.4</v>
      </c>
      <c r="E193" s="11">
        <v>76.7</v>
      </c>
      <c r="F193" s="11">
        <v>75.400000000000006</v>
      </c>
      <c r="G193" s="11">
        <v>64.400000000000006</v>
      </c>
      <c r="H193" s="11">
        <v>115.4</v>
      </c>
      <c r="I193" s="11">
        <v>67.3</v>
      </c>
      <c r="J193" s="11">
        <v>24.4</v>
      </c>
      <c r="K193" s="11">
        <v>88.8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</row>
    <row r="194" spans="1:60" ht="15.75" x14ac:dyDescent="0.25">
      <c r="A194" s="12" t="s">
        <v>653</v>
      </c>
      <c r="B194" s="11">
        <v>76.5</v>
      </c>
      <c r="C194" s="11">
        <v>74.8</v>
      </c>
      <c r="D194" s="11">
        <v>91.9</v>
      </c>
      <c r="E194" s="11">
        <v>76.400000000000006</v>
      </c>
      <c r="F194" s="11">
        <v>75.099999999999994</v>
      </c>
      <c r="G194" s="11">
        <v>62.6</v>
      </c>
      <c r="H194" s="11">
        <v>117.6</v>
      </c>
      <c r="I194" s="11">
        <v>67.2</v>
      </c>
      <c r="J194" s="11">
        <v>24.1</v>
      </c>
      <c r="K194" s="11">
        <v>92.9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</row>
    <row r="195" spans="1:60" ht="15.75" x14ac:dyDescent="0.25">
      <c r="A195" s="12" t="s">
        <v>654</v>
      </c>
      <c r="B195" s="11">
        <v>77.7</v>
      </c>
      <c r="C195" s="11">
        <v>75.900000000000006</v>
      </c>
      <c r="D195" s="11">
        <v>93.5</v>
      </c>
      <c r="E195" s="11">
        <v>77.3</v>
      </c>
      <c r="F195" s="11">
        <v>75.8</v>
      </c>
      <c r="G195" s="11">
        <v>65.099999999999994</v>
      </c>
      <c r="H195" s="11">
        <v>116.6</v>
      </c>
      <c r="I195" s="11">
        <v>67.8</v>
      </c>
      <c r="J195" s="11">
        <v>24</v>
      </c>
      <c r="K195" s="11">
        <v>95.9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</row>
    <row r="196" spans="1:60" ht="15.75" x14ac:dyDescent="0.25">
      <c r="A196" s="12" t="s">
        <v>655</v>
      </c>
      <c r="B196" s="11">
        <v>77.8</v>
      </c>
      <c r="C196" s="11">
        <v>75.8</v>
      </c>
      <c r="D196" s="11">
        <v>93.1</v>
      </c>
      <c r="E196" s="11">
        <v>77.400000000000006</v>
      </c>
      <c r="F196" s="11">
        <v>76.3</v>
      </c>
      <c r="G196" s="11">
        <v>65.5</v>
      </c>
      <c r="H196" s="11">
        <v>116.5</v>
      </c>
      <c r="I196" s="11">
        <v>67.400000000000006</v>
      </c>
      <c r="J196" s="11">
        <v>24.3</v>
      </c>
      <c r="K196" s="11">
        <v>97.3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</row>
    <row r="197" spans="1:60" ht="15.75" x14ac:dyDescent="0.25">
      <c r="A197" s="12" t="s">
        <v>656</v>
      </c>
      <c r="B197" s="11">
        <v>78</v>
      </c>
      <c r="C197" s="11">
        <v>75.900000000000006</v>
      </c>
      <c r="D197" s="11">
        <v>94.1</v>
      </c>
      <c r="E197" s="11">
        <v>77</v>
      </c>
      <c r="F197" s="11">
        <v>75.900000000000006</v>
      </c>
      <c r="G197" s="11">
        <v>63.4</v>
      </c>
      <c r="H197" s="11">
        <v>116.5</v>
      </c>
      <c r="I197" s="11">
        <v>68.400000000000006</v>
      </c>
      <c r="J197" s="11">
        <v>24.3</v>
      </c>
      <c r="K197" s="11">
        <v>98.8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</row>
    <row r="198" spans="1:60" ht="15.75" x14ac:dyDescent="0.25">
      <c r="A198" s="12" t="s">
        <v>657</v>
      </c>
      <c r="B198" s="11">
        <v>78.400000000000006</v>
      </c>
      <c r="C198" s="11">
        <v>76.5</v>
      </c>
      <c r="D198" s="11">
        <v>93.6</v>
      </c>
      <c r="E198" s="11">
        <v>78.2</v>
      </c>
      <c r="F198" s="11">
        <v>76</v>
      </c>
      <c r="G198" s="11">
        <v>66.2</v>
      </c>
      <c r="H198" s="11">
        <v>117.1</v>
      </c>
      <c r="I198" s="11">
        <v>69.2</v>
      </c>
      <c r="J198" s="11">
        <v>24.9</v>
      </c>
      <c r="K198" s="11">
        <v>97.9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</row>
    <row r="199" spans="1:60" ht="15.75" x14ac:dyDescent="0.25">
      <c r="A199" s="12" t="s">
        <v>658</v>
      </c>
      <c r="B199" s="11">
        <v>78.599999999999994</v>
      </c>
      <c r="C199" s="11">
        <v>76.7</v>
      </c>
      <c r="D199" s="11">
        <v>93.1</v>
      </c>
      <c r="E199" s="11">
        <v>78.900000000000006</v>
      </c>
      <c r="F199" s="11">
        <v>78.2</v>
      </c>
      <c r="G199" s="11">
        <v>65.900000000000006</v>
      </c>
      <c r="H199" s="11">
        <v>118.3</v>
      </c>
      <c r="I199" s="11">
        <v>69.5</v>
      </c>
      <c r="J199" s="11">
        <v>24.9</v>
      </c>
      <c r="K199" s="11">
        <v>97.4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</row>
    <row r="200" spans="1:60" ht="15.75" x14ac:dyDescent="0.25">
      <c r="A200" s="12" t="s">
        <v>659</v>
      </c>
      <c r="B200" s="11">
        <v>78.2</v>
      </c>
      <c r="C200" s="11">
        <v>76.400000000000006</v>
      </c>
      <c r="D200" s="11">
        <v>92.5</v>
      </c>
      <c r="E200" s="11">
        <v>78.599999999999994</v>
      </c>
      <c r="F200" s="11">
        <v>76.400000000000006</v>
      </c>
      <c r="G200" s="11">
        <v>65.3</v>
      </c>
      <c r="H200" s="11">
        <v>116.4</v>
      </c>
      <c r="I200" s="11">
        <v>71.2</v>
      </c>
      <c r="J200" s="11">
        <v>25.8</v>
      </c>
      <c r="K200" s="11">
        <v>95.9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</row>
    <row r="201" spans="1:60" ht="15.75" x14ac:dyDescent="0.25">
      <c r="A201" s="12" t="s">
        <v>660</v>
      </c>
      <c r="B201" s="11">
        <v>78.400000000000006</v>
      </c>
      <c r="C201" s="11">
        <v>76.900000000000006</v>
      </c>
      <c r="D201" s="11">
        <v>93.9</v>
      </c>
      <c r="E201" s="11">
        <v>78.8</v>
      </c>
      <c r="F201" s="11">
        <v>77</v>
      </c>
      <c r="G201" s="11">
        <v>66.2</v>
      </c>
      <c r="H201" s="11">
        <v>116.7</v>
      </c>
      <c r="I201" s="11">
        <v>70.5</v>
      </c>
      <c r="J201" s="11">
        <v>24.9</v>
      </c>
      <c r="K201" s="11">
        <v>92.7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</row>
    <row r="202" spans="1:60" ht="15.75" x14ac:dyDescent="0.25">
      <c r="A202" s="12" t="s">
        <v>661</v>
      </c>
      <c r="B202" s="11">
        <v>79.900000000000006</v>
      </c>
      <c r="C202" s="11">
        <v>78.5</v>
      </c>
      <c r="D202" s="11">
        <v>94.8</v>
      </c>
      <c r="E202" s="11">
        <v>80.900000000000006</v>
      </c>
      <c r="F202" s="11">
        <v>77.5</v>
      </c>
      <c r="G202" s="11">
        <v>68.3</v>
      </c>
      <c r="H202" s="11">
        <v>119.4</v>
      </c>
      <c r="I202" s="11">
        <v>73.2</v>
      </c>
      <c r="J202" s="11">
        <v>25.9</v>
      </c>
      <c r="K202" s="11">
        <v>92.8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</row>
    <row r="203" spans="1:60" ht="15.75" x14ac:dyDescent="0.25">
      <c r="A203" s="12" t="s">
        <v>662</v>
      </c>
      <c r="B203" s="11">
        <v>79.5</v>
      </c>
      <c r="C203" s="11">
        <v>78.099999999999994</v>
      </c>
      <c r="D203" s="11">
        <v>94.1</v>
      </c>
      <c r="E203" s="11">
        <v>80.7</v>
      </c>
      <c r="F203" s="11">
        <v>78</v>
      </c>
      <c r="G203" s="11">
        <v>67.7</v>
      </c>
      <c r="H203" s="11">
        <v>119.5</v>
      </c>
      <c r="I203" s="11">
        <v>72.7</v>
      </c>
      <c r="J203" s="11">
        <v>26.1</v>
      </c>
      <c r="K203" s="11">
        <v>92.1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</row>
    <row r="204" spans="1:60" ht="15.75" x14ac:dyDescent="0.25">
      <c r="A204" s="12" t="s">
        <v>663</v>
      </c>
      <c r="B204" s="11">
        <v>80.3</v>
      </c>
      <c r="C204" s="11">
        <v>78.900000000000006</v>
      </c>
      <c r="D204" s="11">
        <v>94.7</v>
      </c>
      <c r="E204" s="11">
        <v>81.8</v>
      </c>
      <c r="F204" s="11">
        <v>78.2</v>
      </c>
      <c r="G204" s="11">
        <v>69.3</v>
      </c>
      <c r="H204" s="11">
        <v>120.7</v>
      </c>
      <c r="I204" s="11">
        <v>73.7</v>
      </c>
      <c r="J204" s="11">
        <v>26.7</v>
      </c>
      <c r="K204" s="11">
        <v>92.6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</row>
    <row r="205" spans="1:60" ht="15.75" x14ac:dyDescent="0.25">
      <c r="A205" s="12" t="s">
        <v>664</v>
      </c>
      <c r="B205" s="11">
        <v>80.5</v>
      </c>
      <c r="C205" s="11">
        <v>78.900000000000006</v>
      </c>
      <c r="D205" s="11">
        <v>94.9</v>
      </c>
      <c r="E205" s="11">
        <v>81.5</v>
      </c>
      <c r="F205" s="11">
        <v>78</v>
      </c>
      <c r="G205" s="11">
        <v>69.599999999999994</v>
      </c>
      <c r="H205" s="11">
        <v>120.4</v>
      </c>
      <c r="I205" s="11">
        <v>73</v>
      </c>
      <c r="J205" s="11">
        <v>26.3</v>
      </c>
      <c r="K205" s="11">
        <v>96.1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</row>
    <row r="206" spans="1:60" ht="15.75" x14ac:dyDescent="0.25">
      <c r="A206" s="12" t="s">
        <v>665</v>
      </c>
      <c r="B206" s="11">
        <v>80.7</v>
      </c>
      <c r="C206" s="11">
        <v>79.5</v>
      </c>
      <c r="D206" s="11">
        <v>95.6</v>
      </c>
      <c r="E206" s="11">
        <v>82.2</v>
      </c>
      <c r="F206" s="11">
        <v>79.2</v>
      </c>
      <c r="G206" s="11">
        <v>70.3</v>
      </c>
      <c r="H206" s="11">
        <v>120.3</v>
      </c>
      <c r="I206" s="11">
        <v>73.7</v>
      </c>
      <c r="J206" s="11">
        <v>26.5</v>
      </c>
      <c r="K206" s="11">
        <v>91.2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</row>
    <row r="207" spans="1:60" ht="15.75" x14ac:dyDescent="0.25">
      <c r="A207" s="12" t="s">
        <v>666</v>
      </c>
      <c r="B207" s="11">
        <v>81.3</v>
      </c>
      <c r="C207" s="11">
        <v>79.7</v>
      </c>
      <c r="D207" s="11">
        <v>95.7</v>
      </c>
      <c r="E207" s="11">
        <v>82.5</v>
      </c>
      <c r="F207" s="11">
        <v>78.5</v>
      </c>
      <c r="G207" s="11">
        <v>69.900000000000006</v>
      </c>
      <c r="H207" s="11">
        <v>121</v>
      </c>
      <c r="I207" s="11">
        <v>74.900000000000006</v>
      </c>
      <c r="J207" s="11">
        <v>27.1</v>
      </c>
      <c r="K207" s="11">
        <v>95.6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</row>
    <row r="208" spans="1:60" ht="15.75" x14ac:dyDescent="0.25">
      <c r="A208" s="12" t="s">
        <v>667</v>
      </c>
      <c r="B208" s="11">
        <v>81.400000000000006</v>
      </c>
      <c r="C208" s="11">
        <v>79.8</v>
      </c>
      <c r="D208" s="11">
        <v>95.8</v>
      </c>
      <c r="E208" s="11">
        <v>82.6</v>
      </c>
      <c r="F208" s="11">
        <v>78.7</v>
      </c>
      <c r="G208" s="11">
        <v>68.900000000000006</v>
      </c>
      <c r="H208" s="11">
        <v>123.4</v>
      </c>
      <c r="I208" s="11">
        <v>75</v>
      </c>
      <c r="J208" s="11">
        <v>26.7</v>
      </c>
      <c r="K208" s="11">
        <v>96.4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</row>
    <row r="209" spans="1:60" ht="15.75" x14ac:dyDescent="0.25">
      <c r="A209" s="12" t="s">
        <v>668</v>
      </c>
      <c r="B209" s="11">
        <v>81.5</v>
      </c>
      <c r="C209" s="11">
        <v>79.8</v>
      </c>
      <c r="D209" s="11">
        <v>96.9</v>
      </c>
      <c r="E209" s="11">
        <v>82.3</v>
      </c>
      <c r="F209" s="11">
        <v>80.099999999999994</v>
      </c>
      <c r="G209" s="11">
        <v>71</v>
      </c>
      <c r="H209" s="11">
        <v>121.3</v>
      </c>
      <c r="I209" s="11">
        <v>72.3</v>
      </c>
      <c r="J209" s="11">
        <v>25.1</v>
      </c>
      <c r="K209" s="11">
        <v>98.8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</row>
    <row r="210" spans="1:60" ht="15.75" x14ac:dyDescent="0.25">
      <c r="A210" s="12" t="s">
        <v>669</v>
      </c>
      <c r="B210" s="11">
        <v>81.8</v>
      </c>
      <c r="C210" s="11">
        <v>80.2</v>
      </c>
      <c r="D210" s="11">
        <v>96.2</v>
      </c>
      <c r="E210" s="11">
        <v>83.1</v>
      </c>
      <c r="F210" s="11">
        <v>79.8</v>
      </c>
      <c r="G210" s="11">
        <v>70.5</v>
      </c>
      <c r="H210" s="11">
        <v>123.2</v>
      </c>
      <c r="I210" s="11">
        <v>74.3</v>
      </c>
      <c r="J210" s="11">
        <v>27</v>
      </c>
      <c r="K210" s="11">
        <v>96.8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</row>
    <row r="211" spans="1:60" ht="15.75" x14ac:dyDescent="0.25">
      <c r="A211" s="12" t="s">
        <v>670</v>
      </c>
      <c r="B211" s="11">
        <v>81.8</v>
      </c>
      <c r="C211" s="11">
        <v>79.599999999999994</v>
      </c>
      <c r="D211" s="11">
        <v>96.5</v>
      </c>
      <c r="E211" s="11">
        <v>82</v>
      </c>
      <c r="F211" s="11">
        <v>78.3</v>
      </c>
      <c r="G211" s="11">
        <v>71.599999999999994</v>
      </c>
      <c r="H211" s="11">
        <v>119.6</v>
      </c>
      <c r="I211" s="11">
        <v>72.8</v>
      </c>
      <c r="J211" s="11">
        <v>25.8</v>
      </c>
      <c r="K211" s="11">
        <v>103.7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</row>
    <row r="212" spans="1:60" ht="15.75" x14ac:dyDescent="0.25">
      <c r="A212" s="12" t="s">
        <v>671</v>
      </c>
      <c r="B212" s="11">
        <v>81.400000000000006</v>
      </c>
      <c r="C212" s="11">
        <v>79.900000000000006</v>
      </c>
      <c r="D212" s="11">
        <v>96.3</v>
      </c>
      <c r="E212" s="11">
        <v>82.6</v>
      </c>
      <c r="F212" s="11">
        <v>79.099999999999994</v>
      </c>
      <c r="G212" s="11">
        <v>71</v>
      </c>
      <c r="H212" s="11">
        <v>123.3</v>
      </c>
      <c r="I212" s="11">
        <v>72.8</v>
      </c>
      <c r="J212" s="11">
        <v>25.9</v>
      </c>
      <c r="K212" s="11">
        <v>95.1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</row>
    <row r="213" spans="1:60" ht="15.75" x14ac:dyDescent="0.25">
      <c r="A213" s="12" t="s">
        <v>672</v>
      </c>
      <c r="B213" s="11">
        <v>81</v>
      </c>
      <c r="C213" s="11">
        <v>79.599999999999994</v>
      </c>
      <c r="D213" s="11">
        <v>96.3</v>
      </c>
      <c r="E213" s="11">
        <v>81.7</v>
      </c>
      <c r="F213" s="11">
        <v>79</v>
      </c>
      <c r="G213" s="11">
        <v>69.5</v>
      </c>
      <c r="H213" s="11">
        <v>120.5</v>
      </c>
      <c r="I213" s="11">
        <v>73.099999999999994</v>
      </c>
      <c r="J213" s="11">
        <v>27</v>
      </c>
      <c r="K213" s="11">
        <v>94.3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</row>
    <row r="214" spans="1:60" ht="15.75" x14ac:dyDescent="0.25">
      <c r="A214" s="12" t="s">
        <v>673</v>
      </c>
      <c r="B214" s="11">
        <v>81.099999999999994</v>
      </c>
      <c r="C214" s="11">
        <v>80</v>
      </c>
      <c r="D214" s="11">
        <v>97.7</v>
      </c>
      <c r="E214" s="11">
        <v>81.8</v>
      </c>
      <c r="F214" s="11">
        <v>79.5</v>
      </c>
      <c r="G214" s="11">
        <v>70.3</v>
      </c>
      <c r="H214" s="11">
        <v>120.2</v>
      </c>
      <c r="I214" s="11">
        <v>72.400000000000006</v>
      </c>
      <c r="J214" s="11">
        <v>26.6</v>
      </c>
      <c r="K214" s="11">
        <v>90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</row>
    <row r="215" spans="1:60" ht="15.75" x14ac:dyDescent="0.25">
      <c r="A215" s="12" t="s">
        <v>674</v>
      </c>
      <c r="B215" s="11">
        <v>81.099999999999994</v>
      </c>
      <c r="C215" s="11">
        <v>79.7</v>
      </c>
      <c r="D215" s="11">
        <v>96.1</v>
      </c>
      <c r="E215" s="11">
        <v>82.1</v>
      </c>
      <c r="F215" s="11">
        <v>79.5</v>
      </c>
      <c r="G215" s="11">
        <v>72.2</v>
      </c>
      <c r="H215" s="11">
        <v>119</v>
      </c>
      <c r="I215" s="11">
        <v>72.099999999999994</v>
      </c>
      <c r="J215" s="11">
        <v>27.2</v>
      </c>
      <c r="K215" s="11">
        <v>94.3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</row>
    <row r="216" spans="1:60" ht="15.75" x14ac:dyDescent="0.25">
      <c r="A216" s="12" t="s">
        <v>675</v>
      </c>
      <c r="B216" s="11">
        <v>80.2</v>
      </c>
      <c r="C216" s="11">
        <v>78.900000000000006</v>
      </c>
      <c r="D216" s="11">
        <v>95.7</v>
      </c>
      <c r="E216" s="11">
        <v>81.2</v>
      </c>
      <c r="F216" s="11">
        <v>80.5</v>
      </c>
      <c r="G216" s="11">
        <v>70.3</v>
      </c>
      <c r="H216" s="11">
        <v>115.2</v>
      </c>
      <c r="I216" s="11">
        <v>72.8</v>
      </c>
      <c r="J216" s="11">
        <v>25.9</v>
      </c>
      <c r="K216" s="11">
        <v>91.7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</row>
    <row r="217" spans="1:60" ht="15.75" x14ac:dyDescent="0.25">
      <c r="A217" s="12" t="s">
        <v>676</v>
      </c>
      <c r="B217" s="11">
        <v>80.900000000000006</v>
      </c>
      <c r="C217" s="11">
        <v>79.599999999999994</v>
      </c>
      <c r="D217" s="11">
        <v>96.7</v>
      </c>
      <c r="E217" s="11">
        <v>81.8</v>
      </c>
      <c r="F217" s="11">
        <v>77.5</v>
      </c>
      <c r="G217" s="11">
        <v>71.8</v>
      </c>
      <c r="H217" s="11">
        <v>119.4</v>
      </c>
      <c r="I217" s="11">
        <v>72.5</v>
      </c>
      <c r="J217" s="11">
        <v>25.9</v>
      </c>
      <c r="K217" s="11">
        <v>93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</row>
    <row r="218" spans="1:60" ht="15.75" x14ac:dyDescent="0.25">
      <c r="A218" s="12" t="s">
        <v>677</v>
      </c>
      <c r="B218" s="11">
        <v>80.5</v>
      </c>
      <c r="C218" s="11">
        <v>79</v>
      </c>
      <c r="D218" s="11">
        <v>96.4</v>
      </c>
      <c r="E218" s="11">
        <v>81</v>
      </c>
      <c r="F218" s="11">
        <v>75.900000000000006</v>
      </c>
      <c r="G218" s="11">
        <v>71.400000000000006</v>
      </c>
      <c r="H218" s="11">
        <v>115.9</v>
      </c>
      <c r="I218" s="11">
        <v>73.2</v>
      </c>
      <c r="J218" s="11">
        <v>25.2</v>
      </c>
      <c r="K218" s="11">
        <v>95.2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</row>
    <row r="219" spans="1:60" ht="15.75" x14ac:dyDescent="0.25">
      <c r="A219" s="12" t="s">
        <v>678</v>
      </c>
      <c r="B219" s="11">
        <v>81</v>
      </c>
      <c r="C219" s="11">
        <v>79.3</v>
      </c>
      <c r="D219" s="11">
        <v>96.5</v>
      </c>
      <c r="E219" s="11">
        <v>81.7</v>
      </c>
      <c r="F219" s="11">
        <v>76.900000000000006</v>
      </c>
      <c r="G219" s="11">
        <v>72.900000000000006</v>
      </c>
      <c r="H219" s="11">
        <v>115.2</v>
      </c>
      <c r="I219" s="11">
        <v>73.599999999999994</v>
      </c>
      <c r="J219" s="11">
        <v>24.8</v>
      </c>
      <c r="K219" s="11">
        <v>97.2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</row>
    <row r="220" spans="1:60" ht="15.75" x14ac:dyDescent="0.25">
      <c r="A220" s="12" t="s">
        <v>679</v>
      </c>
      <c r="B220" s="11">
        <v>80.8</v>
      </c>
      <c r="C220" s="11">
        <v>79.2</v>
      </c>
      <c r="D220" s="11">
        <v>97</v>
      </c>
      <c r="E220" s="11">
        <v>81.2</v>
      </c>
      <c r="F220" s="11">
        <v>75.900000000000006</v>
      </c>
      <c r="G220" s="11">
        <v>71.400000000000006</v>
      </c>
      <c r="H220" s="11">
        <v>114</v>
      </c>
      <c r="I220" s="11">
        <v>74.8</v>
      </c>
      <c r="J220" s="11">
        <v>24.5</v>
      </c>
      <c r="K220" s="11">
        <v>95.3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</row>
    <row r="221" spans="1:60" ht="15.75" x14ac:dyDescent="0.25">
      <c r="A221" s="12" t="s">
        <v>680</v>
      </c>
      <c r="B221" s="11">
        <v>80.099999999999994</v>
      </c>
      <c r="C221" s="11">
        <v>79.099999999999994</v>
      </c>
      <c r="D221" s="11">
        <v>96.3</v>
      </c>
      <c r="E221" s="11">
        <v>81.5</v>
      </c>
      <c r="F221" s="11">
        <v>76.7</v>
      </c>
      <c r="G221" s="11">
        <v>71.3</v>
      </c>
      <c r="H221" s="11">
        <v>113.4</v>
      </c>
      <c r="I221" s="11">
        <v>75.5</v>
      </c>
      <c r="J221" s="11">
        <v>24.5</v>
      </c>
      <c r="K221" s="11">
        <v>88.6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</row>
    <row r="222" spans="1:60" ht="15.75" x14ac:dyDescent="0.25">
      <c r="A222" s="12" t="s">
        <v>681</v>
      </c>
      <c r="B222" s="11">
        <v>80.3</v>
      </c>
      <c r="C222" s="11">
        <v>79.3</v>
      </c>
      <c r="D222" s="11">
        <v>96.6</v>
      </c>
      <c r="E222" s="11">
        <v>81.900000000000006</v>
      </c>
      <c r="F222" s="11">
        <v>77.5</v>
      </c>
      <c r="G222" s="11">
        <v>71.599999999999994</v>
      </c>
      <c r="H222" s="11">
        <v>115.1</v>
      </c>
      <c r="I222" s="11">
        <v>75.099999999999994</v>
      </c>
      <c r="J222" s="11">
        <v>24.2</v>
      </c>
      <c r="K222" s="11">
        <v>87.1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</row>
    <row r="223" spans="1:60" ht="15.75" x14ac:dyDescent="0.25">
      <c r="A223" s="12" t="s">
        <v>682</v>
      </c>
      <c r="B223" s="11">
        <v>80.5</v>
      </c>
      <c r="C223" s="11">
        <v>79.8</v>
      </c>
      <c r="D223" s="11">
        <v>97.2</v>
      </c>
      <c r="E223" s="11">
        <v>82.2</v>
      </c>
      <c r="F223" s="11">
        <v>77.400000000000006</v>
      </c>
      <c r="G223" s="11">
        <v>71.5</v>
      </c>
      <c r="H223" s="11">
        <v>115.7</v>
      </c>
      <c r="I223" s="11">
        <v>75.8</v>
      </c>
      <c r="J223" s="11">
        <v>24.7</v>
      </c>
      <c r="K223" s="11">
        <v>85.3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</row>
    <row r="224" spans="1:60" ht="15.75" x14ac:dyDescent="0.25">
      <c r="A224" s="12" t="s">
        <v>683</v>
      </c>
      <c r="B224" s="11">
        <v>81.2</v>
      </c>
      <c r="C224" s="11">
        <v>80.400000000000006</v>
      </c>
      <c r="D224" s="11">
        <v>97.8</v>
      </c>
      <c r="E224" s="11">
        <v>83</v>
      </c>
      <c r="F224" s="11">
        <v>79.2</v>
      </c>
      <c r="G224" s="11">
        <v>74.900000000000006</v>
      </c>
      <c r="H224" s="11">
        <v>114.9</v>
      </c>
      <c r="I224" s="11">
        <v>74.7</v>
      </c>
      <c r="J224" s="11">
        <v>24.5</v>
      </c>
      <c r="K224" s="11">
        <v>87.1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</row>
    <row r="225" spans="1:60" ht="15.75" x14ac:dyDescent="0.25">
      <c r="A225" s="12" t="s">
        <v>684</v>
      </c>
      <c r="B225" s="11">
        <v>80.7</v>
      </c>
      <c r="C225" s="11">
        <v>79.8</v>
      </c>
      <c r="D225" s="11">
        <v>96.6</v>
      </c>
      <c r="E225" s="11">
        <v>82.6</v>
      </c>
      <c r="F225" s="11">
        <v>79.2</v>
      </c>
      <c r="G225" s="11">
        <v>73.2</v>
      </c>
      <c r="H225" s="11">
        <v>116.5</v>
      </c>
      <c r="I225" s="11">
        <v>74.2</v>
      </c>
      <c r="J225" s="11">
        <v>24.8</v>
      </c>
      <c r="K225" s="11">
        <v>87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</row>
    <row r="226" spans="1:60" ht="15.75" x14ac:dyDescent="0.25">
      <c r="A226" s="12" t="s">
        <v>685</v>
      </c>
      <c r="B226" s="11">
        <v>81.8</v>
      </c>
      <c r="C226" s="11">
        <v>79.7</v>
      </c>
      <c r="D226" s="11">
        <v>96.4</v>
      </c>
      <c r="E226" s="11">
        <v>82.7</v>
      </c>
      <c r="F226" s="11">
        <v>78.8</v>
      </c>
      <c r="G226" s="11">
        <v>72.599999999999994</v>
      </c>
      <c r="H226" s="11">
        <v>116.4</v>
      </c>
      <c r="I226" s="11">
        <v>75.099999999999994</v>
      </c>
      <c r="J226" s="11">
        <v>24.6</v>
      </c>
      <c r="K226" s="11">
        <v>101.5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</row>
    <row r="227" spans="1:60" ht="15.75" x14ac:dyDescent="0.25">
      <c r="A227" s="12" t="s">
        <v>686</v>
      </c>
      <c r="B227" s="11">
        <v>81.7</v>
      </c>
      <c r="C227" s="11">
        <v>79.7</v>
      </c>
      <c r="D227" s="11">
        <v>97.1</v>
      </c>
      <c r="E227" s="11">
        <v>82.2</v>
      </c>
      <c r="F227" s="11">
        <v>78.3</v>
      </c>
      <c r="G227" s="11">
        <v>73.900000000000006</v>
      </c>
      <c r="H227" s="11">
        <v>115.6</v>
      </c>
      <c r="I227" s="11">
        <v>73.5</v>
      </c>
      <c r="J227" s="11">
        <v>24.4</v>
      </c>
      <c r="K227" s="11">
        <v>100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</row>
    <row r="228" spans="1:60" ht="15.75" x14ac:dyDescent="0.25">
      <c r="A228" s="12" t="s">
        <v>687</v>
      </c>
      <c r="B228" s="11">
        <v>82.4</v>
      </c>
      <c r="C228" s="11">
        <v>80.2</v>
      </c>
      <c r="D228" s="11">
        <v>97.6</v>
      </c>
      <c r="E228" s="11">
        <v>82.3</v>
      </c>
      <c r="F228" s="11">
        <v>80.8</v>
      </c>
      <c r="G228" s="11">
        <v>74.5</v>
      </c>
      <c r="H228" s="11">
        <v>116.9</v>
      </c>
      <c r="I228" s="11">
        <v>71.2</v>
      </c>
      <c r="J228" s="11">
        <v>26.1</v>
      </c>
      <c r="K228" s="11">
        <v>104.2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</row>
    <row r="229" spans="1:60" ht="15.75" x14ac:dyDescent="0.25">
      <c r="A229" s="12" t="s">
        <v>688</v>
      </c>
      <c r="B229" s="11">
        <v>81.900000000000006</v>
      </c>
      <c r="C229" s="11">
        <v>80.2</v>
      </c>
      <c r="D229" s="11">
        <v>96.4</v>
      </c>
      <c r="E229" s="11">
        <v>83.6</v>
      </c>
      <c r="F229" s="11">
        <v>81.7</v>
      </c>
      <c r="G229" s="11">
        <v>75.2</v>
      </c>
      <c r="H229" s="11">
        <v>119.2</v>
      </c>
      <c r="I229" s="11">
        <v>72.400000000000006</v>
      </c>
      <c r="J229" s="11">
        <v>24.7</v>
      </c>
      <c r="K229" s="11">
        <v>98.3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</row>
    <row r="230" spans="1:60" ht="15.75" x14ac:dyDescent="0.25">
      <c r="A230" s="12" t="s">
        <v>689</v>
      </c>
      <c r="B230" s="11">
        <v>82.6</v>
      </c>
      <c r="C230" s="11">
        <v>80.7</v>
      </c>
      <c r="D230" s="11">
        <v>96.9</v>
      </c>
      <c r="E230" s="11">
        <v>84</v>
      </c>
      <c r="F230" s="11">
        <v>80.8</v>
      </c>
      <c r="G230" s="11">
        <v>77.099999999999994</v>
      </c>
      <c r="H230" s="11">
        <v>119.1</v>
      </c>
      <c r="I230" s="11">
        <v>72.7</v>
      </c>
      <c r="J230" s="11">
        <v>25.1</v>
      </c>
      <c r="K230" s="11">
        <v>100.9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</row>
    <row r="231" spans="1:60" ht="15.75" x14ac:dyDescent="0.25">
      <c r="A231" s="12" t="s">
        <v>690</v>
      </c>
      <c r="B231" s="11">
        <v>82.9</v>
      </c>
      <c r="C231" s="11">
        <v>81</v>
      </c>
      <c r="D231" s="11">
        <v>98.5</v>
      </c>
      <c r="E231" s="11">
        <v>83.5</v>
      </c>
      <c r="F231" s="11">
        <v>78.2</v>
      </c>
      <c r="G231" s="11">
        <v>76.099999999999994</v>
      </c>
      <c r="H231" s="11">
        <v>120.5</v>
      </c>
      <c r="I231" s="11">
        <v>72.8</v>
      </c>
      <c r="J231" s="11">
        <v>25.4</v>
      </c>
      <c r="K231" s="11">
        <v>100.3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</row>
    <row r="232" spans="1:60" ht="15.75" x14ac:dyDescent="0.25">
      <c r="A232" s="12" t="s">
        <v>691</v>
      </c>
      <c r="B232" s="11">
        <v>82.7</v>
      </c>
      <c r="C232" s="11">
        <v>80.900000000000006</v>
      </c>
      <c r="D232" s="11">
        <v>99.2</v>
      </c>
      <c r="E232" s="11">
        <v>83.2</v>
      </c>
      <c r="F232" s="11">
        <v>80.2</v>
      </c>
      <c r="G232" s="11">
        <v>77.400000000000006</v>
      </c>
      <c r="H232" s="11">
        <v>115.3</v>
      </c>
      <c r="I232" s="11">
        <v>72.3</v>
      </c>
      <c r="J232" s="11">
        <v>23.7</v>
      </c>
      <c r="K232" s="11">
        <v>100.4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</row>
    <row r="233" spans="1:60" ht="15.75" x14ac:dyDescent="0.25">
      <c r="A233" s="12" t="s">
        <v>692</v>
      </c>
      <c r="B233" s="11">
        <v>82.8</v>
      </c>
      <c r="C233" s="11">
        <v>81</v>
      </c>
      <c r="D233" s="11">
        <v>97.6</v>
      </c>
      <c r="E233" s="11">
        <v>84.1</v>
      </c>
      <c r="F233" s="11">
        <v>80.5</v>
      </c>
      <c r="G233" s="11">
        <v>76.8</v>
      </c>
      <c r="H233" s="11">
        <v>120.2</v>
      </c>
      <c r="I233" s="11">
        <v>72.7</v>
      </c>
      <c r="J233" s="11">
        <v>25.9</v>
      </c>
      <c r="K233" s="11">
        <v>99.4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</row>
    <row r="234" spans="1:60" ht="15.75" x14ac:dyDescent="0.25">
      <c r="A234" s="12" t="s">
        <v>693</v>
      </c>
      <c r="B234" s="11">
        <v>82.5</v>
      </c>
      <c r="C234" s="11">
        <v>80.5</v>
      </c>
      <c r="D234" s="11">
        <v>97.8</v>
      </c>
      <c r="E234" s="11">
        <v>83</v>
      </c>
      <c r="F234" s="11">
        <v>79.3</v>
      </c>
      <c r="G234" s="11">
        <v>75.099999999999994</v>
      </c>
      <c r="H234" s="11">
        <v>118.1</v>
      </c>
      <c r="I234" s="11">
        <v>72.7</v>
      </c>
      <c r="J234" s="11">
        <v>25.3</v>
      </c>
      <c r="K234" s="11">
        <v>101.9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</row>
    <row r="235" spans="1:60" ht="15.75" x14ac:dyDescent="0.25">
      <c r="A235" s="12" t="s">
        <v>694</v>
      </c>
      <c r="B235" s="11">
        <v>83.6</v>
      </c>
      <c r="C235" s="11">
        <v>81.599999999999994</v>
      </c>
      <c r="D235" s="11">
        <v>98</v>
      </c>
      <c r="E235" s="11">
        <v>84.9</v>
      </c>
      <c r="F235" s="11">
        <v>81</v>
      </c>
      <c r="G235" s="11">
        <v>78.5</v>
      </c>
      <c r="H235" s="11">
        <v>119.2</v>
      </c>
      <c r="I235" s="11">
        <v>73.900000000000006</v>
      </c>
      <c r="J235" s="11">
        <v>25.6</v>
      </c>
      <c r="K235" s="11">
        <v>102.7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</row>
    <row r="236" spans="1:60" ht="15.75" x14ac:dyDescent="0.25">
      <c r="A236" s="12" t="s">
        <v>695</v>
      </c>
      <c r="B236" s="11">
        <v>83.7</v>
      </c>
      <c r="C236" s="11">
        <v>81.7</v>
      </c>
      <c r="D236" s="11">
        <v>98</v>
      </c>
      <c r="E236" s="11">
        <v>85.2</v>
      </c>
      <c r="F236" s="11">
        <v>80.7</v>
      </c>
      <c r="G236" s="11">
        <v>79.400000000000006</v>
      </c>
      <c r="H236" s="11">
        <v>120.4</v>
      </c>
      <c r="I236" s="11">
        <v>73.599999999999994</v>
      </c>
      <c r="J236" s="11">
        <v>25.6</v>
      </c>
      <c r="K236" s="11">
        <v>101.9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</row>
    <row r="237" spans="1:60" ht="15.75" x14ac:dyDescent="0.25">
      <c r="A237" s="12" t="s">
        <v>696</v>
      </c>
      <c r="B237" s="11">
        <v>84.3</v>
      </c>
      <c r="C237" s="11">
        <v>82.8</v>
      </c>
      <c r="D237" s="11">
        <v>98.9</v>
      </c>
      <c r="E237" s="11">
        <v>86.7</v>
      </c>
      <c r="F237" s="11">
        <v>82.3</v>
      </c>
      <c r="G237" s="11">
        <v>79.8</v>
      </c>
      <c r="H237" s="11">
        <v>124</v>
      </c>
      <c r="I237" s="11">
        <v>74.900000000000006</v>
      </c>
      <c r="J237" s="11">
        <v>25.6</v>
      </c>
      <c r="K237" s="11">
        <v>97.5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</row>
    <row r="238" spans="1:60" ht="15.75" x14ac:dyDescent="0.25">
      <c r="A238" s="12" t="s">
        <v>697</v>
      </c>
      <c r="B238" s="11">
        <v>83.7</v>
      </c>
      <c r="C238" s="11">
        <v>81.599999999999994</v>
      </c>
      <c r="D238" s="11">
        <v>98.6</v>
      </c>
      <c r="E238" s="11">
        <v>84.5</v>
      </c>
      <c r="F238" s="11">
        <v>81.599999999999994</v>
      </c>
      <c r="G238" s="11">
        <v>74.599999999999994</v>
      </c>
      <c r="H238" s="11">
        <v>123</v>
      </c>
      <c r="I238" s="11">
        <v>74</v>
      </c>
      <c r="J238" s="11">
        <v>25.8</v>
      </c>
      <c r="K238" s="11">
        <v>103.1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</row>
    <row r="239" spans="1:60" ht="15.75" x14ac:dyDescent="0.25">
      <c r="A239" s="12" t="s">
        <v>698</v>
      </c>
      <c r="B239" s="11">
        <v>84.6</v>
      </c>
      <c r="C239" s="11">
        <v>82.7</v>
      </c>
      <c r="D239" s="11">
        <v>98.8</v>
      </c>
      <c r="E239" s="11">
        <v>86.5</v>
      </c>
      <c r="F239" s="11">
        <v>81</v>
      </c>
      <c r="G239" s="11">
        <v>79.5</v>
      </c>
      <c r="H239" s="11">
        <v>124.7</v>
      </c>
      <c r="I239" s="11">
        <v>74.7</v>
      </c>
      <c r="J239" s="11">
        <v>25.9</v>
      </c>
      <c r="K239" s="11">
        <v>103.1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</row>
    <row r="240" spans="1:60" ht="15.75" x14ac:dyDescent="0.25">
      <c r="A240" s="12" t="s">
        <v>699</v>
      </c>
      <c r="B240" s="11">
        <v>85</v>
      </c>
      <c r="C240" s="11">
        <v>82.9</v>
      </c>
      <c r="D240" s="11">
        <v>98.6</v>
      </c>
      <c r="E240" s="11">
        <v>87.1</v>
      </c>
      <c r="F240" s="11">
        <v>82.3</v>
      </c>
      <c r="G240" s="11">
        <v>80.2</v>
      </c>
      <c r="H240" s="11">
        <v>124.3</v>
      </c>
      <c r="I240" s="11">
        <v>75.5</v>
      </c>
      <c r="J240" s="11">
        <v>25.6</v>
      </c>
      <c r="K240" s="11">
        <v>104.8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</row>
    <row r="241" spans="1:60" ht="15.75" x14ac:dyDescent="0.25">
      <c r="A241" s="12" t="s">
        <v>700</v>
      </c>
      <c r="B241" s="11">
        <v>85.4</v>
      </c>
      <c r="C241" s="11">
        <v>82.9</v>
      </c>
      <c r="D241" s="11">
        <v>98.8</v>
      </c>
      <c r="E241" s="11">
        <v>86.9</v>
      </c>
      <c r="F241" s="11">
        <v>81.3</v>
      </c>
      <c r="G241" s="11">
        <v>83</v>
      </c>
      <c r="H241" s="11">
        <v>121</v>
      </c>
      <c r="I241" s="11">
        <v>74.7</v>
      </c>
      <c r="J241" s="11">
        <v>26</v>
      </c>
      <c r="K241" s="11">
        <v>109.8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</row>
    <row r="242" spans="1:60" ht="15.75" x14ac:dyDescent="0.25">
      <c r="A242" s="12" t="s">
        <v>701</v>
      </c>
      <c r="B242" s="11">
        <v>84.8</v>
      </c>
      <c r="C242" s="11">
        <v>82.7</v>
      </c>
      <c r="D242" s="11">
        <v>98.6</v>
      </c>
      <c r="E242" s="11">
        <v>86.7</v>
      </c>
      <c r="F242" s="11">
        <v>81.2</v>
      </c>
      <c r="G242" s="11">
        <v>79.599999999999994</v>
      </c>
      <c r="H242" s="11">
        <v>123.1</v>
      </c>
      <c r="I242" s="11">
        <v>76</v>
      </c>
      <c r="J242" s="11">
        <v>26.1</v>
      </c>
      <c r="K242" s="11">
        <v>103.8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</row>
    <row r="243" spans="1:60" ht="15.75" x14ac:dyDescent="0.25">
      <c r="A243" s="12" t="s">
        <v>702</v>
      </c>
      <c r="B243" s="11">
        <v>84.8</v>
      </c>
      <c r="C243" s="11">
        <v>82.7</v>
      </c>
      <c r="D243" s="11">
        <v>97.6</v>
      </c>
      <c r="E243" s="11">
        <v>87.3</v>
      </c>
      <c r="F243" s="11">
        <v>83.6</v>
      </c>
      <c r="G243" s="11">
        <v>79.099999999999994</v>
      </c>
      <c r="H243" s="11">
        <v>123.9</v>
      </c>
      <c r="I243" s="11">
        <v>76.400000000000006</v>
      </c>
      <c r="J243" s="11">
        <v>26.4</v>
      </c>
      <c r="K243" s="11">
        <v>104.6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</row>
    <row r="244" spans="1:60" ht="15.75" x14ac:dyDescent="0.25">
      <c r="A244" s="12" t="s">
        <v>703</v>
      </c>
      <c r="B244" s="11">
        <v>84.8</v>
      </c>
      <c r="C244" s="11">
        <v>82.8</v>
      </c>
      <c r="D244" s="11">
        <v>97.9</v>
      </c>
      <c r="E244" s="11">
        <v>87.4</v>
      </c>
      <c r="F244" s="11">
        <v>84.7</v>
      </c>
      <c r="G244" s="11">
        <v>78.8</v>
      </c>
      <c r="H244" s="11">
        <v>125.5</v>
      </c>
      <c r="I244" s="11">
        <v>75.599999999999994</v>
      </c>
      <c r="J244" s="11">
        <v>26.2</v>
      </c>
      <c r="K244" s="11">
        <v>103.4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</row>
    <row r="245" spans="1:60" ht="15.75" x14ac:dyDescent="0.25">
      <c r="A245" s="12" t="s">
        <v>704</v>
      </c>
      <c r="B245" s="11">
        <v>85.5</v>
      </c>
      <c r="C245" s="11">
        <v>83.5</v>
      </c>
      <c r="D245" s="11">
        <v>99.9</v>
      </c>
      <c r="E245" s="11">
        <v>87.3</v>
      </c>
      <c r="F245" s="11">
        <v>84.1</v>
      </c>
      <c r="G245" s="11">
        <v>80.3</v>
      </c>
      <c r="H245" s="11">
        <v>122.8</v>
      </c>
      <c r="I245" s="11">
        <v>75.8</v>
      </c>
      <c r="J245" s="11">
        <v>26</v>
      </c>
      <c r="K245" s="11">
        <v>104.6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</row>
    <row r="246" spans="1:60" ht="15.75" x14ac:dyDescent="0.25">
      <c r="A246" s="12" t="s">
        <v>705</v>
      </c>
      <c r="B246" s="11">
        <v>85.4</v>
      </c>
      <c r="C246" s="11">
        <v>83.3</v>
      </c>
      <c r="D246" s="11">
        <v>98.9</v>
      </c>
      <c r="E246" s="11">
        <v>87.7</v>
      </c>
      <c r="F246" s="11">
        <v>84.5</v>
      </c>
      <c r="G246" s="11">
        <v>82</v>
      </c>
      <c r="H246" s="11">
        <v>121.1</v>
      </c>
      <c r="I246" s="11">
        <v>76.099999999999994</v>
      </c>
      <c r="J246" s="11">
        <v>25.8</v>
      </c>
      <c r="K246" s="11">
        <v>105.3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</row>
    <row r="247" spans="1:60" ht="15.75" x14ac:dyDescent="0.25">
      <c r="A247" s="12" t="s">
        <v>706</v>
      </c>
      <c r="B247" s="11">
        <v>84.8</v>
      </c>
      <c r="C247" s="11">
        <v>82.8</v>
      </c>
      <c r="D247" s="11">
        <v>98.2</v>
      </c>
      <c r="E247" s="11">
        <v>87</v>
      </c>
      <c r="F247" s="11">
        <v>85.3</v>
      </c>
      <c r="G247" s="11">
        <v>79.599999999999994</v>
      </c>
      <c r="H247" s="11">
        <v>121.4</v>
      </c>
      <c r="I247" s="11">
        <v>75.8</v>
      </c>
      <c r="J247" s="11">
        <v>26</v>
      </c>
      <c r="K247" s="11">
        <v>104.7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</row>
    <row r="248" spans="1:60" ht="15.75" x14ac:dyDescent="0.25">
      <c r="A248" s="12" t="s">
        <v>707</v>
      </c>
      <c r="B248" s="11">
        <v>84.8</v>
      </c>
      <c r="C248" s="11">
        <v>82.7</v>
      </c>
      <c r="D248" s="11">
        <v>98.5</v>
      </c>
      <c r="E248" s="11">
        <v>86.7</v>
      </c>
      <c r="F248" s="11">
        <v>84.9</v>
      </c>
      <c r="G248" s="11">
        <v>79.5</v>
      </c>
      <c r="H248" s="11">
        <v>119</v>
      </c>
      <c r="I248" s="11">
        <v>76.099999999999994</v>
      </c>
      <c r="J248" s="11">
        <v>26.3</v>
      </c>
      <c r="K248" s="11">
        <v>104.3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</row>
    <row r="249" spans="1:60" ht="15.75" x14ac:dyDescent="0.25">
      <c r="A249" s="12" t="s">
        <v>708</v>
      </c>
      <c r="B249" s="11">
        <v>85</v>
      </c>
      <c r="C249" s="11">
        <v>82.8</v>
      </c>
      <c r="D249" s="11">
        <v>98.5</v>
      </c>
      <c r="E249" s="11">
        <v>87.1</v>
      </c>
      <c r="F249" s="11">
        <v>82.1</v>
      </c>
      <c r="G249" s="11">
        <v>80.400000000000006</v>
      </c>
      <c r="H249" s="11">
        <v>121.5</v>
      </c>
      <c r="I249" s="11">
        <v>76.7</v>
      </c>
      <c r="J249" s="11">
        <v>25.4</v>
      </c>
      <c r="K249" s="11">
        <v>106.2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</row>
    <row r="250" spans="1:60" ht="15.75" x14ac:dyDescent="0.25">
      <c r="A250" s="12" t="s">
        <v>709</v>
      </c>
      <c r="B250" s="11">
        <v>84.8</v>
      </c>
      <c r="C250" s="11">
        <v>82.8</v>
      </c>
      <c r="D250" s="11">
        <v>98.9</v>
      </c>
      <c r="E250" s="11">
        <v>86.5</v>
      </c>
      <c r="F250" s="11">
        <v>81.5</v>
      </c>
      <c r="G250" s="11">
        <v>78.5</v>
      </c>
      <c r="H250" s="11">
        <v>122.2</v>
      </c>
      <c r="I250" s="11">
        <v>76.8</v>
      </c>
      <c r="J250" s="11">
        <v>26.1</v>
      </c>
      <c r="K250" s="11">
        <v>103.4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</row>
    <row r="251" spans="1:60" ht="15.75" x14ac:dyDescent="0.25">
      <c r="A251" s="12" t="s">
        <v>710</v>
      </c>
      <c r="B251" s="11">
        <v>86</v>
      </c>
      <c r="C251" s="11">
        <v>84.2</v>
      </c>
      <c r="D251" s="11">
        <v>99.5</v>
      </c>
      <c r="E251" s="11">
        <v>88.9</v>
      </c>
      <c r="F251" s="11">
        <v>82.4</v>
      </c>
      <c r="G251" s="11">
        <v>83.8</v>
      </c>
      <c r="H251" s="11">
        <v>120.1</v>
      </c>
      <c r="I251" s="11">
        <v>79.5</v>
      </c>
      <c r="J251" s="11">
        <v>26.6</v>
      </c>
      <c r="K251" s="11">
        <v>102.5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</row>
    <row r="252" spans="1:60" ht="15.75" x14ac:dyDescent="0.25">
      <c r="A252" s="12" t="s">
        <v>711</v>
      </c>
      <c r="B252" s="11">
        <v>84.3</v>
      </c>
      <c r="C252" s="11">
        <v>82.4</v>
      </c>
      <c r="D252" s="11">
        <v>98</v>
      </c>
      <c r="E252" s="11">
        <v>86.5</v>
      </c>
      <c r="F252" s="11">
        <v>79.8</v>
      </c>
      <c r="G252" s="11">
        <v>79.7</v>
      </c>
      <c r="H252" s="11">
        <v>118</v>
      </c>
      <c r="I252" s="11">
        <v>78.8</v>
      </c>
      <c r="J252" s="11">
        <v>26</v>
      </c>
      <c r="K252" s="11">
        <v>102.2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</row>
    <row r="253" spans="1:60" ht="15.75" x14ac:dyDescent="0.25">
      <c r="A253" s="12" t="s">
        <v>712</v>
      </c>
      <c r="B253" s="11">
        <v>84.3</v>
      </c>
      <c r="C253" s="11">
        <v>82.3</v>
      </c>
      <c r="D253" s="11">
        <v>97.3</v>
      </c>
      <c r="E253" s="11">
        <v>87</v>
      </c>
      <c r="F253" s="11">
        <v>80.099999999999994</v>
      </c>
      <c r="G253" s="11">
        <v>78.900000000000006</v>
      </c>
      <c r="H253" s="11">
        <v>122.4</v>
      </c>
      <c r="I253" s="11">
        <v>78.5</v>
      </c>
      <c r="J253" s="11">
        <v>25.6</v>
      </c>
      <c r="K253" s="11">
        <v>102.7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</row>
    <row r="254" spans="1:60" ht="15.75" x14ac:dyDescent="0.25">
      <c r="A254" s="12" t="s">
        <v>713</v>
      </c>
      <c r="B254" s="11">
        <v>86.1</v>
      </c>
      <c r="C254" s="11">
        <v>84.4</v>
      </c>
      <c r="D254" s="11">
        <v>99.1</v>
      </c>
      <c r="E254" s="11">
        <v>90</v>
      </c>
      <c r="F254" s="11">
        <v>80.099999999999994</v>
      </c>
      <c r="G254" s="11">
        <v>88.4</v>
      </c>
      <c r="H254" s="11">
        <v>120.6</v>
      </c>
      <c r="I254" s="11">
        <v>79.8</v>
      </c>
      <c r="J254" s="11">
        <v>25.4</v>
      </c>
      <c r="K254" s="11">
        <v>101.4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</row>
    <row r="255" spans="1:60" ht="15.75" x14ac:dyDescent="0.25">
      <c r="A255" s="12" t="s">
        <v>714</v>
      </c>
      <c r="B255" s="11">
        <v>83.2</v>
      </c>
      <c r="C255" s="11">
        <v>81.5</v>
      </c>
      <c r="D255" s="11">
        <v>96.3</v>
      </c>
      <c r="E255" s="11">
        <v>86.2</v>
      </c>
      <c r="F255" s="11">
        <v>78.7</v>
      </c>
      <c r="G255" s="11">
        <v>80.099999999999994</v>
      </c>
      <c r="H255" s="11">
        <v>117.4</v>
      </c>
      <c r="I255" s="11">
        <v>78.2</v>
      </c>
      <c r="J255" s="11">
        <v>25.3</v>
      </c>
      <c r="K255" s="11">
        <v>98.7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</row>
    <row r="256" spans="1:60" ht="15.75" x14ac:dyDescent="0.25">
      <c r="A256" s="12" t="s">
        <v>715</v>
      </c>
      <c r="B256" s="11">
        <v>83.2</v>
      </c>
      <c r="C256" s="11">
        <v>81.3</v>
      </c>
      <c r="D256" s="11">
        <v>96.7</v>
      </c>
      <c r="E256" s="11">
        <v>85.7</v>
      </c>
      <c r="F256" s="11">
        <v>78.599999999999994</v>
      </c>
      <c r="G256" s="11">
        <v>80.8</v>
      </c>
      <c r="H256" s="11">
        <v>115.3</v>
      </c>
      <c r="I256" s="11">
        <v>77.5</v>
      </c>
      <c r="J256" s="11">
        <v>24.3</v>
      </c>
      <c r="K256" s="11">
        <v>101.6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</row>
    <row r="257" spans="1:60" ht="15.75" x14ac:dyDescent="0.25">
      <c r="A257" s="12" t="s">
        <v>716</v>
      </c>
      <c r="B257" s="11">
        <v>83.2</v>
      </c>
      <c r="C257" s="11">
        <v>81.400000000000006</v>
      </c>
      <c r="D257" s="11">
        <v>95.9</v>
      </c>
      <c r="E257" s="11">
        <v>86.3</v>
      </c>
      <c r="F257" s="11">
        <v>78.5</v>
      </c>
      <c r="G257" s="11">
        <v>82.5</v>
      </c>
      <c r="H257" s="11">
        <v>116.2</v>
      </c>
      <c r="I257" s="11">
        <v>77.3</v>
      </c>
      <c r="J257" s="11">
        <v>25.1</v>
      </c>
      <c r="K257" s="11">
        <v>100.8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</row>
    <row r="258" spans="1:60" ht="15.75" x14ac:dyDescent="0.25">
      <c r="A258" s="12" t="s">
        <v>717</v>
      </c>
      <c r="B258" s="11">
        <v>83.4</v>
      </c>
      <c r="C258" s="11">
        <v>81.599999999999994</v>
      </c>
      <c r="D258" s="11">
        <v>96.1</v>
      </c>
      <c r="E258" s="11">
        <v>86.3</v>
      </c>
      <c r="F258" s="11">
        <v>78.099999999999994</v>
      </c>
      <c r="G258" s="11">
        <v>83.7</v>
      </c>
      <c r="H258" s="11">
        <v>112.9</v>
      </c>
      <c r="I258" s="11">
        <v>78.2</v>
      </c>
      <c r="J258" s="11">
        <v>25.7</v>
      </c>
      <c r="K258" s="11">
        <v>100.9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</row>
    <row r="259" spans="1:60" ht="15.75" x14ac:dyDescent="0.25">
      <c r="A259" s="12" t="s">
        <v>718</v>
      </c>
      <c r="B259" s="11">
        <v>82.8</v>
      </c>
      <c r="C259" s="11">
        <v>81.099999999999994</v>
      </c>
      <c r="D259" s="11">
        <v>97</v>
      </c>
      <c r="E259" s="11">
        <v>84.5</v>
      </c>
      <c r="F259" s="11">
        <v>77.7</v>
      </c>
      <c r="G259" s="11">
        <v>81.900000000000006</v>
      </c>
      <c r="H259" s="11">
        <v>110.1</v>
      </c>
      <c r="I259" s="11">
        <v>76.2</v>
      </c>
      <c r="J259" s="11">
        <v>25.7</v>
      </c>
      <c r="K259" s="11">
        <v>99.4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</row>
    <row r="260" spans="1:60" ht="15.75" x14ac:dyDescent="0.25">
      <c r="A260" s="12" t="s">
        <v>719</v>
      </c>
      <c r="B260" s="11">
        <v>83.2</v>
      </c>
      <c r="C260" s="11">
        <v>81.3</v>
      </c>
      <c r="D260" s="11">
        <v>96.6</v>
      </c>
      <c r="E260" s="11">
        <v>85</v>
      </c>
      <c r="F260" s="11">
        <v>78</v>
      </c>
      <c r="G260" s="11">
        <v>83.4</v>
      </c>
      <c r="H260" s="11">
        <v>112.1</v>
      </c>
      <c r="I260" s="11">
        <v>75.3</v>
      </c>
      <c r="J260" s="11">
        <v>26.9</v>
      </c>
      <c r="K260" s="11">
        <v>100.6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</row>
    <row r="261" spans="1:60" ht="15.75" x14ac:dyDescent="0.25">
      <c r="A261" s="12" t="s">
        <v>720</v>
      </c>
      <c r="B261" s="11">
        <v>83</v>
      </c>
      <c r="C261" s="11">
        <v>81.5</v>
      </c>
      <c r="D261" s="11">
        <v>95.8</v>
      </c>
      <c r="E261" s="11">
        <v>85.9</v>
      </c>
      <c r="F261" s="11">
        <v>81.3</v>
      </c>
      <c r="G261" s="11">
        <v>82.7</v>
      </c>
      <c r="H261" s="11">
        <v>112</v>
      </c>
      <c r="I261" s="11">
        <v>76.5</v>
      </c>
      <c r="J261" s="11">
        <v>27.2</v>
      </c>
      <c r="K261" s="11">
        <v>97.3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</row>
    <row r="262" spans="1:60" ht="15.75" x14ac:dyDescent="0.25">
      <c r="A262" s="12" t="s">
        <v>721</v>
      </c>
      <c r="B262" s="11">
        <v>84.2</v>
      </c>
      <c r="C262" s="11">
        <v>82</v>
      </c>
      <c r="D262" s="11">
        <v>97.1</v>
      </c>
      <c r="E262" s="11">
        <v>86.3</v>
      </c>
      <c r="F262" s="11">
        <v>78.900000000000006</v>
      </c>
      <c r="G262" s="11">
        <v>86.1</v>
      </c>
      <c r="H262" s="11">
        <v>112.4</v>
      </c>
      <c r="I262" s="11">
        <v>75.900000000000006</v>
      </c>
      <c r="J262" s="11">
        <v>26.4</v>
      </c>
      <c r="K262" s="11">
        <v>104.9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</row>
    <row r="263" spans="1:60" ht="15.75" x14ac:dyDescent="0.25">
      <c r="A263" s="12" t="s">
        <v>722</v>
      </c>
      <c r="B263" s="11">
        <v>82.6</v>
      </c>
      <c r="C263" s="11">
        <v>80.8</v>
      </c>
      <c r="D263" s="11">
        <v>97.4</v>
      </c>
      <c r="E263" s="11">
        <v>83.9</v>
      </c>
      <c r="F263" s="11">
        <v>76.3</v>
      </c>
      <c r="G263" s="11">
        <v>85.1</v>
      </c>
      <c r="H263" s="11">
        <v>108.3</v>
      </c>
      <c r="I263" s="11">
        <v>73.5</v>
      </c>
      <c r="J263" s="11">
        <v>24.9</v>
      </c>
      <c r="K263" s="11">
        <v>99.6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</row>
    <row r="264" spans="1:60" ht="15.75" x14ac:dyDescent="0.25">
      <c r="A264" s="12" t="s">
        <v>723</v>
      </c>
      <c r="B264" s="11">
        <v>83.5</v>
      </c>
      <c r="C264" s="11">
        <v>81.8</v>
      </c>
      <c r="D264" s="11">
        <v>97.9</v>
      </c>
      <c r="E264" s="11">
        <v>85</v>
      </c>
      <c r="F264" s="11">
        <v>79.3</v>
      </c>
      <c r="G264" s="11">
        <v>86.4</v>
      </c>
      <c r="H264" s="11">
        <v>107.6</v>
      </c>
      <c r="I264" s="11">
        <v>74.400000000000006</v>
      </c>
      <c r="J264" s="11">
        <v>27</v>
      </c>
      <c r="K264" s="11">
        <v>98.9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</row>
    <row r="265" spans="1:60" ht="15.75" x14ac:dyDescent="0.25">
      <c r="A265" s="12" t="s">
        <v>724</v>
      </c>
      <c r="B265" s="11">
        <v>83.9</v>
      </c>
      <c r="C265" s="11">
        <v>82.3</v>
      </c>
      <c r="D265" s="11">
        <v>98.7</v>
      </c>
      <c r="E265" s="11">
        <v>85.2</v>
      </c>
      <c r="F265" s="11">
        <v>79.400000000000006</v>
      </c>
      <c r="G265" s="11">
        <v>86.7</v>
      </c>
      <c r="H265" s="11">
        <v>107.1</v>
      </c>
      <c r="I265" s="11">
        <v>74.8</v>
      </c>
      <c r="J265" s="11">
        <v>27.6</v>
      </c>
      <c r="K265" s="11">
        <v>99.1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</row>
    <row r="266" spans="1:60" ht="15.75" x14ac:dyDescent="0.25">
      <c r="A266" s="12" t="s">
        <v>725</v>
      </c>
      <c r="B266" s="11">
        <v>83.6</v>
      </c>
      <c r="C266" s="11">
        <v>81.8</v>
      </c>
      <c r="D266" s="11">
        <v>98.1</v>
      </c>
      <c r="E266" s="11">
        <v>84.6</v>
      </c>
      <c r="F266" s="11">
        <v>80.099999999999994</v>
      </c>
      <c r="G266" s="11">
        <v>85.5</v>
      </c>
      <c r="H266" s="11">
        <v>106.9</v>
      </c>
      <c r="I266" s="11">
        <v>73.900000000000006</v>
      </c>
      <c r="J266" s="11">
        <v>27.6</v>
      </c>
      <c r="K266" s="11">
        <v>100.2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</row>
    <row r="267" spans="1:60" ht="15.75" x14ac:dyDescent="0.25">
      <c r="A267" s="12" t="s">
        <v>726</v>
      </c>
      <c r="B267" s="11">
        <v>84.5</v>
      </c>
      <c r="C267" s="11">
        <v>82.7</v>
      </c>
      <c r="D267" s="11">
        <v>99.5</v>
      </c>
      <c r="E267" s="11">
        <v>85.5</v>
      </c>
      <c r="F267" s="11">
        <v>79.3</v>
      </c>
      <c r="G267" s="11">
        <v>87.4</v>
      </c>
      <c r="H267" s="11">
        <v>107.2</v>
      </c>
      <c r="I267" s="11">
        <v>75.3</v>
      </c>
      <c r="J267" s="11">
        <v>27.4</v>
      </c>
      <c r="K267" s="11">
        <v>101.5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</row>
    <row r="268" spans="1:60" ht="15.75" x14ac:dyDescent="0.25">
      <c r="A268" s="12" t="s">
        <v>727</v>
      </c>
      <c r="B268" s="11">
        <v>84.6</v>
      </c>
      <c r="C268" s="11">
        <v>83.1</v>
      </c>
      <c r="D268" s="11">
        <v>98.8</v>
      </c>
      <c r="E268" s="11">
        <v>86.5</v>
      </c>
      <c r="F268" s="11">
        <v>79.900000000000006</v>
      </c>
      <c r="G268" s="11">
        <v>86.9</v>
      </c>
      <c r="H268" s="11">
        <v>110.3</v>
      </c>
      <c r="I268" s="11">
        <v>76.400000000000006</v>
      </c>
      <c r="J268" s="11">
        <v>28.6</v>
      </c>
      <c r="K268" s="11">
        <v>98.9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</row>
    <row r="269" spans="1:60" ht="15.75" x14ac:dyDescent="0.25">
      <c r="A269" s="12" t="s">
        <v>728</v>
      </c>
      <c r="B269" s="11">
        <v>84.7</v>
      </c>
      <c r="C269" s="11">
        <v>83.1</v>
      </c>
      <c r="D269" s="11">
        <v>99.1</v>
      </c>
      <c r="E269" s="11">
        <v>86</v>
      </c>
      <c r="F269" s="11">
        <v>79.900000000000006</v>
      </c>
      <c r="G269" s="11">
        <v>86.5</v>
      </c>
      <c r="H269" s="11">
        <v>109.9</v>
      </c>
      <c r="I269" s="11">
        <v>75.5</v>
      </c>
      <c r="J269" s="11">
        <v>29.2</v>
      </c>
      <c r="K269" s="11">
        <v>100.2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</row>
    <row r="270" spans="1:60" ht="15.75" x14ac:dyDescent="0.25">
      <c r="A270" s="12" t="s">
        <v>729</v>
      </c>
      <c r="B270" s="11">
        <v>84.5</v>
      </c>
      <c r="C270" s="11">
        <v>82.9</v>
      </c>
      <c r="D270" s="11">
        <v>98.7</v>
      </c>
      <c r="E270" s="11">
        <v>85.8</v>
      </c>
      <c r="F270" s="11">
        <v>80.400000000000006</v>
      </c>
      <c r="G270" s="11">
        <v>86.6</v>
      </c>
      <c r="H270" s="11">
        <v>109.8</v>
      </c>
      <c r="I270" s="11">
        <v>74.8</v>
      </c>
      <c r="J270" s="11">
        <v>29.8</v>
      </c>
      <c r="K270" s="11">
        <v>99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</row>
    <row r="271" spans="1:60" ht="15.75" x14ac:dyDescent="0.25">
      <c r="A271" s="12" t="s">
        <v>730</v>
      </c>
      <c r="B271" s="11">
        <v>84.7</v>
      </c>
      <c r="C271" s="11">
        <v>83</v>
      </c>
      <c r="D271" s="11">
        <v>97.9</v>
      </c>
      <c r="E271" s="11">
        <v>86.9</v>
      </c>
      <c r="F271" s="11">
        <v>81.599999999999994</v>
      </c>
      <c r="G271" s="11">
        <v>88.5</v>
      </c>
      <c r="H271" s="11">
        <v>110.3</v>
      </c>
      <c r="I271" s="11">
        <v>75.5</v>
      </c>
      <c r="J271" s="11">
        <v>29.1</v>
      </c>
      <c r="K271" s="11">
        <v>101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</row>
    <row r="272" spans="1:60" ht="15.75" x14ac:dyDescent="0.25">
      <c r="A272" s="12" t="s">
        <v>731</v>
      </c>
      <c r="B272" s="11">
        <v>84.3</v>
      </c>
      <c r="C272" s="11">
        <v>83.2</v>
      </c>
      <c r="D272" s="11">
        <v>97.8</v>
      </c>
      <c r="E272" s="11">
        <v>86.9</v>
      </c>
      <c r="F272" s="11">
        <v>80.8</v>
      </c>
      <c r="G272" s="11">
        <v>87.3</v>
      </c>
      <c r="H272" s="11">
        <v>110.4</v>
      </c>
      <c r="I272" s="11">
        <v>76.900000000000006</v>
      </c>
      <c r="J272" s="11">
        <v>30.1</v>
      </c>
      <c r="K272" s="11">
        <v>94.9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</row>
    <row r="273" spans="1:60" ht="15.75" x14ac:dyDescent="0.25">
      <c r="A273" s="12" t="s">
        <v>732</v>
      </c>
      <c r="B273" s="11">
        <v>83.3</v>
      </c>
      <c r="C273" s="11">
        <v>82.6</v>
      </c>
      <c r="D273" s="11">
        <v>98</v>
      </c>
      <c r="E273" s="11">
        <v>85.7</v>
      </c>
      <c r="F273" s="11">
        <v>80.900000000000006</v>
      </c>
      <c r="G273" s="11">
        <v>85.3</v>
      </c>
      <c r="H273" s="11">
        <v>110.2</v>
      </c>
      <c r="I273" s="11">
        <v>75</v>
      </c>
      <c r="J273" s="11">
        <v>29.8</v>
      </c>
      <c r="K273" s="11">
        <v>89.2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</row>
    <row r="274" spans="1:60" ht="15.75" x14ac:dyDescent="0.25">
      <c r="A274" s="12" t="s">
        <v>733</v>
      </c>
      <c r="B274" s="11">
        <v>80.900000000000006</v>
      </c>
      <c r="C274" s="11">
        <v>80.2</v>
      </c>
      <c r="D274" s="11">
        <v>97</v>
      </c>
      <c r="E274" s="11">
        <v>82</v>
      </c>
      <c r="F274" s="11">
        <v>81.099999999999994</v>
      </c>
      <c r="G274" s="11">
        <v>90.1</v>
      </c>
      <c r="H274" s="11">
        <v>94.1</v>
      </c>
      <c r="I274" s="11">
        <v>69</v>
      </c>
      <c r="J274" s="11">
        <v>27.6</v>
      </c>
      <c r="K274" s="11">
        <v>86.6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</row>
    <row r="275" spans="1:60" ht="15.75" x14ac:dyDescent="0.25">
      <c r="A275" s="12" t="s">
        <v>734</v>
      </c>
      <c r="B275" s="11">
        <v>83.4</v>
      </c>
      <c r="C275" s="11">
        <v>82.7</v>
      </c>
      <c r="D275" s="11">
        <v>96.5</v>
      </c>
      <c r="E275" s="11">
        <v>87.5</v>
      </c>
      <c r="F275" s="11">
        <v>83.4</v>
      </c>
      <c r="G275" s="11">
        <v>92.3</v>
      </c>
      <c r="H275" s="11">
        <v>106.2</v>
      </c>
      <c r="I275" s="11">
        <v>75.2</v>
      </c>
      <c r="J275" s="11">
        <v>28.8</v>
      </c>
      <c r="K275" s="11">
        <v>88.7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</row>
    <row r="276" spans="1:60" ht="15.75" x14ac:dyDescent="0.25">
      <c r="A276" s="12" t="s">
        <v>735</v>
      </c>
      <c r="B276" s="11">
        <v>83</v>
      </c>
      <c r="C276" s="11">
        <v>82.2</v>
      </c>
      <c r="D276" s="11">
        <v>95.7</v>
      </c>
      <c r="E276" s="11">
        <v>86.8</v>
      </c>
      <c r="F276" s="11">
        <v>83.3</v>
      </c>
      <c r="G276" s="11">
        <v>91.4</v>
      </c>
      <c r="H276" s="11">
        <v>107.3</v>
      </c>
      <c r="I276" s="11">
        <v>73.5</v>
      </c>
      <c r="J276" s="11">
        <v>29.3</v>
      </c>
      <c r="K276" s="11">
        <v>89.6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</row>
    <row r="277" spans="1:60" ht="15.75" x14ac:dyDescent="0.25">
      <c r="A277" s="12" t="s">
        <v>736</v>
      </c>
      <c r="B277" s="11">
        <v>83.4</v>
      </c>
      <c r="C277" s="11">
        <v>82.6</v>
      </c>
      <c r="D277" s="11">
        <v>96.9</v>
      </c>
      <c r="E277" s="11">
        <v>86.8</v>
      </c>
      <c r="F277" s="11">
        <v>83.6</v>
      </c>
      <c r="G277" s="11">
        <v>93</v>
      </c>
      <c r="H277" s="11">
        <v>103.2</v>
      </c>
      <c r="I277" s="11">
        <v>74.2</v>
      </c>
      <c r="J277" s="11">
        <v>29.4</v>
      </c>
      <c r="K277" s="11">
        <v>89.5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</row>
    <row r="278" spans="1:60" ht="15.75" x14ac:dyDescent="0.25">
      <c r="A278" s="12" t="s">
        <v>737</v>
      </c>
      <c r="B278" s="11">
        <v>83.6</v>
      </c>
      <c r="C278" s="11">
        <v>82.7</v>
      </c>
      <c r="D278" s="11">
        <v>97.4</v>
      </c>
      <c r="E278" s="11">
        <v>86.7</v>
      </c>
      <c r="F278" s="11">
        <v>84.2</v>
      </c>
      <c r="G278" s="11">
        <v>90.8</v>
      </c>
      <c r="H278" s="11">
        <v>105.1</v>
      </c>
      <c r="I278" s="11">
        <v>74.400000000000006</v>
      </c>
      <c r="J278" s="11">
        <v>29.1</v>
      </c>
      <c r="K278" s="11">
        <v>90.5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</row>
    <row r="279" spans="1:60" ht="15.75" x14ac:dyDescent="0.25">
      <c r="A279" s="12" t="s">
        <v>738</v>
      </c>
      <c r="B279" s="11">
        <v>83.6</v>
      </c>
      <c r="C279" s="11">
        <v>82.7</v>
      </c>
      <c r="D279" s="11">
        <v>98.1</v>
      </c>
      <c r="E279" s="11">
        <v>86.2</v>
      </c>
      <c r="F279" s="11">
        <v>85</v>
      </c>
      <c r="G279" s="11">
        <v>90.3</v>
      </c>
      <c r="H279" s="11">
        <v>102.9</v>
      </c>
      <c r="I279" s="11">
        <v>74.099999999999994</v>
      </c>
      <c r="J279" s="11">
        <v>28.9</v>
      </c>
      <c r="K279" s="11">
        <v>90.3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</row>
    <row r="280" spans="1:60" ht="15.75" x14ac:dyDescent="0.25">
      <c r="A280" s="12" t="s">
        <v>739</v>
      </c>
      <c r="B280" s="11">
        <v>83.8</v>
      </c>
      <c r="C280" s="11">
        <v>82.9</v>
      </c>
      <c r="D280" s="11">
        <v>96.1</v>
      </c>
      <c r="E280" s="11">
        <v>87.8</v>
      </c>
      <c r="F280" s="11">
        <v>83.3</v>
      </c>
      <c r="G280" s="11">
        <v>92.3</v>
      </c>
      <c r="H280" s="11">
        <v>103.8</v>
      </c>
      <c r="I280" s="11">
        <v>77.400000000000006</v>
      </c>
      <c r="J280" s="11">
        <v>30.5</v>
      </c>
      <c r="K280" s="11">
        <v>91.1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</row>
    <row r="281" spans="1:60" ht="15.75" x14ac:dyDescent="0.25">
      <c r="A281" s="12" t="s">
        <v>740</v>
      </c>
      <c r="B281" s="11">
        <v>83.8</v>
      </c>
      <c r="C281" s="11">
        <v>83</v>
      </c>
      <c r="D281" s="11">
        <v>95.6</v>
      </c>
      <c r="E281" s="11">
        <v>88.1</v>
      </c>
      <c r="F281" s="11">
        <v>84.4</v>
      </c>
      <c r="G281" s="11">
        <v>91.8</v>
      </c>
      <c r="H281" s="11">
        <v>103.7</v>
      </c>
      <c r="I281" s="11">
        <v>78.3</v>
      </c>
      <c r="J281" s="11">
        <v>31.6</v>
      </c>
      <c r="K281" s="11">
        <v>90.5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</row>
    <row r="282" spans="1:60" ht="15.75" x14ac:dyDescent="0.25">
      <c r="A282" s="12" t="s">
        <v>741</v>
      </c>
      <c r="B282" s="11">
        <v>82.9</v>
      </c>
      <c r="C282" s="11">
        <v>82</v>
      </c>
      <c r="D282" s="11">
        <v>95.2</v>
      </c>
      <c r="E282" s="11">
        <v>86.6</v>
      </c>
      <c r="F282" s="11">
        <v>83.8</v>
      </c>
      <c r="G282" s="11">
        <v>90.9</v>
      </c>
      <c r="H282" s="11">
        <v>101.6</v>
      </c>
      <c r="I282" s="11">
        <v>75.900000000000006</v>
      </c>
      <c r="J282" s="11">
        <v>30.8</v>
      </c>
      <c r="K282" s="11">
        <v>89.8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</row>
    <row r="283" spans="1:60" ht="15.75" x14ac:dyDescent="0.25">
      <c r="A283" s="12" t="s">
        <v>742</v>
      </c>
      <c r="B283" s="11">
        <v>83.2</v>
      </c>
      <c r="C283" s="11">
        <v>82.2</v>
      </c>
      <c r="D283" s="11">
        <v>95.2</v>
      </c>
      <c r="E283" s="11">
        <v>86.7</v>
      </c>
      <c r="F283" s="11">
        <v>83.3</v>
      </c>
      <c r="G283" s="11">
        <v>92.2</v>
      </c>
      <c r="H283" s="11">
        <v>99.8</v>
      </c>
      <c r="I283" s="11">
        <v>76.7</v>
      </c>
      <c r="J283" s="11">
        <v>31</v>
      </c>
      <c r="K283" s="11">
        <v>91.7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</row>
    <row r="284" spans="1:60" ht="15.75" x14ac:dyDescent="0.25">
      <c r="A284" s="12" t="s">
        <v>743</v>
      </c>
      <c r="B284" s="11">
        <v>83.1</v>
      </c>
      <c r="C284" s="11">
        <v>82.1</v>
      </c>
      <c r="D284" s="11">
        <v>95.9</v>
      </c>
      <c r="E284" s="11">
        <v>86.2</v>
      </c>
      <c r="F284" s="11">
        <v>81.900000000000006</v>
      </c>
      <c r="G284" s="11">
        <v>91.3</v>
      </c>
      <c r="H284" s="11">
        <v>97.3</v>
      </c>
      <c r="I284" s="11">
        <v>78</v>
      </c>
      <c r="J284" s="11">
        <v>30.2</v>
      </c>
      <c r="K284" s="11">
        <v>92.1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</row>
    <row r="285" spans="1:60" ht="15.75" x14ac:dyDescent="0.25">
      <c r="A285" s="12" t="s">
        <v>744</v>
      </c>
      <c r="B285" s="11">
        <v>80.900000000000006</v>
      </c>
      <c r="C285" s="11">
        <v>80.5</v>
      </c>
      <c r="D285" s="11">
        <v>94.1</v>
      </c>
      <c r="E285" s="11">
        <v>84</v>
      </c>
      <c r="F285" s="11">
        <v>83.5</v>
      </c>
      <c r="G285" s="11">
        <v>86.4</v>
      </c>
      <c r="H285" s="11">
        <v>96.9</v>
      </c>
      <c r="I285" s="11">
        <v>74.900000000000006</v>
      </c>
      <c r="J285" s="11">
        <v>31.6</v>
      </c>
      <c r="K285" s="11">
        <v>83.3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</row>
    <row r="286" spans="1:60" ht="15.75" x14ac:dyDescent="0.25">
      <c r="A286" s="12" t="s">
        <v>745</v>
      </c>
      <c r="B286" s="11">
        <v>82.9</v>
      </c>
      <c r="C286" s="11">
        <v>81.7</v>
      </c>
      <c r="D286" s="11">
        <v>94</v>
      </c>
      <c r="E286" s="11">
        <v>86.6</v>
      </c>
      <c r="F286" s="11">
        <v>86.9</v>
      </c>
      <c r="G286" s="11">
        <v>92</v>
      </c>
      <c r="H286" s="11">
        <v>97.6</v>
      </c>
      <c r="I286" s="11">
        <v>75.599999999999994</v>
      </c>
      <c r="J286" s="11">
        <v>31.6</v>
      </c>
      <c r="K286" s="11">
        <v>93.7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</row>
    <row r="287" spans="1:60" ht="15.75" x14ac:dyDescent="0.25">
      <c r="A287" s="12" t="s">
        <v>746</v>
      </c>
      <c r="B287" s="11">
        <v>82.5</v>
      </c>
      <c r="C287" s="11">
        <v>81.2</v>
      </c>
      <c r="D287" s="11">
        <v>93.8</v>
      </c>
      <c r="E287" s="11">
        <v>85.7</v>
      </c>
      <c r="F287" s="11">
        <v>84</v>
      </c>
      <c r="G287" s="11">
        <v>91.4</v>
      </c>
      <c r="H287" s="11">
        <v>97.5</v>
      </c>
      <c r="I287" s="11">
        <v>75.099999999999994</v>
      </c>
      <c r="J287" s="11">
        <v>31.8</v>
      </c>
      <c r="K287" s="11">
        <v>93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</row>
    <row r="288" spans="1:60" ht="15.75" x14ac:dyDescent="0.25">
      <c r="A288" s="12" t="s">
        <v>747</v>
      </c>
      <c r="B288" s="11">
        <v>82.4</v>
      </c>
      <c r="C288" s="11">
        <v>81.3</v>
      </c>
      <c r="D288" s="11">
        <v>95.3</v>
      </c>
      <c r="E288" s="11">
        <v>84.8</v>
      </c>
      <c r="F288" s="11">
        <v>84</v>
      </c>
      <c r="G288" s="11">
        <v>90.7</v>
      </c>
      <c r="H288" s="11">
        <v>96.6</v>
      </c>
      <c r="I288" s="11">
        <v>73.599999999999994</v>
      </c>
      <c r="J288" s="11">
        <v>31.1</v>
      </c>
      <c r="K288" s="11">
        <v>91.2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</row>
    <row r="289" spans="1:60" ht="15.75" x14ac:dyDescent="0.25">
      <c r="A289" s="12" t="s">
        <v>748</v>
      </c>
      <c r="B289" s="11">
        <v>83.6</v>
      </c>
      <c r="C289" s="11">
        <v>82.4</v>
      </c>
      <c r="D289" s="11">
        <v>96.4</v>
      </c>
      <c r="E289" s="11">
        <v>86.1</v>
      </c>
      <c r="F289" s="11">
        <v>83.4</v>
      </c>
      <c r="G289" s="11">
        <v>96.1</v>
      </c>
      <c r="H289" s="11">
        <v>95.6</v>
      </c>
      <c r="I289" s="11">
        <v>74.099999999999994</v>
      </c>
      <c r="J289" s="11">
        <v>31.2</v>
      </c>
      <c r="K289" s="11">
        <v>94.3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</row>
    <row r="290" spans="1:60" ht="15.75" x14ac:dyDescent="0.25">
      <c r="A290" s="12" t="s">
        <v>749</v>
      </c>
      <c r="B290" s="11">
        <v>81.900000000000006</v>
      </c>
      <c r="C290" s="11">
        <v>80.599999999999994</v>
      </c>
      <c r="D290" s="11">
        <v>93.3</v>
      </c>
      <c r="E290" s="11">
        <v>84.7</v>
      </c>
      <c r="F290" s="11">
        <v>82.5</v>
      </c>
      <c r="G290" s="11">
        <v>91.6</v>
      </c>
      <c r="H290" s="11">
        <v>95.3</v>
      </c>
      <c r="I290" s="11">
        <v>74.099999999999994</v>
      </c>
      <c r="J290" s="11">
        <v>32.1</v>
      </c>
      <c r="K290" s="11">
        <v>92.6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</row>
    <row r="291" spans="1:60" ht="15.75" x14ac:dyDescent="0.25">
      <c r="A291" s="12" t="s">
        <v>750</v>
      </c>
      <c r="B291" s="11">
        <v>81.599999999999994</v>
      </c>
      <c r="C291" s="11">
        <v>80.3</v>
      </c>
      <c r="D291" s="11">
        <v>93</v>
      </c>
      <c r="E291" s="11">
        <v>84</v>
      </c>
      <c r="F291" s="11">
        <v>83.2</v>
      </c>
      <c r="G291" s="11">
        <v>91</v>
      </c>
      <c r="H291" s="11">
        <v>94.8</v>
      </c>
      <c r="I291" s="11">
        <v>72.7</v>
      </c>
      <c r="J291" s="11">
        <v>33</v>
      </c>
      <c r="K291" s="11">
        <v>92.9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</row>
    <row r="292" spans="1:60" ht="15.75" x14ac:dyDescent="0.25">
      <c r="A292" s="12" t="s">
        <v>751</v>
      </c>
      <c r="B292" s="11">
        <v>81.900000000000006</v>
      </c>
      <c r="C292" s="11">
        <v>80.7</v>
      </c>
      <c r="D292" s="11">
        <v>93.8</v>
      </c>
      <c r="E292" s="11">
        <v>84.2</v>
      </c>
      <c r="F292" s="11">
        <v>83.7</v>
      </c>
      <c r="G292" s="11">
        <v>91.7</v>
      </c>
      <c r="H292" s="11">
        <v>94.9</v>
      </c>
      <c r="I292" s="11">
        <v>72.2</v>
      </c>
      <c r="J292" s="11">
        <v>32.5</v>
      </c>
      <c r="K292" s="11">
        <v>92.3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</row>
    <row r="293" spans="1:60" ht="15.75" x14ac:dyDescent="0.25">
      <c r="A293" s="12" t="s">
        <v>752</v>
      </c>
      <c r="B293" s="11">
        <v>81.8</v>
      </c>
      <c r="C293" s="11">
        <v>80.599999999999994</v>
      </c>
      <c r="D293" s="11">
        <v>94.2</v>
      </c>
      <c r="E293" s="11">
        <v>83.3</v>
      </c>
      <c r="F293" s="11">
        <v>83.4</v>
      </c>
      <c r="G293" s="11">
        <v>89.1</v>
      </c>
      <c r="H293" s="11">
        <v>94.2</v>
      </c>
      <c r="I293" s="11">
        <v>72.400000000000006</v>
      </c>
      <c r="J293" s="11">
        <v>33.6</v>
      </c>
      <c r="K293" s="11">
        <v>92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</row>
    <row r="294" spans="1:60" ht="15.75" x14ac:dyDescent="0.25">
      <c r="A294" s="12" t="s">
        <v>753</v>
      </c>
      <c r="B294" s="11">
        <v>82</v>
      </c>
      <c r="C294" s="11">
        <v>80.7</v>
      </c>
      <c r="D294" s="11">
        <v>94.1</v>
      </c>
      <c r="E294" s="11">
        <v>83.8</v>
      </c>
      <c r="F294" s="11">
        <v>83.7</v>
      </c>
      <c r="G294" s="11">
        <v>89.3</v>
      </c>
      <c r="H294" s="11">
        <v>95.3</v>
      </c>
      <c r="I294" s="11">
        <v>72.7</v>
      </c>
      <c r="J294" s="11">
        <v>33.4</v>
      </c>
      <c r="K294" s="11">
        <v>92.7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</row>
    <row r="295" spans="1:60" ht="15.75" x14ac:dyDescent="0.25">
      <c r="A295" s="12" t="s">
        <v>754</v>
      </c>
      <c r="B295" s="11">
        <v>82.8</v>
      </c>
      <c r="C295" s="11">
        <v>81.400000000000006</v>
      </c>
      <c r="D295" s="11">
        <v>94.9</v>
      </c>
      <c r="E295" s="11">
        <v>84.6</v>
      </c>
      <c r="F295" s="11">
        <v>83</v>
      </c>
      <c r="G295" s="11">
        <v>90.4</v>
      </c>
      <c r="H295" s="11">
        <v>95.7</v>
      </c>
      <c r="I295" s="11">
        <v>74.5</v>
      </c>
      <c r="J295" s="11">
        <v>33.299999999999997</v>
      </c>
      <c r="K295" s="11">
        <v>94.5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</row>
    <row r="296" spans="1:60" ht="15.75" x14ac:dyDescent="0.25">
      <c r="A296" s="12" t="s">
        <v>755</v>
      </c>
      <c r="B296" s="11">
        <v>82.2</v>
      </c>
      <c r="C296" s="11">
        <v>80.599999999999994</v>
      </c>
      <c r="D296" s="11">
        <v>94.2</v>
      </c>
      <c r="E296" s="11">
        <v>83.1</v>
      </c>
      <c r="F296" s="11">
        <v>81.3</v>
      </c>
      <c r="G296" s="11">
        <v>90.2</v>
      </c>
      <c r="H296" s="11">
        <v>92.2</v>
      </c>
      <c r="I296" s="11">
        <v>72.900000000000006</v>
      </c>
      <c r="J296" s="11">
        <v>34.1</v>
      </c>
      <c r="K296" s="11">
        <v>96.8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</row>
    <row r="297" spans="1:60" ht="15.75" x14ac:dyDescent="0.25">
      <c r="A297" s="12" t="s">
        <v>756</v>
      </c>
      <c r="B297" s="11">
        <v>82.4</v>
      </c>
      <c r="C297" s="11">
        <v>81</v>
      </c>
      <c r="D297" s="11">
        <v>94.5</v>
      </c>
      <c r="E297" s="11">
        <v>84</v>
      </c>
      <c r="F297" s="11">
        <v>84</v>
      </c>
      <c r="G297" s="11">
        <v>92.9</v>
      </c>
      <c r="H297" s="11">
        <v>92.3</v>
      </c>
      <c r="I297" s="11">
        <v>71.900000000000006</v>
      </c>
      <c r="J297" s="11">
        <v>33.6</v>
      </c>
      <c r="K297" s="11">
        <v>94.9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</row>
    <row r="298" spans="1:60" ht="15.75" x14ac:dyDescent="0.25">
      <c r="A298" s="12" t="s">
        <v>757</v>
      </c>
      <c r="B298" s="11">
        <v>82.7</v>
      </c>
      <c r="C298" s="11">
        <v>81.2</v>
      </c>
      <c r="D298" s="11">
        <v>94.1</v>
      </c>
      <c r="E298" s="11">
        <v>84.6</v>
      </c>
      <c r="F298" s="11">
        <v>84.3</v>
      </c>
      <c r="G298" s="11">
        <v>91.8</v>
      </c>
      <c r="H298" s="11">
        <v>92.3</v>
      </c>
      <c r="I298" s="11">
        <v>74.400000000000006</v>
      </c>
      <c r="J298" s="11">
        <v>34.1</v>
      </c>
      <c r="K298" s="11">
        <v>95.3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</row>
    <row r="299" spans="1:60" ht="15.75" x14ac:dyDescent="0.25">
      <c r="A299" s="12" t="s">
        <v>758</v>
      </c>
      <c r="B299" s="11">
        <v>82.1</v>
      </c>
      <c r="C299" s="11">
        <v>80.8</v>
      </c>
      <c r="D299" s="11">
        <v>94.6</v>
      </c>
      <c r="E299" s="11">
        <v>83.3</v>
      </c>
      <c r="F299" s="11">
        <v>84.1</v>
      </c>
      <c r="G299" s="11">
        <v>90.7</v>
      </c>
      <c r="H299" s="11">
        <v>91.7</v>
      </c>
      <c r="I299" s="11">
        <v>72</v>
      </c>
      <c r="J299" s="11">
        <v>33.700000000000003</v>
      </c>
      <c r="K299" s="11">
        <v>93.4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</row>
    <row r="300" spans="1:60" ht="15.75" x14ac:dyDescent="0.25">
      <c r="A300" s="12" t="s">
        <v>759</v>
      </c>
      <c r="B300" s="11">
        <v>83.8</v>
      </c>
      <c r="C300" s="11">
        <v>82.2</v>
      </c>
      <c r="D300" s="11">
        <v>94.1</v>
      </c>
      <c r="E300" s="11">
        <v>86.7</v>
      </c>
      <c r="F300" s="11">
        <v>89.4</v>
      </c>
      <c r="G300" s="11">
        <v>93.7</v>
      </c>
      <c r="H300" s="11">
        <v>94.9</v>
      </c>
      <c r="I300" s="11">
        <v>74.599999999999994</v>
      </c>
      <c r="J300" s="11">
        <v>34.4</v>
      </c>
      <c r="K300" s="11">
        <v>98.2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</row>
    <row r="301" spans="1:60" ht="15.75" x14ac:dyDescent="0.25">
      <c r="A301" s="12" t="s">
        <v>760</v>
      </c>
      <c r="B301" s="11">
        <v>81.3</v>
      </c>
      <c r="C301" s="11">
        <v>80.7</v>
      </c>
      <c r="D301" s="11">
        <v>93.5</v>
      </c>
      <c r="E301" s="11">
        <v>83.8</v>
      </c>
      <c r="F301" s="11">
        <v>87.5</v>
      </c>
      <c r="G301" s="11">
        <v>89.2</v>
      </c>
      <c r="H301" s="11">
        <v>94.9</v>
      </c>
      <c r="I301" s="11">
        <v>71</v>
      </c>
      <c r="J301" s="11">
        <v>34.6</v>
      </c>
      <c r="K301" s="11">
        <v>87.3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</row>
    <row r="302" spans="1:60" ht="15.75" x14ac:dyDescent="0.25">
      <c r="A302" s="12" t="s">
        <v>761</v>
      </c>
      <c r="B302" s="11">
        <v>82.4</v>
      </c>
      <c r="C302" s="11">
        <v>81.5</v>
      </c>
      <c r="D302" s="11">
        <v>94</v>
      </c>
      <c r="E302" s="11">
        <v>84.8</v>
      </c>
      <c r="F302" s="11">
        <v>89.1</v>
      </c>
      <c r="G302" s="11">
        <v>90.3</v>
      </c>
      <c r="H302" s="11">
        <v>95.5</v>
      </c>
      <c r="I302" s="11">
        <v>71.900000000000006</v>
      </c>
      <c r="J302" s="11">
        <v>35.4</v>
      </c>
      <c r="K302" s="11">
        <v>90.8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</row>
    <row r="303" spans="1:60" ht="15.75" x14ac:dyDescent="0.25">
      <c r="A303" s="12" t="s">
        <v>762</v>
      </c>
      <c r="B303" s="11">
        <v>82.6</v>
      </c>
      <c r="C303" s="11">
        <v>82</v>
      </c>
      <c r="D303" s="11">
        <v>94.2</v>
      </c>
      <c r="E303" s="11">
        <v>86</v>
      </c>
      <c r="F303" s="11">
        <v>89.5</v>
      </c>
      <c r="G303" s="11">
        <v>92.1</v>
      </c>
      <c r="H303" s="11">
        <v>94.7</v>
      </c>
      <c r="I303" s="11">
        <v>74.2</v>
      </c>
      <c r="J303" s="11">
        <v>34.700000000000003</v>
      </c>
      <c r="K303" s="11">
        <v>87.8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</row>
    <row r="304" spans="1:60" ht="15.75" x14ac:dyDescent="0.25">
      <c r="A304" s="12" t="s">
        <v>763</v>
      </c>
      <c r="B304" s="11">
        <v>82.6</v>
      </c>
      <c r="C304" s="11">
        <v>81.7</v>
      </c>
      <c r="D304" s="11">
        <v>93.7</v>
      </c>
      <c r="E304" s="11">
        <v>85.2</v>
      </c>
      <c r="F304" s="11">
        <v>88.9</v>
      </c>
      <c r="G304" s="11">
        <v>91.5</v>
      </c>
      <c r="H304" s="11">
        <v>93</v>
      </c>
      <c r="I304" s="11">
        <v>73.5</v>
      </c>
      <c r="J304" s="11">
        <v>36.5</v>
      </c>
      <c r="K304" s="11">
        <v>90.7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</row>
    <row r="305" spans="1:60" ht="15.75" x14ac:dyDescent="0.25">
      <c r="A305" s="12" t="s">
        <v>764</v>
      </c>
      <c r="B305" s="11">
        <v>82.7</v>
      </c>
      <c r="C305" s="11">
        <v>81.8</v>
      </c>
      <c r="D305" s="11">
        <v>94.6</v>
      </c>
      <c r="E305" s="11">
        <v>85.4</v>
      </c>
      <c r="F305" s="11">
        <v>87.5</v>
      </c>
      <c r="G305" s="11">
        <v>91.6</v>
      </c>
      <c r="H305" s="11">
        <v>91.5</v>
      </c>
      <c r="I305" s="11">
        <v>75.5</v>
      </c>
      <c r="J305" s="11">
        <v>34.4</v>
      </c>
      <c r="K305" s="11">
        <v>91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</row>
    <row r="306" spans="1:60" ht="15.75" x14ac:dyDescent="0.25">
      <c r="A306" s="12" t="s">
        <v>765</v>
      </c>
      <c r="B306" s="11">
        <v>83</v>
      </c>
      <c r="C306" s="11">
        <v>82</v>
      </c>
      <c r="D306" s="11">
        <v>94.5</v>
      </c>
      <c r="E306" s="11">
        <v>85.5</v>
      </c>
      <c r="F306" s="11">
        <v>88.8</v>
      </c>
      <c r="G306" s="11">
        <v>93.4</v>
      </c>
      <c r="H306" s="11">
        <v>91.6</v>
      </c>
      <c r="I306" s="11">
        <v>73.7</v>
      </c>
      <c r="J306" s="11">
        <v>35.700000000000003</v>
      </c>
      <c r="K306" s="11">
        <v>91.7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</row>
    <row r="307" spans="1:60" ht="15.75" x14ac:dyDescent="0.25">
      <c r="A307" s="12" t="s">
        <v>766</v>
      </c>
      <c r="B307" s="11">
        <v>82.5</v>
      </c>
      <c r="C307" s="11">
        <v>81.7</v>
      </c>
      <c r="D307" s="11">
        <v>93.6</v>
      </c>
      <c r="E307" s="11">
        <v>85.3</v>
      </c>
      <c r="F307" s="11">
        <v>88.1</v>
      </c>
      <c r="G307" s="11">
        <v>92.7</v>
      </c>
      <c r="H307" s="11">
        <v>91.6</v>
      </c>
      <c r="I307" s="11">
        <v>73.900000000000006</v>
      </c>
      <c r="J307" s="11">
        <v>36.5</v>
      </c>
      <c r="K307" s="11">
        <v>89.6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</row>
    <row r="308" spans="1:60" ht="15.75" x14ac:dyDescent="0.25">
      <c r="A308" s="12" t="s">
        <v>767</v>
      </c>
      <c r="B308" s="11">
        <v>82.1</v>
      </c>
      <c r="C308" s="11">
        <v>81.400000000000006</v>
      </c>
      <c r="D308" s="11">
        <v>93.7</v>
      </c>
      <c r="E308" s="11">
        <v>84.6</v>
      </c>
      <c r="F308" s="11">
        <v>87.9</v>
      </c>
      <c r="G308" s="11">
        <v>88.9</v>
      </c>
      <c r="H308" s="11">
        <v>92.2</v>
      </c>
      <c r="I308" s="11">
        <v>74.7</v>
      </c>
      <c r="J308" s="11">
        <v>36.5</v>
      </c>
      <c r="K308" s="11">
        <v>88.1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</row>
    <row r="309" spans="1:60" ht="15.75" x14ac:dyDescent="0.25">
      <c r="A309" s="12" t="s">
        <v>768</v>
      </c>
      <c r="B309" s="11">
        <v>83</v>
      </c>
      <c r="C309" s="11">
        <v>82.1</v>
      </c>
      <c r="D309" s="11">
        <v>93.7</v>
      </c>
      <c r="E309" s="11">
        <v>85.8</v>
      </c>
      <c r="F309" s="11">
        <v>88.5</v>
      </c>
      <c r="G309" s="11">
        <v>91.8</v>
      </c>
      <c r="H309" s="11">
        <v>93.6</v>
      </c>
      <c r="I309" s="11">
        <v>74.8</v>
      </c>
      <c r="J309" s="11">
        <v>37.799999999999997</v>
      </c>
      <c r="K309" s="11">
        <v>90.4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</row>
    <row r="310" spans="1:60" ht="15.75" x14ac:dyDescent="0.25">
      <c r="A310" s="12" t="s">
        <v>769</v>
      </c>
      <c r="B310" s="11">
        <v>82.2</v>
      </c>
      <c r="C310" s="11">
        <v>81.599999999999994</v>
      </c>
      <c r="D310" s="11">
        <v>94</v>
      </c>
      <c r="E310" s="11">
        <v>83.9</v>
      </c>
      <c r="F310" s="11">
        <v>88.8</v>
      </c>
      <c r="G310" s="11">
        <v>92.2</v>
      </c>
      <c r="H310" s="11">
        <v>88.8</v>
      </c>
      <c r="I310" s="11">
        <v>71.599999999999994</v>
      </c>
      <c r="J310" s="11">
        <v>39.200000000000003</v>
      </c>
      <c r="K310" s="11">
        <v>87.9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</row>
    <row r="311" spans="1:60" ht="15.75" x14ac:dyDescent="0.25">
      <c r="A311" s="12" t="s">
        <v>770</v>
      </c>
      <c r="B311" s="11">
        <v>83.6</v>
      </c>
      <c r="C311" s="11">
        <v>82.9</v>
      </c>
      <c r="D311" s="11">
        <v>93.5</v>
      </c>
      <c r="E311" s="11">
        <v>87.1</v>
      </c>
      <c r="F311" s="11">
        <v>90.9</v>
      </c>
      <c r="G311" s="11">
        <v>93.9</v>
      </c>
      <c r="H311" s="11">
        <v>92.4</v>
      </c>
      <c r="I311" s="11">
        <v>76.2</v>
      </c>
      <c r="J311" s="11">
        <v>39.700000000000003</v>
      </c>
      <c r="K311" s="11">
        <v>89.3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</row>
    <row r="312" spans="1:60" ht="15.75" x14ac:dyDescent="0.25">
      <c r="A312" s="12" t="s">
        <v>771</v>
      </c>
      <c r="B312" s="11">
        <v>82.2</v>
      </c>
      <c r="C312" s="11">
        <v>81.2</v>
      </c>
      <c r="D312" s="11">
        <v>93.2</v>
      </c>
      <c r="E312" s="11">
        <v>83.5</v>
      </c>
      <c r="F312" s="11">
        <v>88.5</v>
      </c>
      <c r="G312" s="11">
        <v>90</v>
      </c>
      <c r="H312" s="11">
        <v>87.4</v>
      </c>
      <c r="I312" s="11">
        <v>73.099999999999994</v>
      </c>
      <c r="J312" s="11">
        <v>39.700000000000003</v>
      </c>
      <c r="K312" s="11">
        <v>90.8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</row>
    <row r="313" spans="1:60" ht="15.75" x14ac:dyDescent="0.25">
      <c r="A313" s="12" t="s">
        <v>772</v>
      </c>
      <c r="B313" s="11">
        <v>81.7</v>
      </c>
      <c r="C313" s="11">
        <v>81.099999999999994</v>
      </c>
      <c r="D313" s="11">
        <v>91.9</v>
      </c>
      <c r="E313" s="11">
        <v>84.7</v>
      </c>
      <c r="F313" s="11">
        <v>89</v>
      </c>
      <c r="G313" s="11">
        <v>90.3</v>
      </c>
      <c r="H313" s="11">
        <v>89</v>
      </c>
      <c r="I313" s="11">
        <v>75</v>
      </c>
      <c r="J313" s="11">
        <v>39.299999999999997</v>
      </c>
      <c r="K313" s="11">
        <v>86.7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</row>
    <row r="314" spans="1:60" ht="15.75" x14ac:dyDescent="0.25">
      <c r="A314" s="12" t="s">
        <v>773</v>
      </c>
      <c r="B314" s="11">
        <v>83.2</v>
      </c>
      <c r="C314" s="11">
        <v>82.4</v>
      </c>
      <c r="D314" s="11">
        <v>93.3</v>
      </c>
      <c r="E314" s="11">
        <v>86</v>
      </c>
      <c r="F314" s="11">
        <v>89.4</v>
      </c>
      <c r="G314" s="11">
        <v>91.7</v>
      </c>
      <c r="H314" s="11">
        <v>94.2</v>
      </c>
      <c r="I314" s="11">
        <v>74.7</v>
      </c>
      <c r="J314" s="11">
        <v>40.5</v>
      </c>
      <c r="K314" s="11">
        <v>90.2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</row>
    <row r="315" spans="1:60" ht="15.75" x14ac:dyDescent="0.25">
      <c r="A315" s="12" t="s">
        <v>774</v>
      </c>
      <c r="B315" s="11">
        <v>83.7</v>
      </c>
      <c r="C315" s="11">
        <v>83.1</v>
      </c>
      <c r="D315" s="11">
        <v>93.6</v>
      </c>
      <c r="E315" s="11">
        <v>86.9</v>
      </c>
      <c r="F315" s="11">
        <v>93.4</v>
      </c>
      <c r="G315" s="11">
        <v>92.4</v>
      </c>
      <c r="H315" s="11">
        <v>90.7</v>
      </c>
      <c r="I315" s="11">
        <v>76.3</v>
      </c>
      <c r="J315" s="11">
        <v>41.3</v>
      </c>
      <c r="K315" s="11">
        <v>89.4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</row>
    <row r="316" spans="1:60" ht="15.75" x14ac:dyDescent="0.25">
      <c r="A316" s="12" t="s">
        <v>775</v>
      </c>
      <c r="B316" s="11">
        <v>84</v>
      </c>
      <c r="C316" s="11">
        <v>83.2</v>
      </c>
      <c r="D316" s="11">
        <v>95.2</v>
      </c>
      <c r="E316" s="11">
        <v>85.6</v>
      </c>
      <c r="F316" s="11">
        <v>90.5</v>
      </c>
      <c r="G316" s="11">
        <v>91</v>
      </c>
      <c r="H316" s="11">
        <v>90.9</v>
      </c>
      <c r="I316" s="11">
        <v>75.2</v>
      </c>
      <c r="J316" s="11">
        <v>41.7</v>
      </c>
      <c r="K316" s="11">
        <v>91.1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</row>
    <row r="317" spans="1:60" ht="15.75" x14ac:dyDescent="0.25">
      <c r="A317" s="12" t="s">
        <v>776</v>
      </c>
      <c r="B317" s="11">
        <v>83.6</v>
      </c>
      <c r="C317" s="11">
        <v>82.8</v>
      </c>
      <c r="D317" s="11">
        <v>93.7</v>
      </c>
      <c r="E317" s="11">
        <v>85.3</v>
      </c>
      <c r="F317" s="11">
        <v>91.1</v>
      </c>
      <c r="G317" s="11">
        <v>91.6</v>
      </c>
      <c r="H317" s="11">
        <v>87.4</v>
      </c>
      <c r="I317" s="11">
        <v>75.5</v>
      </c>
      <c r="J317" s="11">
        <v>43.9</v>
      </c>
      <c r="K317" s="11">
        <v>90.4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</row>
    <row r="318" spans="1:60" ht="15.75" x14ac:dyDescent="0.25">
      <c r="A318" s="12" t="s">
        <v>777</v>
      </c>
      <c r="B318" s="11">
        <v>84.3</v>
      </c>
      <c r="C318" s="11">
        <v>83.8</v>
      </c>
      <c r="D318" s="11">
        <v>93.6</v>
      </c>
      <c r="E318" s="11">
        <v>88.4</v>
      </c>
      <c r="F318" s="11">
        <v>91.6</v>
      </c>
      <c r="G318" s="11">
        <v>95.3</v>
      </c>
      <c r="H318" s="11">
        <v>90.7</v>
      </c>
      <c r="I318" s="11">
        <v>79.400000000000006</v>
      </c>
      <c r="J318" s="11">
        <v>41.4</v>
      </c>
      <c r="K318" s="11">
        <v>89.1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</row>
    <row r="319" spans="1:60" ht="15.75" x14ac:dyDescent="0.25">
      <c r="A319" s="12" t="s">
        <v>778</v>
      </c>
      <c r="B319" s="11">
        <v>83.6</v>
      </c>
      <c r="C319" s="11">
        <v>83.2</v>
      </c>
      <c r="D319" s="11">
        <v>93.4</v>
      </c>
      <c r="E319" s="11">
        <v>87.2</v>
      </c>
      <c r="F319" s="11">
        <v>94</v>
      </c>
      <c r="G319" s="11">
        <v>92.6</v>
      </c>
      <c r="H319" s="11">
        <v>90.1</v>
      </c>
      <c r="I319" s="11">
        <v>77</v>
      </c>
      <c r="J319" s="11">
        <v>42</v>
      </c>
      <c r="K319" s="11">
        <v>87.2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</row>
    <row r="320" spans="1:60" ht="15.75" x14ac:dyDescent="0.25">
      <c r="A320" s="12" t="s">
        <v>779</v>
      </c>
      <c r="B320" s="11">
        <v>84.2</v>
      </c>
      <c r="C320" s="11">
        <v>83.9</v>
      </c>
      <c r="D320" s="11">
        <v>94.2</v>
      </c>
      <c r="E320" s="11">
        <v>87.5</v>
      </c>
      <c r="F320" s="11">
        <v>92.5</v>
      </c>
      <c r="G320" s="11">
        <v>92.5</v>
      </c>
      <c r="H320" s="11">
        <v>90.2</v>
      </c>
      <c r="I320" s="11">
        <v>78.8</v>
      </c>
      <c r="J320" s="11">
        <v>43.2</v>
      </c>
      <c r="K320" s="11">
        <v>87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</row>
    <row r="321" spans="1:60" ht="15.75" x14ac:dyDescent="0.25">
      <c r="A321" s="12" t="s">
        <v>780</v>
      </c>
      <c r="B321" s="11">
        <v>84.1</v>
      </c>
      <c r="C321" s="11">
        <v>83.7</v>
      </c>
      <c r="D321" s="11">
        <v>93.3</v>
      </c>
      <c r="E321" s="11">
        <v>88.6</v>
      </c>
      <c r="F321" s="11">
        <v>94.2</v>
      </c>
      <c r="G321" s="11">
        <v>94</v>
      </c>
      <c r="H321" s="11">
        <v>93</v>
      </c>
      <c r="I321" s="11">
        <v>78.2</v>
      </c>
      <c r="J321" s="11">
        <v>41.1</v>
      </c>
      <c r="K321" s="11">
        <v>88.1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</row>
    <row r="322" spans="1:60" ht="15.75" x14ac:dyDescent="0.25">
      <c r="A322" s="12" t="s">
        <v>781</v>
      </c>
      <c r="B322" s="11">
        <v>84.4</v>
      </c>
      <c r="C322" s="11">
        <v>84.1</v>
      </c>
      <c r="D322" s="11">
        <v>93.9</v>
      </c>
      <c r="E322" s="11">
        <v>89</v>
      </c>
      <c r="F322" s="11">
        <v>94.5</v>
      </c>
      <c r="G322" s="11">
        <v>93.5</v>
      </c>
      <c r="H322" s="11">
        <v>95.4</v>
      </c>
      <c r="I322" s="11">
        <v>78.5</v>
      </c>
      <c r="J322" s="11">
        <v>40.799999999999997</v>
      </c>
      <c r="K322" s="11">
        <v>87.8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</row>
    <row r="323" spans="1:60" ht="15.75" x14ac:dyDescent="0.25">
      <c r="A323" s="12" t="s">
        <v>782</v>
      </c>
      <c r="B323" s="11">
        <v>84.8</v>
      </c>
      <c r="C323" s="11">
        <v>84.4</v>
      </c>
      <c r="D323" s="11">
        <v>93.4</v>
      </c>
      <c r="E323" s="11">
        <v>88.5</v>
      </c>
      <c r="F323" s="11">
        <v>94.5</v>
      </c>
      <c r="G323" s="11">
        <v>92.7</v>
      </c>
      <c r="H323" s="11">
        <v>93.2</v>
      </c>
      <c r="I323" s="11">
        <v>78.7</v>
      </c>
      <c r="J323" s="11">
        <v>45.9</v>
      </c>
      <c r="K323" s="11">
        <v>88.3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</row>
    <row r="324" spans="1:60" ht="15.75" x14ac:dyDescent="0.25">
      <c r="A324" s="12" t="s">
        <v>783</v>
      </c>
      <c r="B324" s="11">
        <v>86</v>
      </c>
      <c r="C324" s="11">
        <v>85.1</v>
      </c>
      <c r="D324" s="11">
        <v>93.4</v>
      </c>
      <c r="E324" s="11">
        <v>90.7</v>
      </c>
      <c r="F324" s="11">
        <v>95.7</v>
      </c>
      <c r="G324" s="11">
        <v>96.7</v>
      </c>
      <c r="H324" s="11">
        <v>93.4</v>
      </c>
      <c r="I324" s="11">
        <v>81.2</v>
      </c>
      <c r="J324" s="11">
        <v>44.2</v>
      </c>
      <c r="K324" s="11">
        <v>93.7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</row>
    <row r="325" spans="1:60" ht="15.75" x14ac:dyDescent="0.25">
      <c r="A325" s="12" t="s">
        <v>784</v>
      </c>
      <c r="B325" s="11">
        <v>85.9</v>
      </c>
      <c r="C325" s="11">
        <v>85.5</v>
      </c>
      <c r="D325" s="11">
        <v>94.9</v>
      </c>
      <c r="E325" s="11">
        <v>89.7</v>
      </c>
      <c r="F325" s="11">
        <v>96.7</v>
      </c>
      <c r="G325" s="11">
        <v>95.9</v>
      </c>
      <c r="H325" s="11">
        <v>93.9</v>
      </c>
      <c r="I325" s="11">
        <v>78.3</v>
      </c>
      <c r="J325" s="11">
        <v>45.7</v>
      </c>
      <c r="K325" s="11">
        <v>89.7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</row>
    <row r="326" spans="1:60" ht="15.75" x14ac:dyDescent="0.25">
      <c r="A326" s="12" t="s">
        <v>785</v>
      </c>
      <c r="B326" s="11">
        <v>85.9</v>
      </c>
      <c r="C326" s="11">
        <v>85.7</v>
      </c>
      <c r="D326" s="11">
        <v>93.7</v>
      </c>
      <c r="E326" s="11">
        <v>90.4</v>
      </c>
      <c r="F326" s="11">
        <v>96.6</v>
      </c>
      <c r="G326" s="11">
        <v>96.6</v>
      </c>
      <c r="H326" s="11">
        <v>92.4</v>
      </c>
      <c r="I326" s="11">
        <v>80.400000000000006</v>
      </c>
      <c r="J326" s="11">
        <v>48.2</v>
      </c>
      <c r="K326" s="11">
        <v>88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</row>
    <row r="327" spans="1:60" ht="15.75" x14ac:dyDescent="0.25">
      <c r="A327" s="12" t="s">
        <v>786</v>
      </c>
      <c r="B327" s="11">
        <v>86.6</v>
      </c>
      <c r="C327" s="11">
        <v>86</v>
      </c>
      <c r="D327" s="11">
        <v>94.2</v>
      </c>
      <c r="E327" s="11">
        <v>91.4</v>
      </c>
      <c r="F327" s="11">
        <v>96.4</v>
      </c>
      <c r="G327" s="11">
        <v>95.3</v>
      </c>
      <c r="H327" s="11">
        <v>96.4</v>
      </c>
      <c r="I327" s="11">
        <v>82.3</v>
      </c>
      <c r="J327" s="11">
        <v>46.1</v>
      </c>
      <c r="K327" s="11">
        <v>91.3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</row>
    <row r="328" spans="1:60" ht="15.75" x14ac:dyDescent="0.25">
      <c r="A328" s="12" t="s">
        <v>787</v>
      </c>
      <c r="B328" s="11">
        <v>86.4</v>
      </c>
      <c r="C328" s="11">
        <v>86.1</v>
      </c>
      <c r="D328" s="11">
        <v>94.9</v>
      </c>
      <c r="E328" s="11">
        <v>90.9</v>
      </c>
      <c r="F328" s="11">
        <v>96.1</v>
      </c>
      <c r="G328" s="11">
        <v>95.9</v>
      </c>
      <c r="H328" s="11">
        <v>94.8</v>
      </c>
      <c r="I328" s="11">
        <v>81.400000000000006</v>
      </c>
      <c r="J328" s="11">
        <v>46.4</v>
      </c>
      <c r="K328" s="11">
        <v>89.1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</row>
    <row r="329" spans="1:60" ht="15.75" x14ac:dyDescent="0.25">
      <c r="A329" s="12" t="s">
        <v>788</v>
      </c>
      <c r="B329" s="11">
        <v>86.3</v>
      </c>
      <c r="C329" s="11">
        <v>85.9</v>
      </c>
      <c r="D329" s="11">
        <v>93.6</v>
      </c>
      <c r="E329" s="11">
        <v>91.8</v>
      </c>
      <c r="F329" s="11">
        <v>98.4</v>
      </c>
      <c r="G329" s="11">
        <v>96.9</v>
      </c>
      <c r="H329" s="11">
        <v>98.1</v>
      </c>
      <c r="I329" s="11">
        <v>80.2</v>
      </c>
      <c r="J329" s="11">
        <v>45.8</v>
      </c>
      <c r="K329" s="11">
        <v>89.9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</row>
    <row r="330" spans="1:60" ht="15.75" x14ac:dyDescent="0.25">
      <c r="A330" s="12" t="s">
        <v>789</v>
      </c>
      <c r="B330" s="11">
        <v>86.2</v>
      </c>
      <c r="C330" s="11">
        <v>85.9</v>
      </c>
      <c r="D330" s="11">
        <v>94</v>
      </c>
      <c r="E330" s="11">
        <v>91.1</v>
      </c>
      <c r="F330" s="11">
        <v>97.6</v>
      </c>
      <c r="G330" s="11">
        <v>95</v>
      </c>
      <c r="H330" s="11">
        <v>95.6</v>
      </c>
      <c r="I330" s="11">
        <v>81.599999999999994</v>
      </c>
      <c r="J330" s="11">
        <v>46.5</v>
      </c>
      <c r="K330" s="11">
        <v>88.6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</row>
    <row r="331" spans="1:60" ht="15.75" x14ac:dyDescent="0.25">
      <c r="A331" s="12" t="s">
        <v>790</v>
      </c>
      <c r="B331" s="11">
        <v>86.9</v>
      </c>
      <c r="C331" s="11">
        <v>86.6</v>
      </c>
      <c r="D331" s="11">
        <v>94.5</v>
      </c>
      <c r="E331" s="11">
        <v>92.4</v>
      </c>
      <c r="F331" s="11">
        <v>98.9</v>
      </c>
      <c r="G331" s="11">
        <v>96.3</v>
      </c>
      <c r="H331" s="11">
        <v>98.4</v>
      </c>
      <c r="I331" s="11">
        <v>81.900000000000006</v>
      </c>
      <c r="J331" s="11">
        <v>46.3</v>
      </c>
      <c r="K331" s="11">
        <v>89.1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</row>
    <row r="332" spans="1:60" ht="15.75" x14ac:dyDescent="0.25">
      <c r="A332" s="12" t="s">
        <v>791</v>
      </c>
      <c r="B332" s="11">
        <v>87.5</v>
      </c>
      <c r="C332" s="11">
        <v>87.3</v>
      </c>
      <c r="D332" s="11">
        <v>95.1</v>
      </c>
      <c r="E332" s="11">
        <v>93.1</v>
      </c>
      <c r="F332" s="11">
        <v>99.4</v>
      </c>
      <c r="G332" s="11">
        <v>97.6</v>
      </c>
      <c r="H332" s="11">
        <v>97</v>
      </c>
      <c r="I332" s="11">
        <v>83.4</v>
      </c>
      <c r="J332" s="11">
        <v>47</v>
      </c>
      <c r="K332" s="11">
        <v>89.5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</row>
    <row r="333" spans="1:60" ht="15.75" x14ac:dyDescent="0.25">
      <c r="A333" s="12" t="s">
        <v>792</v>
      </c>
      <c r="B333" s="11">
        <v>88.7</v>
      </c>
      <c r="C333" s="11">
        <v>88.4</v>
      </c>
      <c r="D333" s="11">
        <v>95.3</v>
      </c>
      <c r="E333" s="11">
        <v>95</v>
      </c>
      <c r="F333" s="11">
        <v>98.3</v>
      </c>
      <c r="G333" s="11">
        <v>99.4</v>
      </c>
      <c r="H333" s="11">
        <v>99.2</v>
      </c>
      <c r="I333" s="11">
        <v>86.8</v>
      </c>
      <c r="J333" s="11">
        <v>48.9</v>
      </c>
      <c r="K333" s="11">
        <v>91.3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</row>
    <row r="334" spans="1:60" ht="15.75" x14ac:dyDescent="0.25">
      <c r="A334" s="12" t="s">
        <v>793</v>
      </c>
      <c r="B334" s="11">
        <v>88.8</v>
      </c>
      <c r="C334" s="11">
        <v>87.4</v>
      </c>
      <c r="D334" s="11">
        <v>94.9</v>
      </c>
      <c r="E334" s="11">
        <v>93</v>
      </c>
      <c r="F334" s="11">
        <v>100.1</v>
      </c>
      <c r="G334" s="11">
        <v>97.7</v>
      </c>
      <c r="H334" s="11">
        <v>100.8</v>
      </c>
      <c r="I334" s="11">
        <v>80.599999999999994</v>
      </c>
      <c r="J334" s="11">
        <v>48.9</v>
      </c>
      <c r="K334" s="11">
        <v>101.2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</row>
    <row r="335" spans="1:60" ht="15.75" x14ac:dyDescent="0.25">
      <c r="A335" s="12" t="s">
        <v>794</v>
      </c>
      <c r="B335" s="11">
        <v>89</v>
      </c>
      <c r="C335" s="11">
        <v>88.5</v>
      </c>
      <c r="D335" s="11">
        <v>95</v>
      </c>
      <c r="E335" s="11">
        <v>95</v>
      </c>
      <c r="F335" s="11">
        <v>103</v>
      </c>
      <c r="G335" s="11">
        <v>99.8</v>
      </c>
      <c r="H335" s="11">
        <v>100.6</v>
      </c>
      <c r="I335" s="11">
        <v>83.2</v>
      </c>
      <c r="J335" s="11">
        <v>49.9</v>
      </c>
      <c r="K335" s="11">
        <v>93.9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</row>
    <row r="336" spans="1:60" ht="15.75" x14ac:dyDescent="0.25">
      <c r="A336" s="12" t="s">
        <v>795</v>
      </c>
      <c r="B336" s="11">
        <v>89.3</v>
      </c>
      <c r="C336" s="11">
        <v>88.9</v>
      </c>
      <c r="D336" s="11">
        <v>95.6</v>
      </c>
      <c r="E336" s="11">
        <v>95.1</v>
      </c>
      <c r="F336" s="11">
        <v>101.1</v>
      </c>
      <c r="G336" s="11">
        <v>100</v>
      </c>
      <c r="H336" s="11">
        <v>104</v>
      </c>
      <c r="I336" s="11">
        <v>82.7</v>
      </c>
      <c r="J336" s="11">
        <v>50.8</v>
      </c>
      <c r="K336" s="11">
        <v>92.3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</row>
    <row r="337" spans="1:60" ht="15.75" x14ac:dyDescent="0.25">
      <c r="A337" s="12" t="s">
        <v>796</v>
      </c>
      <c r="B337" s="11">
        <v>89.9</v>
      </c>
      <c r="C337" s="11">
        <v>89.3</v>
      </c>
      <c r="D337" s="11">
        <v>95.7</v>
      </c>
      <c r="E337" s="11">
        <v>95.6</v>
      </c>
      <c r="F337" s="11">
        <v>101.6</v>
      </c>
      <c r="G337" s="11">
        <v>102.4</v>
      </c>
      <c r="H337" s="11">
        <v>102.5</v>
      </c>
      <c r="I337" s="11">
        <v>82.6</v>
      </c>
      <c r="J337" s="11">
        <v>51.4</v>
      </c>
      <c r="K337" s="11">
        <v>95.5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</row>
    <row r="338" spans="1:60" ht="15.75" x14ac:dyDescent="0.25">
      <c r="A338" s="12" t="s">
        <v>797</v>
      </c>
      <c r="B338" s="11">
        <v>89.5</v>
      </c>
      <c r="C338" s="11">
        <v>89.1</v>
      </c>
      <c r="D338" s="11">
        <v>95.9</v>
      </c>
      <c r="E338" s="11">
        <v>95.1</v>
      </c>
      <c r="F338" s="11">
        <v>101.3</v>
      </c>
      <c r="G338" s="11">
        <v>100.1</v>
      </c>
      <c r="H338" s="11">
        <v>102.2</v>
      </c>
      <c r="I338" s="11">
        <v>83.4</v>
      </c>
      <c r="J338" s="11">
        <v>51.1</v>
      </c>
      <c r="K338" s="11">
        <v>92.6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</row>
    <row r="339" spans="1:60" ht="15.75" x14ac:dyDescent="0.25">
      <c r="A339" s="12" t="s">
        <v>798</v>
      </c>
      <c r="B339" s="11">
        <v>90.1</v>
      </c>
      <c r="C339" s="11">
        <v>89.5</v>
      </c>
      <c r="D339" s="11">
        <v>96</v>
      </c>
      <c r="E339" s="11">
        <v>95.4</v>
      </c>
      <c r="F339" s="11">
        <v>101.4</v>
      </c>
      <c r="G339" s="11">
        <v>101.6</v>
      </c>
      <c r="H339" s="11">
        <v>103</v>
      </c>
      <c r="I339" s="11">
        <v>82.3</v>
      </c>
      <c r="J339" s="11">
        <v>52.7</v>
      </c>
      <c r="K339" s="11">
        <v>95.6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</row>
    <row r="340" spans="1:60" ht="15.75" x14ac:dyDescent="0.25">
      <c r="A340" s="12" t="s">
        <v>799</v>
      </c>
      <c r="B340" s="11">
        <v>89.9</v>
      </c>
      <c r="C340" s="11">
        <v>89.7</v>
      </c>
      <c r="D340" s="11">
        <v>96</v>
      </c>
      <c r="E340" s="11">
        <v>95</v>
      </c>
      <c r="F340" s="11">
        <v>103.5</v>
      </c>
      <c r="G340" s="11">
        <v>97.7</v>
      </c>
      <c r="H340" s="11">
        <v>106.9</v>
      </c>
      <c r="I340" s="11">
        <v>81.3</v>
      </c>
      <c r="J340" s="11">
        <v>55.2</v>
      </c>
      <c r="K340" s="11">
        <v>92.1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</row>
    <row r="341" spans="1:60" ht="15.75" x14ac:dyDescent="0.25">
      <c r="A341" s="12" t="s">
        <v>800</v>
      </c>
      <c r="B341" s="11">
        <v>89.4</v>
      </c>
      <c r="C341" s="11">
        <v>88.7</v>
      </c>
      <c r="D341" s="11">
        <v>94.7</v>
      </c>
      <c r="E341" s="11">
        <v>95</v>
      </c>
      <c r="F341" s="11">
        <v>102.2</v>
      </c>
      <c r="G341" s="11">
        <v>100.7</v>
      </c>
      <c r="H341" s="11">
        <v>102</v>
      </c>
      <c r="I341" s="11">
        <v>82.2</v>
      </c>
      <c r="J341" s="11">
        <v>52.4</v>
      </c>
      <c r="K341" s="11">
        <v>94.8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</row>
    <row r="342" spans="1:60" ht="15.75" x14ac:dyDescent="0.25">
      <c r="A342" s="12" t="s">
        <v>801</v>
      </c>
      <c r="B342" s="11">
        <v>91.3</v>
      </c>
      <c r="C342" s="11">
        <v>90.5</v>
      </c>
      <c r="D342" s="11">
        <v>97.9</v>
      </c>
      <c r="E342" s="11">
        <v>95.7</v>
      </c>
      <c r="F342" s="11">
        <v>103.6</v>
      </c>
      <c r="G342" s="11">
        <v>100</v>
      </c>
      <c r="H342" s="11">
        <v>104.5</v>
      </c>
      <c r="I342" s="11">
        <v>82.5</v>
      </c>
      <c r="J342" s="11">
        <v>53.7</v>
      </c>
      <c r="K342" s="11">
        <v>98.5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</row>
    <row r="343" spans="1:60" ht="15.75" x14ac:dyDescent="0.25">
      <c r="A343" s="12" t="s">
        <v>802</v>
      </c>
      <c r="B343" s="11">
        <v>90.4</v>
      </c>
      <c r="C343" s="11">
        <v>89.4</v>
      </c>
      <c r="D343" s="11">
        <v>96.2</v>
      </c>
      <c r="E343" s="11">
        <v>95</v>
      </c>
      <c r="F343" s="11">
        <v>103.9</v>
      </c>
      <c r="G343" s="11">
        <v>98.5</v>
      </c>
      <c r="H343" s="11">
        <v>102.8</v>
      </c>
      <c r="I343" s="11">
        <v>82.6</v>
      </c>
      <c r="J343" s="11">
        <v>53.1</v>
      </c>
      <c r="K343" s="11">
        <v>98.9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</row>
    <row r="344" spans="1:60" ht="15.75" x14ac:dyDescent="0.25">
      <c r="A344" s="12" t="s">
        <v>803</v>
      </c>
      <c r="B344" s="11">
        <v>91</v>
      </c>
      <c r="C344" s="11">
        <v>90</v>
      </c>
      <c r="D344" s="11">
        <v>97</v>
      </c>
      <c r="E344" s="11">
        <v>95.4</v>
      </c>
      <c r="F344" s="11">
        <v>105.9</v>
      </c>
      <c r="G344" s="11">
        <v>99.5</v>
      </c>
      <c r="H344" s="11">
        <v>103</v>
      </c>
      <c r="I344" s="11">
        <v>81.8</v>
      </c>
      <c r="J344" s="11">
        <v>53.7</v>
      </c>
      <c r="K344" s="11">
        <v>100.2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</row>
    <row r="345" spans="1:60" ht="15.75" x14ac:dyDescent="0.25">
      <c r="A345" s="12" t="s">
        <v>804</v>
      </c>
      <c r="B345" s="11">
        <v>91</v>
      </c>
      <c r="C345" s="11">
        <v>90.5</v>
      </c>
      <c r="D345" s="11">
        <v>98.3</v>
      </c>
      <c r="E345" s="11">
        <v>94.8</v>
      </c>
      <c r="F345" s="11">
        <v>107.2</v>
      </c>
      <c r="G345" s="11">
        <v>96.7</v>
      </c>
      <c r="H345" s="11">
        <v>104</v>
      </c>
      <c r="I345" s="11">
        <v>81.099999999999994</v>
      </c>
      <c r="J345" s="11">
        <v>55</v>
      </c>
      <c r="K345" s="11">
        <v>95.2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</row>
    <row r="346" spans="1:60" ht="15.75" x14ac:dyDescent="0.25">
      <c r="A346" s="12" t="s">
        <v>805</v>
      </c>
      <c r="B346" s="11">
        <v>93.4</v>
      </c>
      <c r="C346" s="11">
        <v>91.9</v>
      </c>
      <c r="D346" s="11">
        <v>98.6</v>
      </c>
      <c r="E346" s="11">
        <v>97.5</v>
      </c>
      <c r="F346" s="11">
        <v>109.8</v>
      </c>
      <c r="G346" s="11">
        <v>97.9</v>
      </c>
      <c r="H346" s="11">
        <v>107.4</v>
      </c>
      <c r="I346" s="11">
        <v>84.7</v>
      </c>
      <c r="J346" s="11">
        <v>55.8</v>
      </c>
      <c r="K346" s="11">
        <v>107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</row>
    <row r="347" spans="1:60" ht="15.75" x14ac:dyDescent="0.25">
      <c r="A347" s="12" t="s">
        <v>806</v>
      </c>
      <c r="B347" s="11">
        <v>92.7</v>
      </c>
      <c r="C347" s="11">
        <v>91.8</v>
      </c>
      <c r="D347" s="11">
        <v>98.9</v>
      </c>
      <c r="E347" s="11">
        <v>96.9</v>
      </c>
      <c r="F347" s="11">
        <v>109.7</v>
      </c>
      <c r="G347" s="11">
        <v>96.3</v>
      </c>
      <c r="H347" s="11">
        <v>106</v>
      </c>
      <c r="I347" s="11">
        <v>85</v>
      </c>
      <c r="J347" s="11">
        <v>56</v>
      </c>
      <c r="K347" s="11">
        <v>100.2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</row>
    <row r="348" spans="1:60" ht="15.75" x14ac:dyDescent="0.25">
      <c r="A348" s="12" t="s">
        <v>807</v>
      </c>
      <c r="B348" s="11">
        <v>92.4</v>
      </c>
      <c r="C348" s="11">
        <v>91.2</v>
      </c>
      <c r="D348" s="11">
        <v>99</v>
      </c>
      <c r="E348" s="11">
        <v>95.2</v>
      </c>
      <c r="F348" s="11">
        <v>107.3</v>
      </c>
      <c r="G348" s="11">
        <v>93.6</v>
      </c>
      <c r="H348" s="11">
        <v>100.6</v>
      </c>
      <c r="I348" s="11">
        <v>86.4</v>
      </c>
      <c r="J348" s="11">
        <v>57.1</v>
      </c>
      <c r="K348" s="11">
        <v>103.1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</row>
    <row r="349" spans="1:60" ht="15.75" x14ac:dyDescent="0.25">
      <c r="A349" s="12" t="s">
        <v>808</v>
      </c>
      <c r="B349" s="11">
        <v>93.1</v>
      </c>
      <c r="C349" s="11">
        <v>92.2</v>
      </c>
      <c r="D349" s="11">
        <v>98.3</v>
      </c>
      <c r="E349" s="11">
        <v>98.2</v>
      </c>
      <c r="F349" s="11">
        <v>109</v>
      </c>
      <c r="G349" s="11">
        <v>95.8</v>
      </c>
      <c r="H349" s="11">
        <v>105.3</v>
      </c>
      <c r="I349" s="11">
        <v>90.2</v>
      </c>
      <c r="J349" s="11">
        <v>56.3</v>
      </c>
      <c r="K349" s="11">
        <v>101.5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</row>
    <row r="350" spans="1:60" ht="15.75" x14ac:dyDescent="0.25">
      <c r="A350" s="12" t="s">
        <v>809</v>
      </c>
      <c r="B350" s="11">
        <v>94.6</v>
      </c>
      <c r="C350" s="11">
        <v>93.5</v>
      </c>
      <c r="D350" s="11">
        <v>99.3</v>
      </c>
      <c r="E350" s="11">
        <v>98.8</v>
      </c>
      <c r="F350" s="11">
        <v>111.7</v>
      </c>
      <c r="G350" s="11">
        <v>97.2</v>
      </c>
      <c r="H350" s="11">
        <v>107.4</v>
      </c>
      <c r="I350" s="11">
        <v>88.1</v>
      </c>
      <c r="J350" s="11">
        <v>60.8</v>
      </c>
      <c r="K350" s="11">
        <v>104.9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</row>
    <row r="351" spans="1:60" ht="15.75" x14ac:dyDescent="0.25">
      <c r="A351" s="12" t="s">
        <v>810</v>
      </c>
      <c r="B351" s="11">
        <v>92.9</v>
      </c>
      <c r="C351" s="11">
        <v>92.3</v>
      </c>
      <c r="D351" s="11">
        <v>99</v>
      </c>
      <c r="E351" s="11">
        <v>96.6</v>
      </c>
      <c r="F351" s="11">
        <v>105.9</v>
      </c>
      <c r="G351" s="11">
        <v>95.8</v>
      </c>
      <c r="H351" s="11">
        <v>102.9</v>
      </c>
      <c r="I351" s="11">
        <v>88.5</v>
      </c>
      <c r="J351" s="11">
        <v>59.8</v>
      </c>
      <c r="K351" s="11">
        <v>98.2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</row>
    <row r="352" spans="1:60" ht="15.75" x14ac:dyDescent="0.25">
      <c r="A352" s="12" t="s">
        <v>811</v>
      </c>
      <c r="B352" s="11">
        <v>95</v>
      </c>
      <c r="C352" s="11">
        <v>94</v>
      </c>
      <c r="D352" s="11">
        <v>99.4</v>
      </c>
      <c r="E352" s="11">
        <v>99.8</v>
      </c>
      <c r="F352" s="11">
        <v>109.8</v>
      </c>
      <c r="G352" s="11">
        <v>100.4</v>
      </c>
      <c r="H352" s="11">
        <v>106.9</v>
      </c>
      <c r="I352" s="11">
        <v>89.7</v>
      </c>
      <c r="J352" s="11">
        <v>60.7</v>
      </c>
      <c r="K352" s="11">
        <v>103.9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</row>
    <row r="353" spans="1:60" ht="15.75" x14ac:dyDescent="0.25">
      <c r="A353" s="12" t="s">
        <v>812</v>
      </c>
      <c r="B353" s="11">
        <v>94.7</v>
      </c>
      <c r="C353" s="11">
        <v>93.7</v>
      </c>
      <c r="D353" s="11">
        <v>100.1</v>
      </c>
      <c r="E353" s="11">
        <v>97.9</v>
      </c>
      <c r="F353" s="11">
        <v>110.5</v>
      </c>
      <c r="G353" s="11">
        <v>98.4</v>
      </c>
      <c r="H353" s="11">
        <v>102.4</v>
      </c>
      <c r="I353" s="11">
        <v>87.6</v>
      </c>
      <c r="J353" s="11">
        <v>62.5</v>
      </c>
      <c r="K353" s="11">
        <v>103.9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</row>
    <row r="354" spans="1:60" ht="15.75" x14ac:dyDescent="0.25">
      <c r="A354" s="12" t="s">
        <v>813</v>
      </c>
      <c r="B354" s="11">
        <v>95</v>
      </c>
      <c r="C354" s="11">
        <v>94.1</v>
      </c>
      <c r="D354" s="11">
        <v>100.5</v>
      </c>
      <c r="E354" s="11">
        <v>97.9</v>
      </c>
      <c r="F354" s="11">
        <v>111.8</v>
      </c>
      <c r="G354" s="11">
        <v>96</v>
      </c>
      <c r="H354" s="11">
        <v>102.6</v>
      </c>
      <c r="I354" s="11">
        <v>88.8</v>
      </c>
      <c r="J354" s="11">
        <v>64.3</v>
      </c>
      <c r="K354" s="11">
        <v>103.2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</row>
    <row r="355" spans="1:60" ht="15.75" x14ac:dyDescent="0.25">
      <c r="A355" s="12" t="s">
        <v>814</v>
      </c>
      <c r="B355" s="11">
        <v>96.6</v>
      </c>
      <c r="C355" s="11">
        <v>95.8</v>
      </c>
      <c r="D355" s="11">
        <v>100.9</v>
      </c>
      <c r="E355" s="11">
        <v>100.8</v>
      </c>
      <c r="F355" s="11">
        <v>110</v>
      </c>
      <c r="G355" s="11">
        <v>102.9</v>
      </c>
      <c r="H355" s="11">
        <v>105.8</v>
      </c>
      <c r="I355" s="11">
        <v>90.9</v>
      </c>
      <c r="J355" s="11">
        <v>65.900000000000006</v>
      </c>
      <c r="K355" s="11">
        <v>103.8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</row>
    <row r="356" spans="1:60" ht="15.75" x14ac:dyDescent="0.25">
      <c r="A356" s="12" t="s">
        <v>815</v>
      </c>
      <c r="B356" s="11">
        <v>96</v>
      </c>
      <c r="C356" s="11">
        <v>95.3</v>
      </c>
      <c r="D356" s="11">
        <v>100.4</v>
      </c>
      <c r="E356" s="11">
        <v>99.6</v>
      </c>
      <c r="F356" s="11">
        <v>111.2</v>
      </c>
      <c r="G356" s="11">
        <v>99.1</v>
      </c>
      <c r="H356" s="11">
        <v>107.9</v>
      </c>
      <c r="I356" s="11">
        <v>88.7</v>
      </c>
      <c r="J356" s="11">
        <v>67.400000000000006</v>
      </c>
      <c r="K356" s="11">
        <v>102.7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</row>
    <row r="357" spans="1:60" ht="15.75" x14ac:dyDescent="0.25">
      <c r="A357" s="12" t="s">
        <v>816</v>
      </c>
      <c r="B357" s="11">
        <v>95</v>
      </c>
      <c r="C357" s="11">
        <v>94.3</v>
      </c>
      <c r="D357" s="11">
        <v>99.1</v>
      </c>
      <c r="E357" s="11">
        <v>98.8</v>
      </c>
      <c r="F357" s="11">
        <v>109.7</v>
      </c>
      <c r="G357" s="11">
        <v>98.5</v>
      </c>
      <c r="H357" s="11">
        <v>105.5</v>
      </c>
      <c r="I357" s="11">
        <v>89.1</v>
      </c>
      <c r="J357" s="11">
        <v>66.8</v>
      </c>
      <c r="K357" s="11">
        <v>101.4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</row>
    <row r="358" spans="1:60" ht="15.75" x14ac:dyDescent="0.25">
      <c r="A358" s="12" t="s">
        <v>817</v>
      </c>
      <c r="B358" s="11">
        <v>94.4</v>
      </c>
      <c r="C358" s="11">
        <v>93.7</v>
      </c>
      <c r="D358" s="11">
        <v>99</v>
      </c>
      <c r="E358" s="11">
        <v>97.8</v>
      </c>
      <c r="F358" s="11">
        <v>107.8</v>
      </c>
      <c r="G358" s="11">
        <v>99.6</v>
      </c>
      <c r="H358" s="11">
        <v>103.2</v>
      </c>
      <c r="I358" s="11">
        <v>87.5</v>
      </c>
      <c r="J358" s="11">
        <v>66.400000000000006</v>
      </c>
      <c r="K358" s="11">
        <v>100.2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</row>
    <row r="359" spans="1:60" ht="15.75" x14ac:dyDescent="0.25">
      <c r="A359" s="12" t="s">
        <v>818</v>
      </c>
      <c r="B359" s="11">
        <v>95.1</v>
      </c>
      <c r="C359" s="11">
        <v>94.5</v>
      </c>
      <c r="D359" s="11">
        <v>99.5</v>
      </c>
      <c r="E359" s="11">
        <v>99.1</v>
      </c>
      <c r="F359" s="11">
        <v>108.4</v>
      </c>
      <c r="G359" s="11">
        <v>100.9</v>
      </c>
      <c r="H359" s="11">
        <v>104.5</v>
      </c>
      <c r="I359" s="11">
        <v>89.2</v>
      </c>
      <c r="J359" s="11">
        <v>66.3</v>
      </c>
      <c r="K359" s="11">
        <v>100.1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</row>
    <row r="360" spans="1:60" ht="15.75" x14ac:dyDescent="0.25">
      <c r="A360" s="12" t="s">
        <v>819</v>
      </c>
      <c r="B360" s="11">
        <v>94.3</v>
      </c>
      <c r="C360" s="11">
        <v>93.8</v>
      </c>
      <c r="D360" s="11">
        <v>99.3</v>
      </c>
      <c r="E360" s="11">
        <v>97.9</v>
      </c>
      <c r="F360" s="11">
        <v>109.6</v>
      </c>
      <c r="G360" s="11">
        <v>101.5</v>
      </c>
      <c r="H360" s="11">
        <v>104.4</v>
      </c>
      <c r="I360" s="11">
        <v>84.5</v>
      </c>
      <c r="J360" s="11">
        <v>65.8</v>
      </c>
      <c r="K360" s="11">
        <v>98.1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</row>
    <row r="361" spans="1:60" ht="15.75" x14ac:dyDescent="0.25">
      <c r="A361" s="12" t="s">
        <v>820</v>
      </c>
      <c r="B361" s="11">
        <v>96.1</v>
      </c>
      <c r="C361" s="11">
        <v>95.4</v>
      </c>
      <c r="D361" s="11">
        <v>99.7</v>
      </c>
      <c r="E361" s="11">
        <v>100.3</v>
      </c>
      <c r="F361" s="11">
        <v>108.8</v>
      </c>
      <c r="G361" s="11">
        <v>101.1</v>
      </c>
      <c r="H361" s="11">
        <v>108.4</v>
      </c>
      <c r="I361" s="11">
        <v>90.1</v>
      </c>
      <c r="J361" s="11">
        <v>68.599999999999994</v>
      </c>
      <c r="K361" s="11">
        <v>102.1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</row>
    <row r="362" spans="1:60" ht="15.75" x14ac:dyDescent="0.25">
      <c r="A362" s="12" t="s">
        <v>821</v>
      </c>
      <c r="B362" s="11">
        <v>95.2</v>
      </c>
      <c r="C362" s="11">
        <v>93.9</v>
      </c>
      <c r="D362" s="11">
        <v>98.9</v>
      </c>
      <c r="E362" s="11">
        <v>97.9</v>
      </c>
      <c r="F362" s="11">
        <v>107.7</v>
      </c>
      <c r="G362" s="11">
        <v>100.4</v>
      </c>
      <c r="H362" s="11">
        <v>101.6</v>
      </c>
      <c r="I362" s="11">
        <v>88.1</v>
      </c>
      <c r="J362" s="11">
        <v>67.400000000000006</v>
      </c>
      <c r="K362" s="11">
        <v>107.8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</row>
    <row r="363" spans="1:60" ht="15.75" x14ac:dyDescent="0.25">
      <c r="A363" s="12" t="s">
        <v>822</v>
      </c>
      <c r="B363" s="11">
        <v>95.4</v>
      </c>
      <c r="C363" s="11">
        <v>94.8</v>
      </c>
      <c r="D363" s="11">
        <v>98.2</v>
      </c>
      <c r="E363" s="11">
        <v>99.9</v>
      </c>
      <c r="F363" s="11">
        <v>110.3</v>
      </c>
      <c r="G363" s="11">
        <v>101.7</v>
      </c>
      <c r="H363" s="11">
        <v>102.9</v>
      </c>
      <c r="I363" s="11">
        <v>90.7</v>
      </c>
      <c r="J363" s="11">
        <v>69.900000000000006</v>
      </c>
      <c r="K363" s="11">
        <v>100.5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</row>
    <row r="364" spans="1:60" ht="15.75" x14ac:dyDescent="0.25">
      <c r="A364" s="12" t="s">
        <v>823</v>
      </c>
      <c r="B364" s="11">
        <v>95.6</v>
      </c>
      <c r="C364" s="11">
        <v>94.9</v>
      </c>
      <c r="D364" s="11">
        <v>98.7</v>
      </c>
      <c r="E364" s="11">
        <v>99.8</v>
      </c>
      <c r="F364" s="11">
        <v>110.4</v>
      </c>
      <c r="G364" s="11">
        <v>101.4</v>
      </c>
      <c r="H364" s="11">
        <v>106</v>
      </c>
      <c r="I364" s="11">
        <v>89</v>
      </c>
      <c r="J364" s="11">
        <v>68.900000000000006</v>
      </c>
      <c r="K364" s="11">
        <v>102.5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</row>
    <row r="365" spans="1:60" ht="15.75" x14ac:dyDescent="0.25">
      <c r="A365" s="12" t="s">
        <v>824</v>
      </c>
      <c r="B365" s="11">
        <v>96.5</v>
      </c>
      <c r="C365" s="11">
        <v>95.8</v>
      </c>
      <c r="D365" s="11">
        <v>99.1</v>
      </c>
      <c r="E365" s="11">
        <v>100.8</v>
      </c>
      <c r="F365" s="11">
        <v>111.2</v>
      </c>
      <c r="G365" s="11">
        <v>102.3</v>
      </c>
      <c r="H365" s="11">
        <v>100.9</v>
      </c>
      <c r="I365" s="11">
        <v>93.4</v>
      </c>
      <c r="J365" s="11">
        <v>71.2</v>
      </c>
      <c r="K365" s="11">
        <v>102.7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</row>
    <row r="366" spans="1:60" ht="15.75" x14ac:dyDescent="0.25">
      <c r="A366" s="12" t="s">
        <v>825</v>
      </c>
      <c r="B366" s="11">
        <v>96.3</v>
      </c>
      <c r="C366" s="11">
        <v>95.5</v>
      </c>
      <c r="D366" s="11">
        <v>99.2</v>
      </c>
      <c r="E366" s="11">
        <v>98.8</v>
      </c>
      <c r="F366" s="11">
        <v>110.2</v>
      </c>
      <c r="G366" s="11">
        <v>102.3</v>
      </c>
      <c r="H366" s="11">
        <v>102.8</v>
      </c>
      <c r="I366" s="11">
        <v>87</v>
      </c>
      <c r="J366" s="11">
        <v>75.099999999999994</v>
      </c>
      <c r="K366" s="11">
        <v>103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</row>
    <row r="367" spans="1:60" ht="15.75" x14ac:dyDescent="0.25">
      <c r="A367" s="12" t="s">
        <v>826</v>
      </c>
      <c r="B367" s="11">
        <v>96.8</v>
      </c>
      <c r="C367" s="11">
        <v>95.9</v>
      </c>
      <c r="D367" s="11">
        <v>99.6</v>
      </c>
      <c r="E367" s="11">
        <v>100.1</v>
      </c>
      <c r="F367" s="11">
        <v>108.8</v>
      </c>
      <c r="G367" s="11">
        <v>101.1</v>
      </c>
      <c r="H367" s="11">
        <v>105.5</v>
      </c>
      <c r="I367" s="11">
        <v>91</v>
      </c>
      <c r="J367" s="11">
        <v>72.900000000000006</v>
      </c>
      <c r="K367" s="11">
        <v>104.3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</row>
    <row r="368" spans="1:60" ht="15.75" x14ac:dyDescent="0.25">
      <c r="A368" s="12" t="s">
        <v>827</v>
      </c>
      <c r="B368" s="11">
        <v>96.8</v>
      </c>
      <c r="C368" s="11">
        <v>95.9</v>
      </c>
      <c r="D368" s="11">
        <v>99.5</v>
      </c>
      <c r="E368" s="11">
        <v>100.1</v>
      </c>
      <c r="F368" s="11">
        <v>110</v>
      </c>
      <c r="G368" s="11">
        <v>101.2</v>
      </c>
      <c r="H368" s="11">
        <v>103.9</v>
      </c>
      <c r="I368" s="11">
        <v>91.2</v>
      </c>
      <c r="J368" s="11">
        <v>73.099999999999994</v>
      </c>
      <c r="K368" s="11">
        <v>104.7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</row>
    <row r="369" spans="1:60" ht="15.75" x14ac:dyDescent="0.25">
      <c r="A369" s="12" t="s">
        <v>828</v>
      </c>
      <c r="B369" s="11">
        <v>96.9</v>
      </c>
      <c r="C369" s="11">
        <v>96.1</v>
      </c>
      <c r="D369" s="11">
        <v>99.7</v>
      </c>
      <c r="E369" s="11">
        <v>100.6</v>
      </c>
      <c r="F369" s="11">
        <v>111.9</v>
      </c>
      <c r="G369" s="11">
        <v>100.7</v>
      </c>
      <c r="H369" s="11">
        <v>104.2</v>
      </c>
      <c r="I369" s="11">
        <v>91.9</v>
      </c>
      <c r="J369" s="11">
        <v>72.400000000000006</v>
      </c>
      <c r="K369" s="11">
        <v>103.4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</row>
    <row r="370" spans="1:60" ht="15.75" x14ac:dyDescent="0.25">
      <c r="A370" s="12" t="s">
        <v>829</v>
      </c>
      <c r="B370" s="11">
        <v>96.2</v>
      </c>
      <c r="C370" s="11">
        <v>95.3</v>
      </c>
      <c r="D370" s="11">
        <v>98.5</v>
      </c>
      <c r="E370" s="11">
        <v>100.3</v>
      </c>
      <c r="F370" s="11">
        <v>111.7</v>
      </c>
      <c r="G370" s="11">
        <v>99.4</v>
      </c>
      <c r="H370" s="11">
        <v>104.8</v>
      </c>
      <c r="I370" s="11">
        <v>92</v>
      </c>
      <c r="J370" s="11">
        <v>71.5</v>
      </c>
      <c r="K370" s="11">
        <v>103.9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</row>
    <row r="371" spans="1:60" ht="15.75" x14ac:dyDescent="0.25">
      <c r="A371" s="12" t="s">
        <v>830</v>
      </c>
      <c r="B371" s="11">
        <v>96.4</v>
      </c>
      <c r="C371" s="11">
        <v>95.5</v>
      </c>
      <c r="D371" s="11">
        <v>99.4</v>
      </c>
      <c r="E371" s="11">
        <v>99.4</v>
      </c>
      <c r="F371" s="11">
        <v>110.6</v>
      </c>
      <c r="G371" s="11">
        <v>99</v>
      </c>
      <c r="H371" s="11">
        <v>106.1</v>
      </c>
      <c r="I371" s="11">
        <v>89.5</v>
      </c>
      <c r="J371" s="11">
        <v>72.8</v>
      </c>
      <c r="K371" s="11">
        <v>104.8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</row>
    <row r="372" spans="1:60" ht="15.75" x14ac:dyDescent="0.25">
      <c r="A372" s="12" t="s">
        <v>831</v>
      </c>
      <c r="B372" s="11">
        <v>94.8</v>
      </c>
      <c r="C372" s="11">
        <v>94.2</v>
      </c>
      <c r="D372" s="11">
        <v>98.2</v>
      </c>
      <c r="E372" s="11">
        <v>98.3</v>
      </c>
      <c r="F372" s="11">
        <v>110.3</v>
      </c>
      <c r="G372" s="11">
        <v>96.5</v>
      </c>
      <c r="H372" s="11">
        <v>106.7</v>
      </c>
      <c r="I372" s="11">
        <v>88.4</v>
      </c>
      <c r="J372" s="11">
        <v>70.400000000000006</v>
      </c>
      <c r="K372" s="11">
        <v>99.8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</row>
    <row r="373" spans="1:60" ht="15.75" x14ac:dyDescent="0.25">
      <c r="A373" s="12" t="s">
        <v>832</v>
      </c>
      <c r="B373" s="11">
        <v>96.3</v>
      </c>
      <c r="C373" s="11">
        <v>95.6</v>
      </c>
      <c r="D373" s="11">
        <v>99.2</v>
      </c>
      <c r="E373" s="11">
        <v>99.9</v>
      </c>
      <c r="F373" s="11">
        <v>108.3</v>
      </c>
      <c r="G373" s="11">
        <v>99.4</v>
      </c>
      <c r="H373" s="11">
        <v>106.8</v>
      </c>
      <c r="I373" s="11">
        <v>91.6</v>
      </c>
      <c r="J373" s="11">
        <v>72.5</v>
      </c>
      <c r="K373" s="11">
        <v>102.4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</row>
    <row r="374" spans="1:60" ht="15.75" x14ac:dyDescent="0.25">
      <c r="A374" s="12" t="s">
        <v>833</v>
      </c>
      <c r="B374" s="11">
        <v>98.1</v>
      </c>
      <c r="C374" s="11">
        <v>97.3</v>
      </c>
      <c r="D374" s="11">
        <v>100.9</v>
      </c>
      <c r="E374" s="11">
        <v>101</v>
      </c>
      <c r="F374" s="11">
        <v>112.1</v>
      </c>
      <c r="G374" s="11">
        <v>101</v>
      </c>
      <c r="H374" s="11">
        <v>107.9</v>
      </c>
      <c r="I374" s="11">
        <v>90.9</v>
      </c>
      <c r="J374" s="11">
        <v>75.8</v>
      </c>
      <c r="K374" s="11">
        <v>105.1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</row>
    <row r="375" spans="1:60" ht="15.75" x14ac:dyDescent="0.25">
      <c r="A375" s="12" t="s">
        <v>834</v>
      </c>
      <c r="B375" s="11">
        <v>97.7</v>
      </c>
      <c r="C375" s="11">
        <v>97</v>
      </c>
      <c r="D375" s="11">
        <v>100.9</v>
      </c>
      <c r="E375" s="11">
        <v>100.4</v>
      </c>
      <c r="F375" s="11">
        <v>112.8</v>
      </c>
      <c r="G375" s="11">
        <v>101.2</v>
      </c>
      <c r="H375" s="11">
        <v>106.2</v>
      </c>
      <c r="I375" s="11">
        <v>89.3</v>
      </c>
      <c r="J375" s="11">
        <v>75.400000000000006</v>
      </c>
      <c r="K375" s="11">
        <v>104.6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</row>
    <row r="376" spans="1:60" ht="15.75" x14ac:dyDescent="0.25">
      <c r="A376" s="12" t="s">
        <v>835</v>
      </c>
      <c r="B376" s="11">
        <v>98.7</v>
      </c>
      <c r="C376" s="11">
        <v>98.1</v>
      </c>
      <c r="D376" s="11">
        <v>101.8</v>
      </c>
      <c r="E376" s="11">
        <v>101.4</v>
      </c>
      <c r="F376" s="11">
        <v>111.6</v>
      </c>
      <c r="G376" s="11">
        <v>103.3</v>
      </c>
      <c r="H376" s="11">
        <v>106.6</v>
      </c>
      <c r="I376" s="11">
        <v>91.1</v>
      </c>
      <c r="J376" s="11">
        <v>77.8</v>
      </c>
      <c r="K376" s="11">
        <v>103.9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</row>
    <row r="377" spans="1:60" ht="15.75" x14ac:dyDescent="0.25">
      <c r="A377" s="12" t="s">
        <v>836</v>
      </c>
      <c r="B377" s="11">
        <v>99</v>
      </c>
      <c r="C377" s="11">
        <v>98.5</v>
      </c>
      <c r="D377" s="11">
        <v>101.2</v>
      </c>
      <c r="E377" s="11">
        <v>102.6</v>
      </c>
      <c r="F377" s="11">
        <v>112.1</v>
      </c>
      <c r="G377" s="11">
        <v>100.9</v>
      </c>
      <c r="H377" s="11">
        <v>110.3</v>
      </c>
      <c r="I377" s="11">
        <v>94.3</v>
      </c>
      <c r="J377" s="11">
        <v>78.400000000000006</v>
      </c>
      <c r="K377" s="11">
        <v>103.2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</row>
    <row r="378" spans="1:60" ht="15.75" x14ac:dyDescent="0.25">
      <c r="A378" s="12" t="s">
        <v>837</v>
      </c>
      <c r="B378" s="11">
        <v>98.7</v>
      </c>
      <c r="C378" s="11">
        <v>98.1</v>
      </c>
      <c r="D378" s="11">
        <v>100.4</v>
      </c>
      <c r="E378" s="11">
        <v>102.4</v>
      </c>
      <c r="F378" s="11">
        <v>110.8</v>
      </c>
      <c r="G378" s="11">
        <v>101.4</v>
      </c>
      <c r="H378" s="11">
        <v>111.4</v>
      </c>
      <c r="I378" s="11">
        <v>93.4</v>
      </c>
      <c r="J378" s="11">
        <v>78.5</v>
      </c>
      <c r="K378" s="11">
        <v>103.7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</row>
    <row r="379" spans="1:60" ht="15.75" x14ac:dyDescent="0.25">
      <c r="A379" s="12" t="s">
        <v>838</v>
      </c>
      <c r="B379" s="11">
        <v>98.3</v>
      </c>
      <c r="C379" s="11">
        <v>97.9</v>
      </c>
      <c r="D379" s="11">
        <v>100.7</v>
      </c>
      <c r="E379" s="11">
        <v>101.7</v>
      </c>
      <c r="F379" s="11">
        <v>109.6</v>
      </c>
      <c r="G379" s="11">
        <v>101.6</v>
      </c>
      <c r="H379" s="11">
        <v>109.8</v>
      </c>
      <c r="I379" s="11">
        <v>92.5</v>
      </c>
      <c r="J379" s="11">
        <v>78.400000000000006</v>
      </c>
      <c r="K379" s="11">
        <v>102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</row>
    <row r="380" spans="1:60" ht="15.75" x14ac:dyDescent="0.25">
      <c r="A380" s="12" t="s">
        <v>839</v>
      </c>
      <c r="B380" s="11">
        <v>99.5</v>
      </c>
      <c r="C380" s="11">
        <v>98.7</v>
      </c>
      <c r="D380" s="11">
        <v>100.8</v>
      </c>
      <c r="E380" s="11">
        <v>103.1</v>
      </c>
      <c r="F380" s="11">
        <v>110.6</v>
      </c>
      <c r="G380" s="11">
        <v>102.3</v>
      </c>
      <c r="H380" s="11">
        <v>110.6</v>
      </c>
      <c r="I380" s="11">
        <v>95</v>
      </c>
      <c r="J380" s="11">
        <v>79.7</v>
      </c>
      <c r="K380" s="11">
        <v>106.1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</row>
    <row r="381" spans="1:60" ht="15.75" x14ac:dyDescent="0.25">
      <c r="A381" s="12" t="s">
        <v>840</v>
      </c>
      <c r="B381" s="11">
        <v>100.3</v>
      </c>
      <c r="C381" s="11">
        <v>99.3</v>
      </c>
      <c r="D381" s="11">
        <v>101.3</v>
      </c>
      <c r="E381" s="11">
        <v>104</v>
      </c>
      <c r="F381" s="11">
        <v>113.8</v>
      </c>
      <c r="G381" s="11">
        <v>104.5</v>
      </c>
      <c r="H381" s="11">
        <v>112.2</v>
      </c>
      <c r="I381" s="11">
        <v>93.3</v>
      </c>
      <c r="J381" s="11">
        <v>79.7</v>
      </c>
      <c r="K381" s="11">
        <v>109.1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</row>
    <row r="382" spans="1:60" ht="15.75" x14ac:dyDescent="0.25">
      <c r="A382" s="12" t="s">
        <v>841</v>
      </c>
      <c r="B382" s="11">
        <v>100.2</v>
      </c>
      <c r="C382" s="11">
        <v>99.2</v>
      </c>
      <c r="D382" s="11">
        <v>102.2</v>
      </c>
      <c r="E382" s="11">
        <v>102.2</v>
      </c>
      <c r="F382" s="11">
        <v>111.4</v>
      </c>
      <c r="G382" s="11">
        <v>103.5</v>
      </c>
      <c r="H382" s="11">
        <v>104.8</v>
      </c>
      <c r="I382" s="11">
        <v>94.2</v>
      </c>
      <c r="J382" s="11">
        <v>81.599999999999994</v>
      </c>
      <c r="K382" s="11">
        <v>109.3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</row>
    <row r="383" spans="1:60" ht="15.75" x14ac:dyDescent="0.25">
      <c r="A383" s="12" t="s">
        <v>842</v>
      </c>
      <c r="B383" s="11">
        <v>100.1</v>
      </c>
      <c r="C383" s="11">
        <v>98.9</v>
      </c>
      <c r="D383" s="11">
        <v>100.8</v>
      </c>
      <c r="E383" s="11">
        <v>102.4</v>
      </c>
      <c r="F383" s="11">
        <v>110.4</v>
      </c>
      <c r="G383" s="11">
        <v>103.1</v>
      </c>
      <c r="H383" s="11">
        <v>104.6</v>
      </c>
      <c r="I383" s="11">
        <v>95.9</v>
      </c>
      <c r="J383" s="11">
        <v>83.1</v>
      </c>
      <c r="K383" s="11">
        <v>111.3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</row>
    <row r="384" spans="1:60" ht="15.75" x14ac:dyDescent="0.25">
      <c r="A384" s="12" t="s">
        <v>843</v>
      </c>
      <c r="B384" s="11">
        <v>100.6</v>
      </c>
      <c r="C384" s="11">
        <v>99.5</v>
      </c>
      <c r="D384" s="11">
        <v>101</v>
      </c>
      <c r="E384" s="11">
        <v>103.2</v>
      </c>
      <c r="F384" s="11">
        <v>108.5</v>
      </c>
      <c r="G384" s="11">
        <v>104.4</v>
      </c>
      <c r="H384" s="11">
        <v>106.1</v>
      </c>
      <c r="I384" s="11">
        <v>97.3</v>
      </c>
      <c r="J384" s="11">
        <v>84</v>
      </c>
      <c r="K384" s="11">
        <v>110.7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</row>
    <row r="385" spans="1:60" ht="15.75" x14ac:dyDescent="0.25">
      <c r="A385" s="12" t="s">
        <v>844</v>
      </c>
      <c r="B385" s="11">
        <v>100.8</v>
      </c>
      <c r="C385" s="11">
        <v>99.7</v>
      </c>
      <c r="D385" s="11">
        <v>101.4</v>
      </c>
      <c r="E385" s="11">
        <v>102.9</v>
      </c>
      <c r="F385" s="11">
        <v>108.2</v>
      </c>
      <c r="G385" s="11">
        <v>107</v>
      </c>
      <c r="H385" s="11">
        <v>102.9</v>
      </c>
      <c r="I385" s="11">
        <v>96.3</v>
      </c>
      <c r="J385" s="11">
        <v>85.1</v>
      </c>
      <c r="K385" s="11">
        <v>111.1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</row>
    <row r="386" spans="1:60" ht="15.75" x14ac:dyDescent="0.25">
      <c r="A386" s="12" t="s">
        <v>845</v>
      </c>
      <c r="B386" s="11">
        <v>99.8</v>
      </c>
      <c r="C386" s="11">
        <v>98.7</v>
      </c>
      <c r="D386" s="11">
        <v>100.9</v>
      </c>
      <c r="E386" s="11">
        <v>101.3</v>
      </c>
      <c r="F386" s="11">
        <v>108.7</v>
      </c>
      <c r="G386" s="11">
        <v>100.5</v>
      </c>
      <c r="H386" s="11">
        <v>104.4</v>
      </c>
      <c r="I386" s="11">
        <v>95.9</v>
      </c>
      <c r="J386" s="11">
        <v>85</v>
      </c>
      <c r="K386" s="11">
        <v>109.1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</row>
    <row r="387" spans="1:60" ht="15.75" x14ac:dyDescent="0.25">
      <c r="A387" s="12" t="s">
        <v>846</v>
      </c>
      <c r="B387" s="11">
        <v>101.3</v>
      </c>
      <c r="C387" s="11">
        <v>100.2</v>
      </c>
      <c r="D387" s="11">
        <v>101</v>
      </c>
      <c r="E387" s="11">
        <v>104.3</v>
      </c>
      <c r="F387" s="11">
        <v>109.6</v>
      </c>
      <c r="G387" s="11">
        <v>104.3</v>
      </c>
      <c r="H387" s="11">
        <v>107</v>
      </c>
      <c r="I387" s="11">
        <v>99.4</v>
      </c>
      <c r="J387" s="11">
        <v>85.8</v>
      </c>
      <c r="K387" s="11">
        <v>110.9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</row>
    <row r="388" spans="1:60" ht="15.75" x14ac:dyDescent="0.25">
      <c r="A388" s="12" t="s">
        <v>847</v>
      </c>
      <c r="B388" s="11">
        <v>102.2</v>
      </c>
      <c r="C388" s="11">
        <v>101.2</v>
      </c>
      <c r="D388" s="11">
        <v>101.8</v>
      </c>
      <c r="E388" s="11">
        <v>103.2</v>
      </c>
      <c r="F388" s="11">
        <v>110.1</v>
      </c>
      <c r="G388" s="11">
        <v>104.8</v>
      </c>
      <c r="H388" s="11">
        <v>103.6</v>
      </c>
      <c r="I388" s="11">
        <v>97.5</v>
      </c>
      <c r="J388" s="11">
        <v>93.7</v>
      </c>
      <c r="K388" s="11">
        <v>110.9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</row>
    <row r="389" spans="1:60" ht="15.75" x14ac:dyDescent="0.25">
      <c r="A389" s="12" t="s">
        <v>848</v>
      </c>
      <c r="B389" s="11">
        <v>101.7</v>
      </c>
      <c r="C389" s="11">
        <v>100.8</v>
      </c>
      <c r="D389" s="11">
        <v>102.3</v>
      </c>
      <c r="E389" s="11">
        <v>103</v>
      </c>
      <c r="F389" s="11">
        <v>109.5</v>
      </c>
      <c r="G389" s="11">
        <v>104.8</v>
      </c>
      <c r="H389" s="11">
        <v>104.4</v>
      </c>
      <c r="I389" s="11">
        <v>96.8</v>
      </c>
      <c r="J389" s="11">
        <v>90</v>
      </c>
      <c r="K389" s="11">
        <v>109.9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</row>
    <row r="390" spans="1:60" ht="15.75" x14ac:dyDescent="0.25">
      <c r="A390" s="12" t="s">
        <v>849</v>
      </c>
      <c r="B390" s="11">
        <v>101.6</v>
      </c>
      <c r="C390" s="11">
        <v>100.8</v>
      </c>
      <c r="D390" s="11">
        <v>102.6</v>
      </c>
      <c r="E390" s="11">
        <v>102.7</v>
      </c>
      <c r="F390" s="11">
        <v>106.9</v>
      </c>
      <c r="G390" s="11">
        <v>104.8</v>
      </c>
      <c r="H390" s="11">
        <v>107.2</v>
      </c>
      <c r="I390" s="11">
        <v>95.9</v>
      </c>
      <c r="J390" s="11">
        <v>89.7</v>
      </c>
      <c r="K390" s="11">
        <v>109.2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</row>
    <row r="391" spans="1:60" ht="15.75" x14ac:dyDescent="0.25">
      <c r="A391" s="12" t="s">
        <v>850</v>
      </c>
      <c r="B391" s="11">
        <v>101.4</v>
      </c>
      <c r="C391" s="11">
        <v>100.5</v>
      </c>
      <c r="D391" s="11">
        <v>102.5</v>
      </c>
      <c r="E391" s="11">
        <v>102.2</v>
      </c>
      <c r="F391" s="11">
        <v>109.1</v>
      </c>
      <c r="G391" s="11">
        <v>103.6</v>
      </c>
      <c r="H391" s="11">
        <v>104.9</v>
      </c>
      <c r="I391" s="11">
        <v>95.3</v>
      </c>
      <c r="J391" s="11">
        <v>89.5</v>
      </c>
      <c r="K391" s="11">
        <v>109.8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</row>
    <row r="392" spans="1:60" ht="15.75" x14ac:dyDescent="0.25">
      <c r="A392" s="12" t="s">
        <v>851</v>
      </c>
      <c r="B392" s="11">
        <v>100.5</v>
      </c>
      <c r="C392" s="11">
        <v>99.6</v>
      </c>
      <c r="D392" s="11">
        <v>101.6</v>
      </c>
      <c r="E392" s="11">
        <v>101.3</v>
      </c>
      <c r="F392" s="11">
        <v>108.3</v>
      </c>
      <c r="G392" s="11">
        <v>100.9</v>
      </c>
      <c r="H392" s="11">
        <v>105.9</v>
      </c>
      <c r="I392" s="11">
        <v>95</v>
      </c>
      <c r="J392" s="11">
        <v>88.5</v>
      </c>
      <c r="K392" s="11">
        <v>109.2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</row>
    <row r="393" spans="1:60" ht="15.75" x14ac:dyDescent="0.25">
      <c r="A393" s="12" t="s">
        <v>852</v>
      </c>
      <c r="B393" s="11">
        <v>100.9</v>
      </c>
      <c r="C393" s="11">
        <v>99.6</v>
      </c>
      <c r="D393" s="11">
        <v>100.5</v>
      </c>
      <c r="E393" s="11">
        <v>102.6</v>
      </c>
      <c r="F393" s="11">
        <v>110</v>
      </c>
      <c r="G393" s="11">
        <v>103</v>
      </c>
      <c r="H393" s="11">
        <v>106.8</v>
      </c>
      <c r="I393" s="11">
        <v>95.4</v>
      </c>
      <c r="J393" s="11">
        <v>87.9</v>
      </c>
      <c r="K393" s="11">
        <v>112.5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</row>
    <row r="394" spans="1:60" ht="15.75" x14ac:dyDescent="0.25">
      <c r="A394" s="12" t="s">
        <v>853</v>
      </c>
      <c r="B394" s="11">
        <v>101.2</v>
      </c>
      <c r="C394" s="11">
        <v>100.5</v>
      </c>
      <c r="D394" s="11">
        <v>102.3</v>
      </c>
      <c r="E394" s="11">
        <v>103.2</v>
      </c>
      <c r="F394" s="11">
        <v>109.7</v>
      </c>
      <c r="G394" s="11">
        <v>105.7</v>
      </c>
      <c r="H394" s="11">
        <v>104.7</v>
      </c>
      <c r="I394" s="11">
        <v>96.2</v>
      </c>
      <c r="J394" s="11">
        <v>87.6</v>
      </c>
      <c r="K394" s="11">
        <v>107.1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</row>
    <row r="395" spans="1:60" ht="15.75" x14ac:dyDescent="0.25">
      <c r="A395" s="12" t="s">
        <v>854</v>
      </c>
      <c r="B395" s="11">
        <v>100</v>
      </c>
      <c r="C395" s="11">
        <v>99.2</v>
      </c>
      <c r="D395" s="11">
        <v>101.4</v>
      </c>
      <c r="E395" s="11">
        <v>101.2</v>
      </c>
      <c r="F395" s="11">
        <v>107.1</v>
      </c>
      <c r="G395" s="11">
        <v>103.9</v>
      </c>
      <c r="H395" s="11">
        <v>104.4</v>
      </c>
      <c r="I395" s="11">
        <v>93.7</v>
      </c>
      <c r="J395" s="11">
        <v>86.5</v>
      </c>
      <c r="K395" s="11">
        <v>107.5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</row>
    <row r="396" spans="1:60" ht="15.75" x14ac:dyDescent="0.25">
      <c r="A396" s="12" t="s">
        <v>855</v>
      </c>
      <c r="B396" s="11">
        <v>94.6</v>
      </c>
      <c r="C396" s="11">
        <v>95.3</v>
      </c>
      <c r="D396" s="11">
        <v>110.7</v>
      </c>
      <c r="E396" s="11">
        <v>82.2</v>
      </c>
      <c r="F396" s="11">
        <v>108.7</v>
      </c>
      <c r="G396" s="11">
        <v>67.099999999999994</v>
      </c>
      <c r="H396" s="11">
        <v>94.8</v>
      </c>
      <c r="I396" s="11">
        <v>73.099999999999994</v>
      </c>
      <c r="J396" s="11">
        <v>89.8</v>
      </c>
      <c r="K396" s="11">
        <v>87.3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</row>
    <row r="397" spans="1:60" ht="15.75" x14ac:dyDescent="0.25">
      <c r="A397" s="12" t="s">
        <v>856</v>
      </c>
      <c r="B397" s="11">
        <v>77.8</v>
      </c>
      <c r="C397" s="11">
        <v>81.400000000000006</v>
      </c>
      <c r="D397" s="11">
        <v>107.2</v>
      </c>
      <c r="E397" s="11">
        <v>47.8</v>
      </c>
      <c r="F397" s="11">
        <v>81</v>
      </c>
      <c r="G397" s="11">
        <v>33.299999999999997</v>
      </c>
      <c r="H397" s="11">
        <v>50.5</v>
      </c>
      <c r="I397" s="11">
        <v>39.9</v>
      </c>
      <c r="J397" s="11">
        <v>107.8</v>
      </c>
      <c r="K397" s="11">
        <v>43.1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</row>
    <row r="398" spans="1:60" ht="15.75" x14ac:dyDescent="0.25">
      <c r="A398" s="12" t="s">
        <v>857</v>
      </c>
      <c r="B398" s="11">
        <v>87.7</v>
      </c>
      <c r="C398" s="11">
        <v>90.6</v>
      </c>
      <c r="D398" s="11">
        <v>108.2</v>
      </c>
      <c r="E398" s="11">
        <v>59.5</v>
      </c>
      <c r="F398" s="11">
        <v>94</v>
      </c>
      <c r="G398" s="11">
        <v>39.299999999999997</v>
      </c>
      <c r="H398" s="11">
        <v>71.8</v>
      </c>
      <c r="I398" s="11">
        <v>50.2</v>
      </c>
      <c r="J398" s="11">
        <v>133</v>
      </c>
      <c r="K398" s="11">
        <v>60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</row>
    <row r="399" spans="1:60" ht="15.75" x14ac:dyDescent="0.25">
      <c r="A399" s="12" t="s">
        <v>858</v>
      </c>
      <c r="B399" s="11">
        <v>99.7</v>
      </c>
      <c r="C399" s="11">
        <v>102.1</v>
      </c>
      <c r="D399" s="11">
        <v>107.5</v>
      </c>
      <c r="E399" s="11">
        <v>86.4</v>
      </c>
      <c r="F399" s="11">
        <v>101.7</v>
      </c>
      <c r="G399" s="11">
        <v>68.400000000000006</v>
      </c>
      <c r="H399" s="11">
        <v>107.6</v>
      </c>
      <c r="I399" s="11">
        <v>81</v>
      </c>
      <c r="J399" s="11">
        <v>133.80000000000001</v>
      </c>
      <c r="K399" s="11">
        <v>76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</row>
    <row r="400" spans="1:60" ht="15.75" x14ac:dyDescent="0.25">
      <c r="A400" s="12" t="s">
        <v>859</v>
      </c>
      <c r="B400" s="11">
        <v>104</v>
      </c>
      <c r="C400" s="11">
        <v>105.2</v>
      </c>
      <c r="D400" s="11">
        <v>104.9</v>
      </c>
      <c r="E400" s="11">
        <v>97.5</v>
      </c>
      <c r="F400" s="11">
        <v>102.4</v>
      </c>
      <c r="G400" s="11">
        <v>80.400000000000006</v>
      </c>
      <c r="H400" s="11">
        <v>116.4</v>
      </c>
      <c r="I400" s="11">
        <v>98.1</v>
      </c>
      <c r="J400" s="11">
        <v>129.30000000000001</v>
      </c>
      <c r="K400" s="11">
        <v>91.7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</row>
    <row r="401" spans="1:60" ht="15.75" x14ac:dyDescent="0.25">
      <c r="A401" s="12" t="s">
        <v>860</v>
      </c>
      <c r="B401" s="11">
        <v>105.4</v>
      </c>
      <c r="C401" s="11">
        <v>106.3</v>
      </c>
      <c r="D401" s="11">
        <v>106.4</v>
      </c>
      <c r="E401" s="11">
        <v>100.4</v>
      </c>
      <c r="F401" s="11">
        <v>104.7</v>
      </c>
      <c r="G401" s="11">
        <v>90</v>
      </c>
      <c r="H401" s="11">
        <v>118</v>
      </c>
      <c r="I401" s="11">
        <v>96.5</v>
      </c>
      <c r="J401" s="11">
        <v>123.9</v>
      </c>
      <c r="K401" s="11">
        <v>96.4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</row>
    <row r="402" spans="1:60" ht="15.75" x14ac:dyDescent="0.25">
      <c r="A402" s="12" t="s">
        <v>861</v>
      </c>
      <c r="B402" s="11">
        <v>107</v>
      </c>
      <c r="C402" s="11">
        <v>108</v>
      </c>
      <c r="D402" s="11">
        <v>107.3</v>
      </c>
      <c r="E402" s="11">
        <v>103.9</v>
      </c>
      <c r="F402" s="11">
        <v>106.9</v>
      </c>
      <c r="G402" s="11">
        <v>91.7</v>
      </c>
      <c r="H402" s="11">
        <v>120</v>
      </c>
      <c r="I402" s="11">
        <v>103.1</v>
      </c>
      <c r="J402" s="11">
        <v>122.2</v>
      </c>
      <c r="K402" s="11">
        <v>97.4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</row>
    <row r="403" spans="1:60" ht="15.75" x14ac:dyDescent="0.25">
      <c r="A403" s="12" t="s">
        <v>862</v>
      </c>
      <c r="B403" s="11">
        <v>107.9</v>
      </c>
      <c r="C403" s="11">
        <v>109</v>
      </c>
      <c r="D403" s="11">
        <v>106</v>
      </c>
      <c r="E403" s="11">
        <v>104.8</v>
      </c>
      <c r="F403" s="11">
        <v>108.7</v>
      </c>
      <c r="G403" s="11">
        <v>90.1</v>
      </c>
      <c r="H403" s="11">
        <v>123.7</v>
      </c>
      <c r="I403" s="11">
        <v>103.9</v>
      </c>
      <c r="J403" s="11">
        <v>130.6</v>
      </c>
      <c r="K403" s="11">
        <v>97.2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</row>
    <row r="404" spans="1:60" ht="15.75" x14ac:dyDescent="0.25">
      <c r="A404" s="12" t="s">
        <v>863</v>
      </c>
      <c r="B404" s="11">
        <v>102.8</v>
      </c>
      <c r="C404" s="11">
        <v>105</v>
      </c>
      <c r="D404" s="11">
        <v>108.1</v>
      </c>
      <c r="E404" s="11">
        <v>93.6</v>
      </c>
      <c r="F404" s="11">
        <v>107.7</v>
      </c>
      <c r="G404" s="11">
        <v>70.3</v>
      </c>
      <c r="H404" s="11">
        <v>119.3</v>
      </c>
      <c r="I404" s="11">
        <v>90.3</v>
      </c>
      <c r="J404" s="11">
        <v>130.19999999999999</v>
      </c>
      <c r="K404" s="11">
        <v>81.5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</row>
    <row r="405" spans="1:60" ht="15.75" x14ac:dyDescent="0.25">
      <c r="A405" s="12" t="s">
        <v>864</v>
      </c>
      <c r="B405" s="11">
        <v>104.4</v>
      </c>
      <c r="C405" s="11">
        <v>106.7</v>
      </c>
      <c r="D405" s="11">
        <v>104.8</v>
      </c>
      <c r="E405" s="11">
        <v>100.8</v>
      </c>
      <c r="F405" s="11">
        <v>105.5</v>
      </c>
      <c r="G405" s="11">
        <v>87.2</v>
      </c>
      <c r="H405" s="11">
        <v>119.5</v>
      </c>
      <c r="I405" s="11">
        <v>98.8</v>
      </c>
      <c r="J405" s="11">
        <v>130.5</v>
      </c>
      <c r="K405" s="11">
        <v>81.599999999999994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</row>
    <row r="406" spans="1:60" ht="15.75" x14ac:dyDescent="0.25">
      <c r="A406" s="12" t="s">
        <v>865</v>
      </c>
      <c r="B406" s="11">
        <v>95.6</v>
      </c>
      <c r="C406" s="11">
        <v>97.1</v>
      </c>
      <c r="D406" s="11">
        <v>107.7</v>
      </c>
      <c r="E406" s="11">
        <v>76.2</v>
      </c>
      <c r="F406" s="11">
        <v>91.8</v>
      </c>
      <c r="G406" s="11">
        <v>56.3</v>
      </c>
      <c r="H406" s="11">
        <v>94.5</v>
      </c>
      <c r="I406" s="11">
        <v>73.7</v>
      </c>
      <c r="J406" s="11">
        <v>129.4</v>
      </c>
      <c r="K406" s="11">
        <v>81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</row>
    <row r="407" spans="1:60" ht="15.75" x14ac:dyDescent="0.25">
      <c r="A407" s="12" t="s">
        <v>866</v>
      </c>
      <c r="B407" s="11">
        <v>96.5</v>
      </c>
      <c r="C407" s="11">
        <v>98.3</v>
      </c>
      <c r="D407" s="11">
        <v>108.6</v>
      </c>
      <c r="E407" s="11">
        <v>78.7</v>
      </c>
      <c r="F407" s="11">
        <v>103.3</v>
      </c>
      <c r="G407" s="11">
        <v>52.8</v>
      </c>
      <c r="H407" s="11">
        <v>107.7</v>
      </c>
      <c r="I407" s="11">
        <v>70.099999999999994</v>
      </c>
      <c r="J407" s="11">
        <v>127.4</v>
      </c>
      <c r="K407" s="11">
        <v>79.099999999999994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</row>
    <row r="408" spans="1:60" ht="15.75" x14ac:dyDescent="0.25">
      <c r="A408" s="12" t="s">
        <v>867</v>
      </c>
      <c r="B408" s="11">
        <v>100.7</v>
      </c>
      <c r="C408" s="11">
        <v>101.9</v>
      </c>
      <c r="D408" s="11">
        <v>110.8</v>
      </c>
      <c r="E408" s="11">
        <v>85.5</v>
      </c>
      <c r="F408" s="11">
        <v>107.4</v>
      </c>
      <c r="G408" s="11">
        <v>60.3</v>
      </c>
      <c r="H408" s="11">
        <v>110.6</v>
      </c>
      <c r="I408" s="11">
        <v>80</v>
      </c>
      <c r="J408" s="11">
        <v>125.3</v>
      </c>
      <c r="K408" s="11">
        <v>88.8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</row>
    <row r="409" spans="1:60" ht="15.75" x14ac:dyDescent="0.25">
      <c r="A409" s="12" t="s">
        <v>868</v>
      </c>
      <c r="B409" s="11">
        <v>109.2</v>
      </c>
      <c r="C409" s="11">
        <v>110.4</v>
      </c>
      <c r="D409" s="11">
        <v>109.7</v>
      </c>
      <c r="E409" s="11">
        <v>106.4</v>
      </c>
      <c r="F409" s="11">
        <v>110.7</v>
      </c>
      <c r="G409" s="11">
        <v>99.4</v>
      </c>
      <c r="H409" s="11">
        <v>123.9</v>
      </c>
      <c r="I409" s="11">
        <v>99.8</v>
      </c>
      <c r="J409" s="11">
        <v>124.9</v>
      </c>
      <c r="K409" s="11">
        <v>97.2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</row>
    <row r="410" spans="1:60" ht="15.75" x14ac:dyDescent="0.25">
      <c r="A410" s="12" t="s">
        <v>869</v>
      </c>
      <c r="B410" s="11">
        <v>107</v>
      </c>
      <c r="C410" s="11">
        <v>107.7</v>
      </c>
      <c r="D410" s="11">
        <v>103.9</v>
      </c>
      <c r="E410" s="11">
        <v>107.5</v>
      </c>
      <c r="F410" s="11">
        <v>106.2</v>
      </c>
      <c r="G410" s="11">
        <v>94.4</v>
      </c>
      <c r="H410" s="11">
        <v>128.1</v>
      </c>
      <c r="I410" s="11">
        <v>107.3</v>
      </c>
      <c r="J410" s="11">
        <v>119.4</v>
      </c>
      <c r="K410" s="11">
        <v>100.3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</row>
    <row r="411" spans="1:60" ht="15.75" x14ac:dyDescent="0.25">
      <c r="A411" s="12" t="s">
        <v>870</v>
      </c>
      <c r="B411" s="11">
        <v>108</v>
      </c>
      <c r="C411" s="11">
        <v>108.3</v>
      </c>
      <c r="D411" s="11">
        <v>107.4</v>
      </c>
      <c r="E411" s="11">
        <v>106</v>
      </c>
      <c r="F411" s="11">
        <v>104.6</v>
      </c>
      <c r="G411" s="11">
        <v>94.6</v>
      </c>
      <c r="H411" s="11">
        <v>120.6</v>
      </c>
      <c r="I411" s="11">
        <v>107.8</v>
      </c>
      <c r="J411" s="11">
        <v>118.2</v>
      </c>
      <c r="K411" s="11">
        <v>104.8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</row>
    <row r="412" spans="1:60" ht="15.75" x14ac:dyDescent="0.25">
      <c r="A412" s="12" t="s">
        <v>871</v>
      </c>
      <c r="B412" s="11">
        <v>105.5</v>
      </c>
      <c r="C412" s="11">
        <v>105.7</v>
      </c>
      <c r="D412" s="11">
        <v>106.5</v>
      </c>
      <c r="E412" s="11">
        <v>102.4</v>
      </c>
      <c r="F412" s="11">
        <v>101.8</v>
      </c>
      <c r="G412" s="11">
        <v>92.8</v>
      </c>
      <c r="H412" s="11">
        <v>117.2</v>
      </c>
      <c r="I412" s="11">
        <v>102.1</v>
      </c>
      <c r="J412" s="11">
        <v>113.5</v>
      </c>
      <c r="K412" s="11">
        <v>104.4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</row>
    <row r="413" spans="1:60" ht="15.75" x14ac:dyDescent="0.25">
      <c r="A413" s="12" t="s">
        <v>872</v>
      </c>
      <c r="B413" s="11">
        <v>105.8</v>
      </c>
      <c r="C413" s="11">
        <v>105.8</v>
      </c>
      <c r="D413" s="11">
        <v>105.5</v>
      </c>
      <c r="E413" s="11">
        <v>103.9</v>
      </c>
      <c r="F413" s="11">
        <v>102.1</v>
      </c>
      <c r="G413" s="11">
        <v>97.9</v>
      </c>
      <c r="H413" s="11">
        <v>113.6</v>
      </c>
      <c r="I413" s="11">
        <v>104</v>
      </c>
      <c r="J413" s="11">
        <v>112.1</v>
      </c>
      <c r="K413" s="11">
        <v>107.1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</row>
    <row r="414" spans="1:60" ht="15.75" x14ac:dyDescent="0.25">
      <c r="A414" s="12" t="s">
        <v>873</v>
      </c>
      <c r="B414" s="11">
        <v>105.9</v>
      </c>
      <c r="C414" s="11">
        <v>105.5</v>
      </c>
      <c r="D414" s="11">
        <v>104.8</v>
      </c>
      <c r="E414" s="11">
        <v>103.7</v>
      </c>
      <c r="F414" s="11">
        <v>104.6</v>
      </c>
      <c r="G414" s="11">
        <v>100.3</v>
      </c>
      <c r="H414" s="11">
        <v>106.6</v>
      </c>
      <c r="I414" s="11">
        <v>104</v>
      </c>
      <c r="J414" s="11">
        <v>113.2</v>
      </c>
      <c r="K414" s="11">
        <v>110.4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</row>
    <row r="415" spans="1:60" ht="15.75" x14ac:dyDescent="0.25">
      <c r="A415" s="12" t="s">
        <v>874</v>
      </c>
      <c r="B415" s="11">
        <v>105.5</v>
      </c>
      <c r="C415" s="11">
        <v>106.1</v>
      </c>
      <c r="D415" s="11">
        <v>105.1</v>
      </c>
      <c r="E415" s="11">
        <v>105.7</v>
      </c>
      <c r="F415" s="11">
        <v>104.2</v>
      </c>
      <c r="G415" s="11">
        <v>103</v>
      </c>
      <c r="H415" s="11">
        <v>107.7</v>
      </c>
      <c r="I415" s="11">
        <v>107.3</v>
      </c>
      <c r="J415" s="11">
        <v>110.3</v>
      </c>
      <c r="K415" s="11">
        <v>99.9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</row>
    <row r="416" spans="1:60" ht="15.75" x14ac:dyDescent="0.25">
      <c r="A416" s="12" t="s">
        <v>875</v>
      </c>
      <c r="B416" s="11">
        <v>105.1</v>
      </c>
      <c r="C416" s="11">
        <v>105.2</v>
      </c>
      <c r="D416" s="11">
        <v>103.8</v>
      </c>
      <c r="E416" s="11">
        <v>104.7</v>
      </c>
      <c r="F416" s="11">
        <v>101.8</v>
      </c>
      <c r="G416" s="11">
        <v>103.3</v>
      </c>
      <c r="H416" s="11">
        <v>105.1</v>
      </c>
      <c r="I416" s="11">
        <v>106.9</v>
      </c>
      <c r="J416" s="11">
        <v>110.9</v>
      </c>
      <c r="K416" s="11">
        <v>103.9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</row>
    <row r="417" spans="1:60" ht="15.75" x14ac:dyDescent="0.25">
      <c r="A417" s="12" t="s">
        <v>876</v>
      </c>
      <c r="B417" s="11">
        <v>105.4</v>
      </c>
      <c r="C417" s="11">
        <v>106</v>
      </c>
      <c r="D417" s="11">
        <v>105.1</v>
      </c>
      <c r="E417" s="11">
        <v>101.6</v>
      </c>
      <c r="F417" s="11">
        <v>100.3</v>
      </c>
      <c r="G417" s="11">
        <v>94.9</v>
      </c>
      <c r="H417" s="11">
        <v>110.8</v>
      </c>
      <c r="I417" s="11">
        <v>102.3</v>
      </c>
      <c r="J417" s="11">
        <v>121.9</v>
      </c>
      <c r="K417" s="11">
        <v>100.2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</row>
    <row r="418" spans="1:60" ht="15.75" x14ac:dyDescent="0.25">
      <c r="A418" s="12" t="s">
        <v>877</v>
      </c>
      <c r="B418" s="11">
        <v>104.1</v>
      </c>
      <c r="C418" s="11">
        <v>104.3</v>
      </c>
      <c r="D418" s="11">
        <v>101.9</v>
      </c>
      <c r="E418" s="11">
        <v>102.3</v>
      </c>
      <c r="F418" s="11">
        <v>101.2</v>
      </c>
      <c r="G418" s="11">
        <v>92.8</v>
      </c>
      <c r="H418" s="11">
        <v>107.2</v>
      </c>
      <c r="I418" s="11">
        <v>107.8</v>
      </c>
      <c r="J418" s="11">
        <v>117.4</v>
      </c>
      <c r="K418" s="11">
        <v>102.2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</row>
    <row r="419" spans="1:60" ht="15.75" x14ac:dyDescent="0.25">
      <c r="A419" s="12" t="s">
        <v>878</v>
      </c>
      <c r="B419" s="11">
        <v>102.8</v>
      </c>
      <c r="C419" s="11">
        <v>102.7</v>
      </c>
      <c r="D419" s="11">
        <v>100.9</v>
      </c>
      <c r="E419" s="11">
        <v>102.1</v>
      </c>
      <c r="F419" s="11">
        <v>102.2</v>
      </c>
      <c r="G419" s="11">
        <v>100.4</v>
      </c>
      <c r="H419" s="11">
        <v>105.6</v>
      </c>
      <c r="I419" s="11">
        <v>101.3</v>
      </c>
      <c r="J419" s="11">
        <v>110.1</v>
      </c>
      <c r="K419" s="11">
        <v>103.8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</row>
    <row r="420" spans="1:60" ht="15.75" x14ac:dyDescent="0.25">
      <c r="A420" s="12" t="s">
        <v>879</v>
      </c>
      <c r="B420" s="11">
        <v>101.9</v>
      </c>
      <c r="C420" s="11">
        <v>102</v>
      </c>
      <c r="D420" s="11">
        <v>101.4</v>
      </c>
      <c r="E420" s="11">
        <v>103.8</v>
      </c>
      <c r="F420" s="11">
        <v>104</v>
      </c>
      <c r="G420" s="11">
        <v>100.1</v>
      </c>
      <c r="H420" s="11">
        <v>106.2</v>
      </c>
      <c r="I420" s="11">
        <v>105.2</v>
      </c>
      <c r="J420" s="11">
        <v>98.6</v>
      </c>
      <c r="K420" s="11">
        <v>101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</row>
    <row r="421" spans="1:60" ht="15.75" x14ac:dyDescent="0.25">
      <c r="A421" s="12" t="s">
        <v>880</v>
      </c>
      <c r="B421" s="11">
        <v>101.5</v>
      </c>
      <c r="C421" s="11">
        <v>101.4</v>
      </c>
      <c r="D421" s="11">
        <v>100.8</v>
      </c>
      <c r="E421" s="11">
        <v>101</v>
      </c>
      <c r="F421" s="11">
        <v>101.3</v>
      </c>
      <c r="G421" s="11">
        <v>100.6</v>
      </c>
      <c r="H421" s="11">
        <v>102.1</v>
      </c>
      <c r="I421" s="11">
        <v>100.6</v>
      </c>
      <c r="J421" s="11">
        <v>104.6</v>
      </c>
      <c r="K421" s="11">
        <v>102.4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</row>
    <row r="422" spans="1:60" ht="15.75" x14ac:dyDescent="0.25">
      <c r="A422" s="12" t="s">
        <v>881</v>
      </c>
      <c r="B422" s="11">
        <v>100.1</v>
      </c>
      <c r="C422" s="11">
        <v>99.8</v>
      </c>
      <c r="D422" s="11">
        <v>98.3</v>
      </c>
      <c r="E422" s="11">
        <v>100.6</v>
      </c>
      <c r="F422" s="11">
        <v>99.3</v>
      </c>
      <c r="G422" s="11">
        <v>101</v>
      </c>
      <c r="H422" s="11">
        <v>101.6</v>
      </c>
      <c r="I422" s="11">
        <v>100.4</v>
      </c>
      <c r="J422" s="11">
        <v>102.1</v>
      </c>
      <c r="K422" s="11">
        <v>103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</row>
    <row r="423" spans="1:60" ht="15.75" x14ac:dyDescent="0.25">
      <c r="A423" s="12" t="s">
        <v>882</v>
      </c>
      <c r="B423" s="11">
        <v>99.9</v>
      </c>
      <c r="C423" s="11">
        <v>100</v>
      </c>
      <c r="D423" s="11">
        <v>100.7</v>
      </c>
      <c r="E423" s="11">
        <v>100</v>
      </c>
      <c r="F423" s="11">
        <v>100.3</v>
      </c>
      <c r="G423" s="11">
        <v>99.7</v>
      </c>
      <c r="H423" s="11">
        <v>98.1</v>
      </c>
      <c r="I423" s="11">
        <v>101.2</v>
      </c>
      <c r="J423" s="11">
        <v>98.1</v>
      </c>
      <c r="K423" s="11">
        <v>98.6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</row>
    <row r="424" spans="1:60" ht="15.75" x14ac:dyDescent="0.25">
      <c r="A424" s="12" t="s">
        <v>883</v>
      </c>
      <c r="B424" s="11">
        <v>100.4</v>
      </c>
      <c r="C424" s="11">
        <v>100.5</v>
      </c>
      <c r="D424" s="11">
        <v>102</v>
      </c>
      <c r="E424" s="11">
        <v>99.9</v>
      </c>
      <c r="F424" s="11">
        <v>100.9</v>
      </c>
      <c r="G424" s="11">
        <v>100.5</v>
      </c>
      <c r="H424" s="11">
        <v>97.7</v>
      </c>
      <c r="I424" s="11">
        <v>100.1</v>
      </c>
      <c r="J424" s="11">
        <v>98.2</v>
      </c>
      <c r="K424" s="11">
        <v>98.8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</row>
    <row r="425" spans="1:60" ht="15.75" x14ac:dyDescent="0.25">
      <c r="A425" s="12" t="s">
        <v>884</v>
      </c>
      <c r="B425" s="11">
        <v>98.8</v>
      </c>
      <c r="C425" s="11">
        <v>98.9</v>
      </c>
      <c r="D425" s="11">
        <v>101.2</v>
      </c>
      <c r="E425" s="11">
        <v>97.3</v>
      </c>
      <c r="F425" s="11">
        <v>97.6</v>
      </c>
      <c r="G425" s="11">
        <v>96.7</v>
      </c>
      <c r="H425" s="11">
        <v>97.6</v>
      </c>
      <c r="I425" s="11">
        <v>97.4</v>
      </c>
      <c r="J425" s="11">
        <v>97.1</v>
      </c>
      <c r="K425" s="11">
        <v>97.7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</row>
    <row r="426" spans="1:60" ht="15.75" x14ac:dyDescent="0.25">
      <c r="A426" s="12" t="s">
        <v>885</v>
      </c>
      <c r="B426" s="11">
        <v>97.6</v>
      </c>
      <c r="C426" s="11">
        <v>97.7</v>
      </c>
      <c r="D426" s="11">
        <v>98.6</v>
      </c>
      <c r="E426" s="11">
        <v>97.6</v>
      </c>
      <c r="F426" s="11">
        <v>97.3</v>
      </c>
      <c r="G426" s="11">
        <v>99.1</v>
      </c>
      <c r="H426" s="11">
        <v>96.9</v>
      </c>
      <c r="I426" s="11">
        <v>96.9</v>
      </c>
      <c r="J426" s="11">
        <v>95.5</v>
      </c>
      <c r="K426" s="11">
        <v>97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</row>
    <row r="427" spans="1:60" ht="15.75" x14ac:dyDescent="0.25">
      <c r="A427" s="12" t="s">
        <v>886</v>
      </c>
      <c r="B427" s="11">
        <v>98.6</v>
      </c>
      <c r="C427" s="11">
        <v>98.4</v>
      </c>
      <c r="D427" s="11">
        <v>98.4</v>
      </c>
      <c r="E427" s="11">
        <v>99.3</v>
      </c>
      <c r="F427" s="11">
        <v>97</v>
      </c>
      <c r="G427" s="11">
        <v>101.5</v>
      </c>
      <c r="H427" s="11">
        <v>95.1</v>
      </c>
      <c r="I427" s="11">
        <v>101.2</v>
      </c>
      <c r="J427" s="11">
        <v>95.8</v>
      </c>
      <c r="K427" s="11">
        <v>100.4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</row>
    <row r="428" spans="1:60" ht="15.75" x14ac:dyDescent="0.25">
      <c r="A428" s="12" t="s">
        <v>887</v>
      </c>
      <c r="B428" s="11">
        <v>97.6</v>
      </c>
      <c r="C428" s="11">
        <v>97.6</v>
      </c>
      <c r="D428" s="11">
        <v>98.5</v>
      </c>
      <c r="E428" s="11">
        <v>98.5</v>
      </c>
      <c r="F428" s="11">
        <v>98.8</v>
      </c>
      <c r="G428" s="11">
        <v>102.8</v>
      </c>
      <c r="H428" s="11">
        <v>97.1</v>
      </c>
      <c r="I428" s="11">
        <v>95.7</v>
      </c>
      <c r="J428" s="11">
        <v>92</v>
      </c>
      <c r="K428" s="11">
        <v>98.3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</row>
    <row r="429" spans="1:60" ht="15.75" x14ac:dyDescent="0.25">
      <c r="A429" s="12" t="s">
        <v>888</v>
      </c>
      <c r="B429" s="11">
        <v>97.4</v>
      </c>
      <c r="C429" s="11">
        <v>97.3</v>
      </c>
      <c r="D429" s="11">
        <v>97.7</v>
      </c>
      <c r="E429" s="11">
        <v>97.9</v>
      </c>
      <c r="F429" s="11">
        <v>99.8</v>
      </c>
      <c r="G429" s="11">
        <v>104.2</v>
      </c>
      <c r="H429" s="11">
        <v>95.6</v>
      </c>
      <c r="I429" s="11">
        <v>93.1</v>
      </c>
      <c r="J429" s="11">
        <v>94.1</v>
      </c>
      <c r="K429" s="11">
        <v>98.4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</row>
    <row r="430" spans="1:60" ht="15.75" x14ac:dyDescent="0.25">
      <c r="A430" s="12" t="s">
        <v>889</v>
      </c>
      <c r="B430" s="11">
        <v>98</v>
      </c>
      <c r="C430" s="11">
        <v>97.8</v>
      </c>
      <c r="D430" s="11">
        <v>97.7</v>
      </c>
      <c r="E430" s="11">
        <v>98.5</v>
      </c>
      <c r="F430" s="11">
        <v>99.5</v>
      </c>
      <c r="G430" s="11">
        <v>104.2</v>
      </c>
      <c r="H430" s="11">
        <v>97.5</v>
      </c>
      <c r="I430" s="11">
        <v>93.9</v>
      </c>
      <c r="J430" s="11">
        <v>96.1</v>
      </c>
      <c r="K430" s="11">
        <v>99.1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</row>
    <row r="431" spans="1:60" ht="15.75" x14ac:dyDescent="0.25">
      <c r="A431" s="12" t="s">
        <v>890</v>
      </c>
      <c r="B431" s="11">
        <v>98.2</v>
      </c>
      <c r="C431" s="11">
        <v>98.3</v>
      </c>
      <c r="D431" s="11">
        <v>97.9</v>
      </c>
      <c r="E431" s="11">
        <v>99.4</v>
      </c>
      <c r="F431" s="11">
        <v>100.6</v>
      </c>
      <c r="G431" s="11">
        <v>104.3</v>
      </c>
      <c r="H431" s="11">
        <v>94.8</v>
      </c>
      <c r="I431" s="11">
        <v>97.5</v>
      </c>
      <c r="J431" s="11">
        <v>96.3</v>
      </c>
      <c r="K431" s="11">
        <v>97.2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</row>
    <row r="432" spans="1:60" ht="15.75" x14ac:dyDescent="0.25">
      <c r="A432" s="12" t="s">
        <v>891</v>
      </c>
      <c r="B432" s="11">
        <v>97.3</v>
      </c>
      <c r="C432" s="11">
        <v>97.4</v>
      </c>
      <c r="D432" s="11">
        <v>97.7</v>
      </c>
      <c r="E432" s="11">
        <v>97.4</v>
      </c>
      <c r="F432" s="11">
        <v>100.8</v>
      </c>
      <c r="G432" s="11">
        <v>102.5</v>
      </c>
      <c r="H432" s="11">
        <v>94.6</v>
      </c>
      <c r="I432" s="11">
        <v>93.1</v>
      </c>
      <c r="J432" s="11">
        <v>96.2</v>
      </c>
      <c r="K432" s="11">
        <v>97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</row>
    <row r="433" spans="1:60" ht="15.75" x14ac:dyDescent="0.25">
      <c r="A433" s="12" t="s">
        <v>892</v>
      </c>
      <c r="B433" s="11">
        <v>97.9</v>
      </c>
      <c r="C433" s="11">
        <v>98.2</v>
      </c>
      <c r="D433" s="11">
        <v>98.1</v>
      </c>
      <c r="E433" s="11">
        <v>99</v>
      </c>
      <c r="F433" s="11">
        <v>100.7</v>
      </c>
      <c r="G433" s="11">
        <v>103.4</v>
      </c>
      <c r="H433" s="11">
        <v>96</v>
      </c>
      <c r="I433" s="11">
        <v>96.1</v>
      </c>
      <c r="J433" s="11">
        <v>96.5</v>
      </c>
      <c r="K433" s="11">
        <v>95.6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</row>
    <row r="434" spans="1:60" ht="15.75" x14ac:dyDescent="0.25">
      <c r="A434" s="12" t="s">
        <v>893</v>
      </c>
      <c r="B434" s="11">
        <v>97.7</v>
      </c>
      <c r="C434" s="11">
        <v>97.8</v>
      </c>
      <c r="D434" s="11">
        <v>97.5</v>
      </c>
      <c r="E434" s="11">
        <v>98.1</v>
      </c>
      <c r="F434" s="11">
        <v>101.7</v>
      </c>
      <c r="G434" s="11">
        <v>101.2</v>
      </c>
      <c r="H434" s="11">
        <v>95.8</v>
      </c>
      <c r="I434" s="11">
        <v>95</v>
      </c>
      <c r="J434" s="11">
        <v>97.7</v>
      </c>
      <c r="K434" s="11">
        <v>96.9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</row>
    <row r="435" spans="1:60" ht="15.75" x14ac:dyDescent="0.25">
      <c r="A435" s="12" t="s">
        <v>894</v>
      </c>
      <c r="B435" s="11">
        <v>98.1</v>
      </c>
      <c r="C435" s="11">
        <v>98.3</v>
      </c>
      <c r="D435" s="11">
        <v>98</v>
      </c>
      <c r="E435" s="11">
        <v>99.2</v>
      </c>
      <c r="F435" s="11">
        <v>104.9</v>
      </c>
      <c r="G435" s="11">
        <v>102.2</v>
      </c>
      <c r="H435" s="11">
        <v>96.7</v>
      </c>
      <c r="I435" s="11">
        <v>95</v>
      </c>
      <c r="J435" s="11">
        <v>97</v>
      </c>
      <c r="K435" s="11">
        <v>96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</row>
    <row r="436" spans="1:60" ht="15.75" x14ac:dyDescent="0.25">
      <c r="A436" s="12" t="s">
        <v>895</v>
      </c>
      <c r="B436" s="11">
        <v>97</v>
      </c>
      <c r="C436" s="11">
        <v>96.9</v>
      </c>
      <c r="D436" s="11">
        <v>96</v>
      </c>
      <c r="E436" s="11">
        <v>97.5</v>
      </c>
      <c r="F436" s="11">
        <v>99.6</v>
      </c>
      <c r="G436" s="11">
        <v>100</v>
      </c>
      <c r="H436" s="11">
        <v>96.5</v>
      </c>
      <c r="I436" s="11">
        <v>94.9</v>
      </c>
      <c r="J436" s="11">
        <v>98</v>
      </c>
      <c r="K436" s="11">
        <v>97.6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</row>
    <row r="437" spans="1:60" ht="15.75" x14ac:dyDescent="0.25">
      <c r="A437" s="12" t="s">
        <v>896</v>
      </c>
      <c r="B437" s="11">
        <v>97.2</v>
      </c>
      <c r="C437" s="11">
        <v>97.2</v>
      </c>
      <c r="D437" s="11">
        <v>97.2</v>
      </c>
      <c r="E437" s="11">
        <v>97</v>
      </c>
      <c r="F437" s="11">
        <v>99.7</v>
      </c>
      <c r="G437" s="11">
        <v>99.3</v>
      </c>
      <c r="H437" s="11">
        <v>96.4</v>
      </c>
      <c r="I437" s="11">
        <v>93.9</v>
      </c>
      <c r="J437" s="11">
        <v>98.2</v>
      </c>
      <c r="K437" s="11">
        <v>96.5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</row>
    <row r="438" spans="1:60" ht="15.75" x14ac:dyDescent="0.25">
      <c r="A438" s="12" t="s">
        <v>897</v>
      </c>
      <c r="B438" s="11">
        <v>96.2</v>
      </c>
      <c r="C438" s="11">
        <v>96</v>
      </c>
      <c r="D438" s="11">
        <v>97.2</v>
      </c>
      <c r="E438" s="11">
        <v>94.8</v>
      </c>
      <c r="F438" s="11">
        <v>98.1</v>
      </c>
      <c r="G438" s="11">
        <v>97</v>
      </c>
      <c r="H438" s="11">
        <v>93.7</v>
      </c>
      <c r="I438" s="11">
        <v>91.8</v>
      </c>
      <c r="J438" s="11">
        <v>96.2</v>
      </c>
      <c r="K438" s="11">
        <v>97.3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</row>
    <row r="439" spans="1:60" ht="15.75" x14ac:dyDescent="0.25">
      <c r="A439" s="12" t="s">
        <v>898</v>
      </c>
      <c r="B439" s="11">
        <v>96.3</v>
      </c>
      <c r="C439" s="11">
        <v>96.4</v>
      </c>
      <c r="D439" s="11">
        <v>97.4</v>
      </c>
      <c r="E439" s="11">
        <v>95.3</v>
      </c>
      <c r="F439" s="11">
        <v>98.5</v>
      </c>
      <c r="G439" s="11">
        <v>99.6</v>
      </c>
      <c r="H439" s="11">
        <v>91.7</v>
      </c>
      <c r="I439" s="11">
        <v>92.2</v>
      </c>
      <c r="J439" s="11">
        <v>97.2</v>
      </c>
      <c r="K439" s="11">
        <v>94.6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</row>
    <row r="440" spans="1:60" ht="15.75" x14ac:dyDescent="0.25">
      <c r="A440" s="12" t="s">
        <v>899</v>
      </c>
      <c r="B440" s="11">
        <v>97.8</v>
      </c>
      <c r="C440" s="11">
        <v>98</v>
      </c>
      <c r="D440" s="11">
        <v>97.6</v>
      </c>
      <c r="E440" s="11">
        <v>98.3</v>
      </c>
      <c r="F440" s="11">
        <v>102.2</v>
      </c>
      <c r="G440" s="11">
        <v>101.6</v>
      </c>
      <c r="H440" s="11">
        <v>93.2</v>
      </c>
      <c r="I440" s="11">
        <v>96.4</v>
      </c>
      <c r="J440" s="11">
        <v>98.4</v>
      </c>
      <c r="K440" s="11">
        <v>96.5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</row>
    <row r="441" spans="1:60" ht="15.75" x14ac:dyDescent="0.25">
      <c r="A441" s="12" t="s">
        <v>900</v>
      </c>
      <c r="B441" s="11">
        <v>94.4</v>
      </c>
      <c r="C441" s="11">
        <v>94.5</v>
      </c>
      <c r="D441" s="11">
        <v>93.5</v>
      </c>
      <c r="E441" s="11">
        <v>94.7</v>
      </c>
      <c r="F441" s="11">
        <v>95.7</v>
      </c>
      <c r="G441" s="11">
        <v>97.5</v>
      </c>
      <c r="H441" s="11">
        <v>93.2</v>
      </c>
      <c r="I441" s="11">
        <v>92.8</v>
      </c>
      <c r="J441" s="11">
        <v>97</v>
      </c>
      <c r="K441" s="11">
        <v>93.5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</row>
    <row r="442" spans="1:60" ht="15.75" x14ac:dyDescent="0.25">
      <c r="A442" s="12" t="s">
        <v>901</v>
      </c>
      <c r="B442" s="11">
        <v>98.3</v>
      </c>
      <c r="C442" s="11">
        <v>98</v>
      </c>
      <c r="D442" s="11">
        <v>97.7</v>
      </c>
      <c r="E442" s="11">
        <v>97.9</v>
      </c>
      <c r="F442" s="11">
        <v>97.9</v>
      </c>
      <c r="G442" s="11">
        <v>98.1</v>
      </c>
      <c r="H442" s="11">
        <v>93.5</v>
      </c>
      <c r="I442" s="11">
        <v>100.3</v>
      </c>
      <c r="J442" s="11">
        <v>99</v>
      </c>
      <c r="K442" s="11">
        <v>100.4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</row>
    <row r="443" spans="1:60" ht="15.75" x14ac:dyDescent="0.25">
      <c r="A443" s="12" t="s">
        <v>902</v>
      </c>
      <c r="B443" s="11">
        <v>97.6</v>
      </c>
      <c r="C443" s="11">
        <v>97.5</v>
      </c>
      <c r="D443" s="11">
        <v>97.1</v>
      </c>
      <c r="E443" s="11">
        <v>97.7</v>
      </c>
      <c r="F443" s="11">
        <v>101</v>
      </c>
      <c r="G443" s="11">
        <v>97</v>
      </c>
      <c r="H443" s="11">
        <v>90.8</v>
      </c>
      <c r="I443" s="11">
        <v>100.4</v>
      </c>
      <c r="J443" s="11">
        <v>98.4</v>
      </c>
      <c r="K443" s="11">
        <v>98.4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</row>
    <row r="444" spans="1:60" ht="15.75" x14ac:dyDescent="0.25">
      <c r="A444" s="12" t="s">
        <v>903</v>
      </c>
      <c r="B444" s="11">
        <v>97.3</v>
      </c>
      <c r="C444" s="11">
        <v>96.7</v>
      </c>
      <c r="D444" s="11">
        <v>95.9</v>
      </c>
      <c r="E444" s="11">
        <v>97.3</v>
      </c>
      <c r="F444" s="11">
        <v>96.7</v>
      </c>
      <c r="G444" s="11">
        <v>97.1</v>
      </c>
      <c r="H444" s="11">
        <v>91.8</v>
      </c>
      <c r="I444" s="11">
        <v>101</v>
      </c>
      <c r="J444" s="11">
        <v>97.1</v>
      </c>
      <c r="K444" s="11">
        <v>102.2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</row>
    <row r="445" spans="1:60" ht="15.75" x14ac:dyDescent="0.25">
      <c r="A445" s="12" t="s">
        <v>904</v>
      </c>
      <c r="B445" s="11">
        <v>95.5</v>
      </c>
      <c r="C445" s="11">
        <v>95.4</v>
      </c>
      <c r="D445" s="11">
        <v>95.2</v>
      </c>
      <c r="E445" s="11">
        <v>95.1</v>
      </c>
      <c r="F445" s="11">
        <v>96.9</v>
      </c>
      <c r="G445" s="11">
        <v>93.8</v>
      </c>
      <c r="H445" s="11">
        <v>89.1</v>
      </c>
      <c r="I445" s="11">
        <v>98.5</v>
      </c>
      <c r="J445" s="11">
        <v>97.2</v>
      </c>
      <c r="K445" s="11">
        <v>96.3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</row>
    <row r="446" spans="1:60" ht="15.75" x14ac:dyDescent="0.25">
      <c r="A446" s="12" t="s">
        <v>905</v>
      </c>
      <c r="B446" s="11">
        <v>98.7</v>
      </c>
      <c r="C446" s="11">
        <v>98.6</v>
      </c>
      <c r="D446" s="11">
        <v>96.4</v>
      </c>
      <c r="E446" s="11">
        <v>98.8</v>
      </c>
      <c r="F446" s="11">
        <v>99.5</v>
      </c>
      <c r="G446" s="11">
        <v>98.5</v>
      </c>
      <c r="H446" s="11">
        <v>93</v>
      </c>
      <c r="I446" s="11">
        <v>102</v>
      </c>
      <c r="J446" s="11">
        <v>104.1</v>
      </c>
      <c r="K446" s="11">
        <v>99.3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</row>
    <row r="447" spans="1:60" ht="15.75" x14ac:dyDescent="0.25">
      <c r="A447" s="12" t="s">
        <v>906</v>
      </c>
      <c r="B447" s="11">
        <v>96.7</v>
      </c>
      <c r="C447" s="11">
        <v>96.3</v>
      </c>
      <c r="D447" s="11">
        <v>94.6</v>
      </c>
      <c r="E447" s="11">
        <v>96.6</v>
      </c>
      <c r="F447" s="11">
        <v>96.7</v>
      </c>
      <c r="G447" s="11">
        <v>95.8</v>
      </c>
      <c r="H447" s="11">
        <v>90.5</v>
      </c>
      <c r="I447" s="11">
        <v>100.8</v>
      </c>
      <c r="J447" s="11">
        <v>100.1</v>
      </c>
      <c r="K447" s="11">
        <v>100.3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</row>
    <row r="448" spans="1:60" ht="15.75" x14ac:dyDescent="0.25">
      <c r="A448" s="12" t="s">
        <v>907</v>
      </c>
      <c r="B448" s="11">
        <v>97.6</v>
      </c>
      <c r="C448" s="11">
        <v>97.3</v>
      </c>
      <c r="D448" s="11">
        <v>95.6</v>
      </c>
      <c r="E448" s="11">
        <v>97.7</v>
      </c>
      <c r="F448" s="11">
        <v>100.1</v>
      </c>
      <c r="G448" s="11">
        <v>96.5</v>
      </c>
      <c r="H448" s="11">
        <v>90.1</v>
      </c>
      <c r="I448" s="11">
        <v>101.9</v>
      </c>
      <c r="J448" s="11">
        <v>100.9</v>
      </c>
      <c r="K448" s="11">
        <v>99.6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</row>
    <row r="449" spans="1:60" ht="15.75" x14ac:dyDescent="0.25">
      <c r="A449" s="12" t="s">
        <v>908</v>
      </c>
      <c r="B449" s="11">
        <v>98.5</v>
      </c>
      <c r="C449" s="11">
        <v>98.3</v>
      </c>
      <c r="D449" s="11">
        <v>97.7</v>
      </c>
      <c r="E449" s="11">
        <v>98.5</v>
      </c>
      <c r="F449" s="11">
        <v>101.1</v>
      </c>
      <c r="G449" s="11">
        <v>98.7</v>
      </c>
      <c r="H449" s="11">
        <v>91.8</v>
      </c>
      <c r="I449" s="11">
        <v>100.7</v>
      </c>
      <c r="J449" s="11">
        <v>99.9</v>
      </c>
      <c r="K449" s="11">
        <v>100.1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</row>
    <row r="450" spans="1:60" ht="15.75" x14ac:dyDescent="0.25">
      <c r="A450" s="12" t="s">
        <v>909</v>
      </c>
      <c r="B450" s="11">
        <v>98.3</v>
      </c>
      <c r="C450" s="11">
        <v>98.2</v>
      </c>
      <c r="D450" s="11">
        <v>95.1</v>
      </c>
      <c r="E450" s="11">
        <v>100.4</v>
      </c>
      <c r="F450" s="11">
        <v>101.6</v>
      </c>
      <c r="G450" s="11">
        <v>99.4</v>
      </c>
      <c r="H450" s="11">
        <v>91.9</v>
      </c>
      <c r="I450" s="11">
        <v>105.4</v>
      </c>
      <c r="J450" s="11">
        <v>100.6</v>
      </c>
      <c r="K450" s="11">
        <v>99.5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</row>
    <row r="451" spans="1:60" ht="15.75" x14ac:dyDescent="0.25">
      <c r="A451" s="12" t="s">
        <v>910</v>
      </c>
      <c r="B451" s="11">
        <v>97.6</v>
      </c>
      <c r="C451" s="11">
        <v>97.3</v>
      </c>
      <c r="D451" s="11">
        <v>94.7</v>
      </c>
      <c r="E451" s="11">
        <v>99</v>
      </c>
      <c r="F451" s="11">
        <v>101.5</v>
      </c>
      <c r="G451" s="11">
        <v>96.4</v>
      </c>
      <c r="H451" s="11">
        <v>92</v>
      </c>
      <c r="I451" s="11">
        <v>103.8</v>
      </c>
      <c r="J451" s="11">
        <v>99.7</v>
      </c>
      <c r="K451" s="11">
        <v>100.4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</row>
    <row r="452" spans="1:60" ht="15.75" x14ac:dyDescent="0.25">
      <c r="A452" s="12" t="s">
        <v>911</v>
      </c>
      <c r="B452" s="11">
        <v>97.4</v>
      </c>
      <c r="C452" s="11">
        <v>97.2</v>
      </c>
      <c r="D452" s="11">
        <v>94.9</v>
      </c>
      <c r="E452" s="11">
        <v>98.5</v>
      </c>
      <c r="F452" s="11">
        <v>100</v>
      </c>
      <c r="G452" s="11">
        <v>92.6</v>
      </c>
      <c r="H452" s="11">
        <v>93</v>
      </c>
      <c r="I452" s="11">
        <v>105.9</v>
      </c>
      <c r="J452" s="11">
        <v>99.9</v>
      </c>
      <c r="K452" s="11">
        <v>98.9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</row>
    <row r="453" spans="1:60" ht="15.75" x14ac:dyDescent="0.25">
      <c r="A453" s="12" t="s">
        <v>912</v>
      </c>
      <c r="B453" s="11">
        <v>96.8</v>
      </c>
      <c r="C453" s="11">
        <v>96.4</v>
      </c>
      <c r="D453" s="11">
        <v>93</v>
      </c>
      <c r="E453" s="11">
        <v>99.9</v>
      </c>
      <c r="F453" s="11">
        <v>101.3</v>
      </c>
      <c r="G453" s="11">
        <v>96.1</v>
      </c>
      <c r="H453" s="11">
        <v>93.5</v>
      </c>
      <c r="I453" s="11">
        <v>106</v>
      </c>
      <c r="J453" s="11">
        <v>95.9</v>
      </c>
      <c r="K453" s="11">
        <v>100.4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</row>
    <row r="454" spans="1:60" ht="15.75" x14ac:dyDescent="0.25">
      <c r="A454" s="12" t="s">
        <v>913</v>
      </c>
      <c r="B454" s="11">
        <v>98.2</v>
      </c>
      <c r="C454" s="11">
        <v>98.1</v>
      </c>
      <c r="D454" s="11">
        <v>98.1</v>
      </c>
      <c r="E454" s="11">
        <v>98.1</v>
      </c>
      <c r="F454" s="11">
        <v>102.1</v>
      </c>
      <c r="G454" s="11">
        <v>94</v>
      </c>
      <c r="H454" s="11">
        <v>93</v>
      </c>
      <c r="I454" s="11">
        <v>102.3</v>
      </c>
      <c r="J454" s="11">
        <v>97.9</v>
      </c>
      <c r="K454" s="11">
        <v>99.2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</row>
    <row r="455" spans="1:60" ht="15.75" x14ac:dyDescent="0.25">
      <c r="A455" s="12" t="s">
        <v>914</v>
      </c>
      <c r="B455" s="11">
        <v>98.8</v>
      </c>
      <c r="C455" s="11">
        <v>98.7</v>
      </c>
      <c r="D455" s="11">
        <v>95.9</v>
      </c>
      <c r="E455" s="11">
        <v>101</v>
      </c>
      <c r="F455" s="11">
        <v>103.1</v>
      </c>
      <c r="G455" s="11">
        <v>97.5</v>
      </c>
      <c r="H455" s="11">
        <v>98.2</v>
      </c>
      <c r="I455" s="11">
        <v>104.4</v>
      </c>
      <c r="J455" s="11">
        <v>100</v>
      </c>
      <c r="K455" s="11">
        <v>100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</row>
    <row r="456" spans="1:60" ht="15.75" x14ac:dyDescent="0.25">
      <c r="A456" s="12" t="s">
        <v>915</v>
      </c>
      <c r="B456" s="11">
        <v>98.7</v>
      </c>
      <c r="C456" s="11">
        <v>98.6</v>
      </c>
      <c r="D456" s="11">
        <v>93.8</v>
      </c>
      <c r="E456" s="11">
        <v>102</v>
      </c>
      <c r="F456" s="11">
        <v>102.9</v>
      </c>
      <c r="G456" s="11">
        <v>99.9</v>
      </c>
      <c r="H456" s="11">
        <v>96.6</v>
      </c>
      <c r="I456" s="11">
        <v>106.5</v>
      </c>
      <c r="J456" s="11">
        <v>102.5</v>
      </c>
      <c r="K456" s="11">
        <v>99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</row>
    <row r="457" spans="1:60" ht="15.75" x14ac:dyDescent="0.25">
      <c r="A457" s="12" t="s">
        <v>916</v>
      </c>
      <c r="B457" s="11">
        <v>100.3</v>
      </c>
      <c r="C457" s="11">
        <v>100.4</v>
      </c>
      <c r="D457" s="11">
        <v>98.6</v>
      </c>
      <c r="E457" s="11">
        <v>101.1</v>
      </c>
      <c r="F457" s="11">
        <v>106.2</v>
      </c>
      <c r="G457" s="11">
        <v>98.1</v>
      </c>
      <c r="H457" s="11">
        <v>98.1</v>
      </c>
      <c r="I457" s="11">
        <v>102.4</v>
      </c>
      <c r="J457" s="11">
        <v>103.3</v>
      </c>
      <c r="K457" s="11">
        <v>100.1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</row>
    <row r="458" spans="1:60" ht="15.75" x14ac:dyDescent="0.25">
      <c r="A458" s="12" t="s">
        <v>917</v>
      </c>
      <c r="B458" s="11">
        <v>97.5</v>
      </c>
      <c r="C458" s="11">
        <v>97.4</v>
      </c>
      <c r="D458" s="11">
        <v>93.3</v>
      </c>
      <c r="E458" s="11">
        <v>99.6</v>
      </c>
      <c r="F458" s="11">
        <v>102.8</v>
      </c>
      <c r="G458" s="11">
        <v>97.5</v>
      </c>
      <c r="H458" s="11">
        <v>95.5</v>
      </c>
      <c r="I458" s="11">
        <v>101.8</v>
      </c>
      <c r="J458" s="11">
        <v>103</v>
      </c>
      <c r="K458" s="11">
        <v>98.5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</row>
    <row r="459" spans="1:60" ht="15.75" x14ac:dyDescent="0.25">
      <c r="A459" s="12" t="s">
        <v>1012</v>
      </c>
      <c r="B459" s="11">
        <v>98.4</v>
      </c>
      <c r="C459" s="11">
        <v>98</v>
      </c>
      <c r="D459" s="11">
        <v>93.9</v>
      </c>
      <c r="E459" s="11">
        <v>99.7</v>
      </c>
      <c r="F459" s="11">
        <v>105</v>
      </c>
      <c r="G459" s="11">
        <v>98.5</v>
      </c>
      <c r="H459" s="11">
        <v>95.5</v>
      </c>
      <c r="I459" s="11">
        <v>100.4</v>
      </c>
      <c r="J459" s="11">
        <v>104.8</v>
      </c>
      <c r="K459" s="11">
        <v>101.3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</row>
    <row r="460" spans="1:60" ht="15.75" x14ac:dyDescent="0.25">
      <c r="A460" s="12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</row>
    <row r="461" spans="1:60" ht="16.5" thickBot="1" x14ac:dyDescent="0.3">
      <c r="A461" s="13" t="s">
        <v>918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</row>
    <row r="462" spans="1:60" ht="60.75" x14ac:dyDescent="0.25">
      <c r="A462" s="14" t="s">
        <v>436</v>
      </c>
      <c r="B462" s="14" t="s">
        <v>437</v>
      </c>
      <c r="C462" s="14" t="s">
        <v>438</v>
      </c>
      <c r="D462" s="14" t="s">
        <v>439</v>
      </c>
      <c r="E462" s="14" t="s">
        <v>440</v>
      </c>
      <c r="F462" s="14" t="s">
        <v>441</v>
      </c>
      <c r="G462" s="14" t="s">
        <v>442</v>
      </c>
      <c r="H462" s="14" t="s">
        <v>443</v>
      </c>
      <c r="I462" s="14" t="s">
        <v>444</v>
      </c>
      <c r="J462" s="14" t="s">
        <v>445</v>
      </c>
      <c r="K462" s="14" t="s">
        <v>446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</row>
    <row r="463" spans="1:60" ht="15.75" x14ac:dyDescent="0.25">
      <c r="A463" s="12" t="s">
        <v>447</v>
      </c>
      <c r="B463" s="11" t="s">
        <v>448</v>
      </c>
      <c r="C463" s="11" t="s">
        <v>449</v>
      </c>
      <c r="D463" s="11" t="s">
        <v>450</v>
      </c>
      <c r="E463" s="11" t="s">
        <v>451</v>
      </c>
      <c r="F463" s="11" t="s">
        <v>452</v>
      </c>
      <c r="G463" s="11" t="s">
        <v>453</v>
      </c>
      <c r="H463" s="11" t="s">
        <v>454</v>
      </c>
      <c r="I463" s="11" t="s">
        <v>455</v>
      </c>
      <c r="J463" s="11" t="s">
        <v>456</v>
      </c>
      <c r="K463" s="11" t="s">
        <v>457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</row>
    <row r="464" spans="1:60" ht="16.5" thickBot="1" x14ac:dyDescent="0.3">
      <c r="A464" s="15" t="s">
        <v>458</v>
      </c>
      <c r="B464" s="13" t="s">
        <v>459</v>
      </c>
      <c r="C464" s="13" t="s">
        <v>460</v>
      </c>
      <c r="D464" s="13" t="s">
        <v>461</v>
      </c>
      <c r="E464" s="13" t="s">
        <v>462</v>
      </c>
      <c r="F464" s="13" t="s">
        <v>463</v>
      </c>
      <c r="G464" s="13" t="s">
        <v>464</v>
      </c>
      <c r="H464" s="13" t="s">
        <v>465</v>
      </c>
      <c r="I464" s="13" t="s">
        <v>466</v>
      </c>
      <c r="J464" s="13" t="s">
        <v>467</v>
      </c>
      <c r="K464" s="13" t="s">
        <v>468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</row>
    <row r="465" spans="1:60" ht="15.75" x14ac:dyDescent="0.25">
      <c r="A465" s="12" t="s">
        <v>469</v>
      </c>
      <c r="B465" s="11"/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</row>
    <row r="466" spans="1:60" ht="15.75" x14ac:dyDescent="0.25">
      <c r="A466" s="12" t="s">
        <v>470</v>
      </c>
      <c r="B466" s="11"/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</row>
    <row r="467" spans="1:60" ht="15.75" x14ac:dyDescent="0.25">
      <c r="A467" s="12" t="s">
        <v>471</v>
      </c>
      <c r="B467" s="11"/>
      <c r="C467" s="11">
        <v>0</v>
      </c>
      <c r="D467" s="11">
        <v>0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</row>
    <row r="468" spans="1:60" ht="15.75" x14ac:dyDescent="0.25">
      <c r="A468" s="12" t="s">
        <v>472</v>
      </c>
      <c r="B468" s="11"/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</row>
    <row r="469" spans="1:60" ht="15.75" x14ac:dyDescent="0.25">
      <c r="A469" s="12" t="s">
        <v>473</v>
      </c>
      <c r="B469" s="11"/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</row>
    <row r="470" spans="1:60" ht="15.75" x14ac:dyDescent="0.25">
      <c r="A470" s="12" t="s">
        <v>474</v>
      </c>
      <c r="B470" s="11"/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</row>
    <row r="471" spans="1:60" ht="15.75" x14ac:dyDescent="0.25">
      <c r="A471" s="12" t="s">
        <v>475</v>
      </c>
      <c r="B471" s="11"/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</row>
    <row r="472" spans="1:60" ht="15.75" x14ac:dyDescent="0.25">
      <c r="A472" s="12" t="s">
        <v>476</v>
      </c>
      <c r="B472" s="11"/>
      <c r="C472" s="11">
        <v>0</v>
      </c>
      <c r="D472" s="11">
        <v>0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</row>
    <row r="473" spans="1:60" ht="15.75" x14ac:dyDescent="0.25">
      <c r="A473" s="12" t="s">
        <v>477</v>
      </c>
      <c r="B473" s="11"/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</row>
    <row r="474" spans="1:60" ht="15.75" x14ac:dyDescent="0.25">
      <c r="A474" s="12" t="s">
        <v>478</v>
      </c>
      <c r="B474" s="11"/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</row>
    <row r="475" spans="1:60" ht="15.75" x14ac:dyDescent="0.25">
      <c r="A475" s="12" t="s">
        <v>479</v>
      </c>
      <c r="B475" s="11"/>
      <c r="C475" s="11">
        <v>0</v>
      </c>
      <c r="D475" s="11">
        <v>0</v>
      </c>
      <c r="E475" s="11">
        <v>0</v>
      </c>
      <c r="F475" s="11">
        <v>0</v>
      </c>
      <c r="G475" s="11">
        <v>0.1</v>
      </c>
      <c r="H475" s="11">
        <v>0</v>
      </c>
      <c r="I475" s="11">
        <v>0</v>
      </c>
      <c r="J475" s="11">
        <v>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</row>
    <row r="476" spans="1:60" ht="15.75" x14ac:dyDescent="0.25">
      <c r="A476" s="12" t="s">
        <v>480</v>
      </c>
      <c r="B476" s="11"/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</row>
    <row r="477" spans="1:60" ht="15.75" x14ac:dyDescent="0.25">
      <c r="A477" s="12" t="s">
        <v>481</v>
      </c>
      <c r="B477" s="11"/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</row>
    <row r="478" spans="1:60" ht="15.75" x14ac:dyDescent="0.25">
      <c r="A478" s="12" t="s">
        <v>482</v>
      </c>
      <c r="B478" s="11"/>
      <c r="C478" s="11">
        <v>0</v>
      </c>
      <c r="D478" s="11">
        <v>0</v>
      </c>
      <c r="E478" s="11">
        <v>0</v>
      </c>
      <c r="F478" s="11">
        <v>0.1</v>
      </c>
      <c r="G478" s="11">
        <v>0</v>
      </c>
      <c r="H478" s="11">
        <v>0</v>
      </c>
      <c r="I478" s="11">
        <v>0</v>
      </c>
      <c r="J478" s="11">
        <v>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</row>
    <row r="479" spans="1:60" ht="15.75" x14ac:dyDescent="0.25">
      <c r="A479" s="12" t="s">
        <v>483</v>
      </c>
      <c r="B479" s="11"/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</row>
    <row r="480" spans="1:60" ht="15.75" x14ac:dyDescent="0.25">
      <c r="A480" s="12" t="s">
        <v>484</v>
      </c>
      <c r="B480" s="11"/>
      <c r="C480" s="11">
        <v>0</v>
      </c>
      <c r="D480" s="11">
        <v>0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</row>
    <row r="481" spans="1:60" ht="15.75" x14ac:dyDescent="0.25">
      <c r="A481" s="12" t="s">
        <v>485</v>
      </c>
      <c r="B481" s="11"/>
      <c r="C481" s="11">
        <v>0</v>
      </c>
      <c r="D481" s="11">
        <v>0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11">
        <v>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</row>
    <row r="482" spans="1:60" ht="15.75" x14ac:dyDescent="0.25">
      <c r="A482" s="12" t="s">
        <v>486</v>
      </c>
      <c r="B482" s="11"/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0</v>
      </c>
      <c r="I482" s="11">
        <v>0</v>
      </c>
      <c r="J482" s="11">
        <v>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</row>
    <row r="483" spans="1:60" ht="15.75" x14ac:dyDescent="0.25">
      <c r="A483" s="12" t="s">
        <v>487</v>
      </c>
      <c r="B483" s="11"/>
      <c r="C483" s="11">
        <v>0</v>
      </c>
      <c r="D483" s="11">
        <v>0</v>
      </c>
      <c r="E483" s="11">
        <v>0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</row>
    <row r="484" spans="1:60" ht="15.75" x14ac:dyDescent="0.25">
      <c r="A484" s="12" t="s">
        <v>488</v>
      </c>
      <c r="B484" s="11"/>
      <c r="C484" s="11">
        <v>0</v>
      </c>
      <c r="D484" s="11">
        <v>0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</row>
    <row r="485" spans="1:60" ht="15.75" x14ac:dyDescent="0.25">
      <c r="A485" s="12" t="s">
        <v>489</v>
      </c>
      <c r="B485" s="11"/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</row>
    <row r="486" spans="1:60" ht="15.75" x14ac:dyDescent="0.25">
      <c r="A486" s="12" t="s">
        <v>490</v>
      </c>
      <c r="B486" s="11"/>
      <c r="C486" s="11">
        <v>0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</row>
    <row r="487" spans="1:60" ht="15.75" x14ac:dyDescent="0.25">
      <c r="A487" s="12" t="s">
        <v>491</v>
      </c>
      <c r="B487" s="11"/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0.1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</row>
    <row r="488" spans="1:60" ht="15.75" x14ac:dyDescent="0.25">
      <c r="A488" s="12" t="s">
        <v>492</v>
      </c>
      <c r="B488" s="11"/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</row>
    <row r="489" spans="1:60" ht="15.75" x14ac:dyDescent="0.25">
      <c r="A489" s="12" t="s">
        <v>493</v>
      </c>
      <c r="B489" s="11"/>
      <c r="C489" s="11">
        <v>0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</row>
    <row r="490" spans="1:60" ht="15.75" x14ac:dyDescent="0.25">
      <c r="A490" s="12" t="s">
        <v>494</v>
      </c>
      <c r="B490" s="11"/>
      <c r="C490" s="11">
        <v>0</v>
      </c>
      <c r="D490" s="11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</row>
    <row r="491" spans="1:60" ht="15.75" x14ac:dyDescent="0.25">
      <c r="A491" s="12" t="s">
        <v>495</v>
      </c>
      <c r="B491" s="11"/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</row>
    <row r="492" spans="1:60" ht="15.75" x14ac:dyDescent="0.25">
      <c r="A492" s="12" t="s">
        <v>496</v>
      </c>
      <c r="B492" s="11"/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0.1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</row>
    <row r="493" spans="1:60" ht="15.75" x14ac:dyDescent="0.25">
      <c r="A493" s="12" t="s">
        <v>497</v>
      </c>
      <c r="B493" s="11"/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</row>
    <row r="494" spans="1:60" ht="15.75" x14ac:dyDescent="0.25">
      <c r="A494" s="12" t="s">
        <v>498</v>
      </c>
      <c r="B494" s="11"/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</row>
    <row r="495" spans="1:60" ht="15.75" x14ac:dyDescent="0.25">
      <c r="A495" s="12" t="s">
        <v>499</v>
      </c>
      <c r="B495" s="11"/>
      <c r="C495" s="11">
        <v>0</v>
      </c>
      <c r="D495" s="11">
        <v>0</v>
      </c>
      <c r="E495" s="11">
        <v>0</v>
      </c>
      <c r="F495" s="11">
        <v>0.1</v>
      </c>
      <c r="G495" s="11">
        <v>0</v>
      </c>
      <c r="H495" s="11">
        <v>0</v>
      </c>
      <c r="I495" s="11">
        <v>-0.1</v>
      </c>
      <c r="J495" s="11">
        <v>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</row>
    <row r="496" spans="1:60" ht="15.75" x14ac:dyDescent="0.25">
      <c r="A496" s="12" t="s">
        <v>500</v>
      </c>
      <c r="B496" s="11"/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</row>
    <row r="497" spans="1:60" ht="15.75" x14ac:dyDescent="0.25">
      <c r="A497" s="12" t="s">
        <v>501</v>
      </c>
      <c r="B497" s="11"/>
      <c r="C497" s="11">
        <v>0</v>
      </c>
      <c r="D497" s="11">
        <v>0</v>
      </c>
      <c r="E497" s="11">
        <v>0</v>
      </c>
      <c r="F497" s="11">
        <v>0</v>
      </c>
      <c r="G497" s="11">
        <v>0</v>
      </c>
      <c r="H497" s="11">
        <v>0</v>
      </c>
      <c r="I497" s="11">
        <v>0</v>
      </c>
      <c r="J497" s="11">
        <v>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</row>
    <row r="498" spans="1:60" ht="15.75" x14ac:dyDescent="0.25">
      <c r="A498" s="12" t="s">
        <v>502</v>
      </c>
      <c r="B498" s="11"/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</row>
    <row r="499" spans="1:60" ht="15.75" x14ac:dyDescent="0.25">
      <c r="A499" s="12" t="s">
        <v>503</v>
      </c>
      <c r="B499" s="11"/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</row>
    <row r="500" spans="1:60" ht="15.75" x14ac:dyDescent="0.25">
      <c r="A500" s="12" t="s">
        <v>504</v>
      </c>
      <c r="B500" s="11"/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</row>
    <row r="501" spans="1:60" ht="15.75" x14ac:dyDescent="0.25">
      <c r="A501" s="12" t="s">
        <v>505</v>
      </c>
      <c r="B501" s="11"/>
      <c r="C501" s="11">
        <v>0</v>
      </c>
      <c r="D501" s="11">
        <v>0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</row>
    <row r="502" spans="1:60" ht="15.75" x14ac:dyDescent="0.25">
      <c r="A502" s="12" t="s">
        <v>506</v>
      </c>
      <c r="B502" s="11"/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</row>
    <row r="503" spans="1:60" ht="15.75" x14ac:dyDescent="0.25">
      <c r="A503" s="12" t="s">
        <v>507</v>
      </c>
      <c r="B503" s="11"/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11">
        <v>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</row>
    <row r="504" spans="1:60" ht="15.75" x14ac:dyDescent="0.25">
      <c r="A504" s="12" t="s">
        <v>508</v>
      </c>
      <c r="B504" s="11"/>
      <c r="C504" s="11">
        <v>0</v>
      </c>
      <c r="D504" s="11">
        <v>0</v>
      </c>
      <c r="E504" s="11">
        <v>0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</row>
    <row r="505" spans="1:60" ht="15.75" x14ac:dyDescent="0.25">
      <c r="A505" s="12" t="s">
        <v>509</v>
      </c>
      <c r="B505" s="11"/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</row>
    <row r="506" spans="1:60" ht="15.75" x14ac:dyDescent="0.25">
      <c r="A506" s="12" t="s">
        <v>510</v>
      </c>
      <c r="B506" s="11"/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</row>
    <row r="507" spans="1:60" ht="15.75" x14ac:dyDescent="0.25">
      <c r="A507" s="12" t="s">
        <v>511</v>
      </c>
      <c r="B507" s="11"/>
      <c r="C507" s="11">
        <v>0</v>
      </c>
      <c r="D507" s="11">
        <v>0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</row>
    <row r="508" spans="1:60" ht="15.75" x14ac:dyDescent="0.25">
      <c r="A508" s="12" t="s">
        <v>512</v>
      </c>
      <c r="B508" s="11"/>
      <c r="C508" s="11">
        <v>0</v>
      </c>
      <c r="D508" s="11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</row>
    <row r="509" spans="1:60" ht="15.75" x14ac:dyDescent="0.25">
      <c r="A509" s="12" t="s">
        <v>513</v>
      </c>
      <c r="B509" s="11"/>
      <c r="C509" s="11">
        <v>0</v>
      </c>
      <c r="D509" s="11">
        <v>0</v>
      </c>
      <c r="E509" s="11">
        <v>0</v>
      </c>
      <c r="F509" s="11">
        <v>0</v>
      </c>
      <c r="G509" s="11">
        <v>0</v>
      </c>
      <c r="H509" s="11">
        <v>0</v>
      </c>
      <c r="I509" s="11">
        <v>0</v>
      </c>
      <c r="J509" s="11">
        <v>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</row>
    <row r="510" spans="1:60" ht="15.75" x14ac:dyDescent="0.25">
      <c r="A510" s="12" t="s">
        <v>514</v>
      </c>
      <c r="B510" s="11"/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</row>
    <row r="511" spans="1:60" ht="15.75" x14ac:dyDescent="0.25">
      <c r="A511" s="12" t="s">
        <v>515</v>
      </c>
      <c r="B511" s="11"/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0.1</v>
      </c>
      <c r="I511" s="11">
        <v>0</v>
      </c>
      <c r="J511" s="11">
        <v>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</row>
    <row r="512" spans="1:60" ht="15.75" x14ac:dyDescent="0.25">
      <c r="A512" s="12" t="s">
        <v>516</v>
      </c>
      <c r="B512" s="11"/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</row>
    <row r="513" spans="1:60" ht="15.75" x14ac:dyDescent="0.25">
      <c r="A513" s="12" t="s">
        <v>517</v>
      </c>
      <c r="B513" s="11"/>
      <c r="C513" s="11">
        <v>0</v>
      </c>
      <c r="D513" s="11">
        <v>0</v>
      </c>
      <c r="E513" s="11">
        <v>0</v>
      </c>
      <c r="F513" s="11">
        <v>0</v>
      </c>
      <c r="G513" s="11">
        <v>0</v>
      </c>
      <c r="H513" s="11">
        <v>0</v>
      </c>
      <c r="I513" s="11">
        <v>0</v>
      </c>
      <c r="J513" s="11">
        <v>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</row>
    <row r="514" spans="1:60" ht="15.75" x14ac:dyDescent="0.25">
      <c r="A514" s="12" t="s">
        <v>518</v>
      </c>
      <c r="B514" s="11"/>
      <c r="C514" s="11">
        <v>0</v>
      </c>
      <c r="D514" s="11">
        <v>0</v>
      </c>
      <c r="E514" s="11">
        <v>0.1</v>
      </c>
      <c r="F514" s="11">
        <v>0</v>
      </c>
      <c r="G514" s="11">
        <v>0</v>
      </c>
      <c r="H514" s="11">
        <v>0</v>
      </c>
      <c r="I514" s="11">
        <v>0</v>
      </c>
      <c r="J514" s="11">
        <v>0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</row>
    <row r="515" spans="1:60" ht="15.75" x14ac:dyDescent="0.25">
      <c r="A515" s="12" t="s">
        <v>519</v>
      </c>
      <c r="B515" s="11"/>
      <c r="C515" s="11">
        <v>0</v>
      </c>
      <c r="D515" s="11">
        <v>0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</row>
    <row r="516" spans="1:60" ht="15.75" x14ac:dyDescent="0.25">
      <c r="A516" s="12" t="s">
        <v>520</v>
      </c>
      <c r="B516" s="11"/>
      <c r="C516" s="11">
        <v>0</v>
      </c>
      <c r="D516" s="11">
        <v>0</v>
      </c>
      <c r="E516" s="11">
        <v>0</v>
      </c>
      <c r="F516" s="11">
        <v>0</v>
      </c>
      <c r="G516" s="11">
        <v>0</v>
      </c>
      <c r="H516" s="11">
        <v>0</v>
      </c>
      <c r="I516" s="11">
        <v>0</v>
      </c>
      <c r="J516" s="11">
        <v>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</row>
    <row r="517" spans="1:60" ht="15.75" x14ac:dyDescent="0.25">
      <c r="A517" s="12" t="s">
        <v>521</v>
      </c>
      <c r="B517" s="11"/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</row>
    <row r="518" spans="1:60" ht="15.75" x14ac:dyDescent="0.25">
      <c r="A518" s="12" t="s">
        <v>522</v>
      </c>
      <c r="B518" s="11"/>
      <c r="C518" s="11">
        <v>0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</row>
    <row r="519" spans="1:60" ht="15.75" x14ac:dyDescent="0.25">
      <c r="A519" s="12" t="s">
        <v>523</v>
      </c>
      <c r="B519" s="11"/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</row>
    <row r="520" spans="1:60" ht="15.75" x14ac:dyDescent="0.25">
      <c r="A520" s="12" t="s">
        <v>524</v>
      </c>
      <c r="B520" s="11"/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</row>
    <row r="521" spans="1:60" ht="15.75" x14ac:dyDescent="0.25">
      <c r="A521" s="12" t="s">
        <v>525</v>
      </c>
      <c r="B521" s="11"/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</row>
    <row r="522" spans="1:60" ht="15.75" x14ac:dyDescent="0.25">
      <c r="A522" s="12" t="s">
        <v>526</v>
      </c>
      <c r="B522" s="11"/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</row>
    <row r="523" spans="1:60" ht="15.75" x14ac:dyDescent="0.25">
      <c r="A523" s="12" t="s">
        <v>527</v>
      </c>
      <c r="B523" s="11"/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</row>
    <row r="524" spans="1:60" ht="15.75" x14ac:dyDescent="0.25">
      <c r="A524" s="12" t="s">
        <v>528</v>
      </c>
      <c r="B524" s="11"/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</row>
    <row r="525" spans="1:60" ht="15.75" x14ac:dyDescent="0.25">
      <c r="A525" s="12" t="s">
        <v>529</v>
      </c>
      <c r="B525" s="11"/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</row>
    <row r="526" spans="1:60" ht="15.75" x14ac:dyDescent="0.25">
      <c r="A526" s="12" t="s">
        <v>530</v>
      </c>
      <c r="B526" s="11"/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</row>
    <row r="527" spans="1:60" ht="15.75" x14ac:dyDescent="0.25">
      <c r="A527" s="12" t="s">
        <v>531</v>
      </c>
      <c r="B527" s="11"/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</row>
    <row r="528" spans="1:60" ht="15.75" x14ac:dyDescent="0.25">
      <c r="A528" s="12" t="s">
        <v>532</v>
      </c>
      <c r="B528" s="11"/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</row>
    <row r="529" spans="1:60" ht="15.75" x14ac:dyDescent="0.25">
      <c r="A529" s="12" t="s">
        <v>533</v>
      </c>
      <c r="B529" s="11"/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</row>
    <row r="530" spans="1:60" ht="15.75" x14ac:dyDescent="0.25">
      <c r="A530" s="12" t="s">
        <v>534</v>
      </c>
      <c r="B530" s="11"/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</row>
    <row r="531" spans="1:60" ht="15.75" x14ac:dyDescent="0.25">
      <c r="A531" s="12" t="s">
        <v>535</v>
      </c>
      <c r="B531" s="11"/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</row>
    <row r="532" spans="1:60" ht="15.75" x14ac:dyDescent="0.25">
      <c r="A532" s="12" t="s">
        <v>536</v>
      </c>
      <c r="B532" s="11"/>
      <c r="C532" s="11">
        <v>0</v>
      </c>
      <c r="D532" s="11">
        <v>0</v>
      </c>
      <c r="E532" s="11">
        <v>0</v>
      </c>
      <c r="F532" s="11">
        <v>0.1</v>
      </c>
      <c r="G532" s="11">
        <v>0</v>
      </c>
      <c r="H532" s="11">
        <v>0</v>
      </c>
      <c r="I532" s="11">
        <v>-0.1</v>
      </c>
      <c r="J532" s="11">
        <v>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</row>
    <row r="533" spans="1:60" ht="15.75" x14ac:dyDescent="0.25">
      <c r="A533" s="12" t="s">
        <v>537</v>
      </c>
      <c r="B533" s="11"/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</row>
    <row r="534" spans="1:60" ht="15.75" x14ac:dyDescent="0.25">
      <c r="A534" s="12" t="s">
        <v>538</v>
      </c>
      <c r="B534" s="11"/>
      <c r="C534" s="11">
        <v>0.1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</row>
    <row r="535" spans="1:60" ht="15.75" x14ac:dyDescent="0.25">
      <c r="A535" s="12" t="s">
        <v>539</v>
      </c>
      <c r="B535" s="11"/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</row>
    <row r="536" spans="1:60" ht="15.75" x14ac:dyDescent="0.25">
      <c r="A536" s="12" t="s">
        <v>540</v>
      </c>
      <c r="B536" s="11"/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</row>
    <row r="537" spans="1:60" ht="15.75" x14ac:dyDescent="0.25">
      <c r="A537" s="12" t="s">
        <v>541</v>
      </c>
      <c r="B537" s="11"/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</row>
    <row r="538" spans="1:60" ht="15.75" x14ac:dyDescent="0.25">
      <c r="A538" s="12" t="s">
        <v>542</v>
      </c>
      <c r="B538" s="11"/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</row>
    <row r="539" spans="1:60" ht="15.75" x14ac:dyDescent="0.25">
      <c r="A539" s="12" t="s">
        <v>543</v>
      </c>
      <c r="B539" s="11"/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</row>
    <row r="540" spans="1:60" ht="15.75" x14ac:dyDescent="0.25">
      <c r="A540" s="12" t="s">
        <v>544</v>
      </c>
      <c r="B540" s="11"/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</row>
    <row r="541" spans="1:60" ht="15.75" x14ac:dyDescent="0.25">
      <c r="A541" s="12" t="s">
        <v>545</v>
      </c>
      <c r="B541" s="11"/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</row>
    <row r="542" spans="1:60" ht="15.75" x14ac:dyDescent="0.25">
      <c r="A542" s="12" t="s">
        <v>546</v>
      </c>
      <c r="B542" s="11"/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</row>
    <row r="543" spans="1:60" ht="15.75" x14ac:dyDescent="0.25">
      <c r="A543" s="12" t="s">
        <v>547</v>
      </c>
      <c r="B543" s="11"/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</row>
    <row r="544" spans="1:60" ht="15.75" x14ac:dyDescent="0.25">
      <c r="A544" s="12" t="s">
        <v>548</v>
      </c>
      <c r="B544" s="11"/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0</v>
      </c>
      <c r="I544" s="11">
        <v>-0.1</v>
      </c>
      <c r="J544" s="11">
        <v>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</row>
    <row r="545" spans="1:60" ht="15.75" x14ac:dyDescent="0.25">
      <c r="A545" s="12" t="s">
        <v>549</v>
      </c>
      <c r="B545" s="11"/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</row>
    <row r="546" spans="1:60" ht="15.75" x14ac:dyDescent="0.25">
      <c r="A546" s="12" t="s">
        <v>550</v>
      </c>
      <c r="B546" s="11"/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</row>
    <row r="547" spans="1:60" ht="15.75" x14ac:dyDescent="0.25">
      <c r="A547" s="12" t="s">
        <v>551</v>
      </c>
      <c r="B547" s="11"/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</row>
    <row r="548" spans="1:60" ht="15.75" x14ac:dyDescent="0.25">
      <c r="A548" s="12" t="s">
        <v>552</v>
      </c>
      <c r="B548" s="11"/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</row>
    <row r="549" spans="1:60" ht="15.75" x14ac:dyDescent="0.25">
      <c r="A549" s="12" t="s">
        <v>553</v>
      </c>
      <c r="B549" s="11"/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</row>
    <row r="550" spans="1:60" ht="15.75" x14ac:dyDescent="0.25">
      <c r="A550" s="12" t="s">
        <v>554</v>
      </c>
      <c r="B550" s="11"/>
      <c r="C550" s="11">
        <v>0</v>
      </c>
      <c r="D550" s="11">
        <v>0</v>
      </c>
      <c r="E550" s="11">
        <v>0.1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</row>
    <row r="551" spans="1:60" ht="15.75" x14ac:dyDescent="0.25">
      <c r="A551" s="12" t="s">
        <v>555</v>
      </c>
      <c r="B551" s="11"/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</row>
    <row r="552" spans="1:60" ht="15.75" x14ac:dyDescent="0.25">
      <c r="A552" s="12" t="s">
        <v>556</v>
      </c>
      <c r="B552" s="11"/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</row>
    <row r="553" spans="1:60" ht="15.75" x14ac:dyDescent="0.25">
      <c r="A553" s="12" t="s">
        <v>557</v>
      </c>
      <c r="B553" s="11"/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</row>
    <row r="554" spans="1:60" ht="15.75" x14ac:dyDescent="0.25">
      <c r="A554" s="12" t="s">
        <v>558</v>
      </c>
      <c r="B554" s="11"/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</row>
    <row r="555" spans="1:60" ht="15.75" x14ac:dyDescent="0.25">
      <c r="A555" s="12" t="s">
        <v>559</v>
      </c>
      <c r="B555" s="11"/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</row>
    <row r="556" spans="1:60" ht="15.75" x14ac:dyDescent="0.25">
      <c r="A556" s="12" t="s">
        <v>560</v>
      </c>
      <c r="B556" s="11"/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-0.1</v>
      </c>
      <c r="J556" s="11">
        <v>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</row>
    <row r="557" spans="1:60" ht="15.75" x14ac:dyDescent="0.25">
      <c r="A557" s="12" t="s">
        <v>561</v>
      </c>
      <c r="B557" s="11"/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</row>
    <row r="558" spans="1:60" ht="15.75" x14ac:dyDescent="0.25">
      <c r="A558" s="12" t="s">
        <v>562</v>
      </c>
      <c r="B558" s="11"/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</row>
    <row r="559" spans="1:60" ht="15.75" x14ac:dyDescent="0.25">
      <c r="A559" s="12" t="s">
        <v>563</v>
      </c>
      <c r="B559" s="11"/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</row>
    <row r="560" spans="1:60" ht="15.75" x14ac:dyDescent="0.25">
      <c r="A560" s="12" t="s">
        <v>564</v>
      </c>
      <c r="B560" s="11"/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</row>
    <row r="561" spans="1:60" ht="15.75" x14ac:dyDescent="0.25">
      <c r="A561" s="12" t="s">
        <v>565</v>
      </c>
      <c r="B561" s="11">
        <v>0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</row>
    <row r="562" spans="1:60" ht="15.75" x14ac:dyDescent="0.25">
      <c r="A562" s="12" t="s">
        <v>566</v>
      </c>
      <c r="B562" s="11">
        <v>0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</row>
    <row r="563" spans="1:60" ht="15.75" x14ac:dyDescent="0.25">
      <c r="A563" s="12" t="s">
        <v>567</v>
      </c>
      <c r="B563" s="11">
        <v>0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</row>
    <row r="564" spans="1:60" ht="15.75" x14ac:dyDescent="0.25">
      <c r="A564" s="12" t="s">
        <v>568</v>
      </c>
      <c r="B564" s="11">
        <v>0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</row>
    <row r="565" spans="1:60" ht="15.75" x14ac:dyDescent="0.25">
      <c r="A565" s="12" t="s">
        <v>569</v>
      </c>
      <c r="B565" s="11">
        <v>0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</row>
    <row r="566" spans="1:60" ht="15.75" x14ac:dyDescent="0.25">
      <c r="A566" s="12" t="s">
        <v>570</v>
      </c>
      <c r="B566" s="11">
        <v>0</v>
      </c>
      <c r="C566" s="11">
        <v>0</v>
      </c>
      <c r="D566" s="11">
        <v>0</v>
      </c>
      <c r="E566" s="11">
        <v>0</v>
      </c>
      <c r="F566" s="11">
        <v>0</v>
      </c>
      <c r="G566" s="11">
        <v>-0.1</v>
      </c>
      <c r="H566" s="11">
        <v>0</v>
      </c>
      <c r="I566" s="11">
        <v>0</v>
      </c>
      <c r="J566" s="11">
        <v>0</v>
      </c>
      <c r="K566" s="11">
        <v>0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</row>
    <row r="567" spans="1:60" ht="15.75" x14ac:dyDescent="0.25">
      <c r="A567" s="12" t="s">
        <v>571</v>
      </c>
      <c r="B567" s="11">
        <v>0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</row>
    <row r="568" spans="1:60" ht="15.75" x14ac:dyDescent="0.25">
      <c r="A568" s="12" t="s">
        <v>572</v>
      </c>
      <c r="B568" s="11">
        <v>0</v>
      </c>
      <c r="C568" s="11">
        <v>0</v>
      </c>
      <c r="D568" s="11">
        <v>0</v>
      </c>
      <c r="E568" s="11">
        <v>0</v>
      </c>
      <c r="F568" s="11">
        <v>0</v>
      </c>
      <c r="G568" s="11">
        <v>0</v>
      </c>
      <c r="H568" s="11">
        <v>0.1</v>
      </c>
      <c r="I568" s="11">
        <v>0</v>
      </c>
      <c r="J568" s="11">
        <v>0</v>
      </c>
      <c r="K568" s="11">
        <v>0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</row>
    <row r="569" spans="1:60" ht="15.75" x14ac:dyDescent="0.25">
      <c r="A569" s="12" t="s">
        <v>573</v>
      </c>
      <c r="B569" s="11">
        <v>0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</row>
    <row r="570" spans="1:60" ht="15.75" x14ac:dyDescent="0.25">
      <c r="A570" s="12" t="s">
        <v>574</v>
      </c>
      <c r="B570" s="11">
        <v>0</v>
      </c>
      <c r="C570" s="11">
        <v>0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0.1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</row>
    <row r="571" spans="1:60" ht="15.75" x14ac:dyDescent="0.25">
      <c r="A571" s="12" t="s">
        <v>575</v>
      </c>
      <c r="B571" s="11">
        <v>0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0.1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</row>
    <row r="572" spans="1:60" ht="15.75" x14ac:dyDescent="0.25">
      <c r="A572" s="12" t="s">
        <v>576</v>
      </c>
      <c r="B572" s="11">
        <v>0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0.1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</row>
    <row r="573" spans="1:60" ht="15.75" x14ac:dyDescent="0.25">
      <c r="A573" s="12" t="s">
        <v>577</v>
      </c>
      <c r="B573" s="11">
        <v>0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</row>
    <row r="574" spans="1:60" ht="15.75" x14ac:dyDescent="0.25">
      <c r="A574" s="12" t="s">
        <v>578</v>
      </c>
      <c r="B574" s="11">
        <v>0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</row>
    <row r="575" spans="1:60" ht="15.75" x14ac:dyDescent="0.25">
      <c r="A575" s="12" t="s">
        <v>579</v>
      </c>
      <c r="B575" s="11">
        <v>0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0.1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</row>
    <row r="576" spans="1:60" ht="15.75" x14ac:dyDescent="0.25">
      <c r="A576" s="12" t="s">
        <v>580</v>
      </c>
      <c r="B576" s="11">
        <v>0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0.1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</row>
    <row r="577" spans="1:60" ht="15.75" x14ac:dyDescent="0.25">
      <c r="A577" s="12" t="s">
        <v>581</v>
      </c>
      <c r="B577" s="11">
        <v>0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</row>
    <row r="578" spans="1:60" ht="15.75" x14ac:dyDescent="0.25">
      <c r="A578" s="12" t="s">
        <v>582</v>
      </c>
      <c r="B578" s="11">
        <v>0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</row>
    <row r="579" spans="1:60" ht="15.75" x14ac:dyDescent="0.25">
      <c r="A579" s="12" t="s">
        <v>583</v>
      </c>
      <c r="B579" s="11">
        <v>0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</row>
    <row r="580" spans="1:60" ht="15.75" x14ac:dyDescent="0.25">
      <c r="A580" s="12" t="s">
        <v>584</v>
      </c>
      <c r="B580" s="11">
        <v>0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</row>
    <row r="581" spans="1:60" ht="15.75" x14ac:dyDescent="0.25">
      <c r="A581" s="12" t="s">
        <v>585</v>
      </c>
      <c r="B581" s="11">
        <v>0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</row>
    <row r="582" spans="1:60" ht="15.75" x14ac:dyDescent="0.25">
      <c r="A582" s="12" t="s">
        <v>586</v>
      </c>
      <c r="B582" s="11">
        <v>0.1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</row>
    <row r="583" spans="1:60" ht="15.75" x14ac:dyDescent="0.25">
      <c r="A583" s="12" t="s">
        <v>587</v>
      </c>
      <c r="B583" s="11">
        <v>0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</row>
    <row r="584" spans="1:60" ht="15.75" x14ac:dyDescent="0.25">
      <c r="A584" s="12" t="s">
        <v>588</v>
      </c>
      <c r="B584" s="11">
        <v>0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</row>
    <row r="585" spans="1:60" ht="15.75" x14ac:dyDescent="0.25">
      <c r="A585" s="12" t="s">
        <v>589</v>
      </c>
      <c r="B585" s="11">
        <v>0</v>
      </c>
      <c r="C585" s="11">
        <v>0</v>
      </c>
      <c r="D585" s="11">
        <v>0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0.1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</row>
    <row r="586" spans="1:60" ht="15.75" x14ac:dyDescent="0.25">
      <c r="A586" s="12" t="s">
        <v>590</v>
      </c>
      <c r="B586" s="11">
        <v>0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</row>
    <row r="587" spans="1:60" ht="15.75" x14ac:dyDescent="0.25">
      <c r="A587" s="12" t="s">
        <v>591</v>
      </c>
      <c r="B587" s="11">
        <v>0</v>
      </c>
      <c r="C587" s="11">
        <v>0.1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</row>
    <row r="588" spans="1:60" ht="15.75" x14ac:dyDescent="0.25">
      <c r="A588" s="12" t="s">
        <v>592</v>
      </c>
      <c r="B588" s="11">
        <v>0</v>
      </c>
      <c r="C588" s="11">
        <v>0</v>
      </c>
      <c r="D588" s="11">
        <v>0</v>
      </c>
      <c r="E588" s="11">
        <v>0</v>
      </c>
      <c r="F588" s="11">
        <v>0.1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</row>
    <row r="589" spans="1:60" ht="15.75" x14ac:dyDescent="0.25">
      <c r="A589" s="12" t="s">
        <v>593</v>
      </c>
      <c r="B589" s="11">
        <v>0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</row>
    <row r="590" spans="1:60" ht="15.75" x14ac:dyDescent="0.25">
      <c r="A590" s="12" t="s">
        <v>594</v>
      </c>
      <c r="B590" s="11">
        <v>0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</row>
    <row r="591" spans="1:60" ht="15.75" x14ac:dyDescent="0.25">
      <c r="A591" s="12" t="s">
        <v>595</v>
      </c>
      <c r="B591" s="11">
        <v>0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0.1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</row>
    <row r="592" spans="1:60" ht="15.75" x14ac:dyDescent="0.25">
      <c r="A592" s="12" t="s">
        <v>596</v>
      </c>
      <c r="B592" s="11">
        <v>0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</row>
    <row r="593" spans="1:60" ht="15.75" x14ac:dyDescent="0.25">
      <c r="A593" s="12" t="s">
        <v>597</v>
      </c>
      <c r="B593" s="11">
        <v>0</v>
      </c>
      <c r="C593" s="11">
        <v>0</v>
      </c>
      <c r="D593" s="11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</row>
    <row r="594" spans="1:60" ht="15.75" x14ac:dyDescent="0.25">
      <c r="A594" s="12" t="s">
        <v>598</v>
      </c>
      <c r="B594" s="11">
        <v>0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</row>
    <row r="595" spans="1:60" ht="15.75" x14ac:dyDescent="0.25">
      <c r="A595" s="12" t="s">
        <v>599</v>
      </c>
      <c r="B595" s="11">
        <v>0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0.1</v>
      </c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</row>
    <row r="596" spans="1:60" ht="15.75" x14ac:dyDescent="0.25">
      <c r="A596" s="12" t="s">
        <v>600</v>
      </c>
      <c r="B596" s="11">
        <v>0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</row>
    <row r="597" spans="1:60" ht="15.75" x14ac:dyDescent="0.25">
      <c r="A597" s="12" t="s">
        <v>601</v>
      </c>
      <c r="B597" s="11">
        <v>0</v>
      </c>
      <c r="C597" s="11">
        <v>0</v>
      </c>
      <c r="D597" s="11">
        <v>0.1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0.1</v>
      </c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</row>
    <row r="598" spans="1:60" ht="15.75" x14ac:dyDescent="0.25">
      <c r="A598" s="12" t="s">
        <v>602</v>
      </c>
      <c r="B598" s="11">
        <v>0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</row>
    <row r="599" spans="1:60" ht="15.75" x14ac:dyDescent="0.25">
      <c r="A599" s="12" t="s">
        <v>603</v>
      </c>
      <c r="B599" s="11">
        <v>0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</row>
    <row r="600" spans="1:60" ht="15.75" x14ac:dyDescent="0.25">
      <c r="A600" s="12" t="s">
        <v>604</v>
      </c>
      <c r="B600" s="11">
        <v>0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</row>
    <row r="601" spans="1:60" ht="15.75" x14ac:dyDescent="0.25">
      <c r="A601" s="12" t="s">
        <v>605</v>
      </c>
      <c r="B601" s="11">
        <v>0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</row>
    <row r="602" spans="1:60" ht="15.75" x14ac:dyDescent="0.25">
      <c r="A602" s="12" t="s">
        <v>606</v>
      </c>
      <c r="B602" s="11">
        <v>0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</row>
    <row r="603" spans="1:60" ht="15.75" x14ac:dyDescent="0.25">
      <c r="A603" s="12" t="s">
        <v>607</v>
      </c>
      <c r="B603" s="11">
        <v>0</v>
      </c>
      <c r="C603" s="11">
        <v>0</v>
      </c>
      <c r="D603" s="11">
        <v>0.1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0.1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</row>
    <row r="604" spans="1:60" ht="15.75" x14ac:dyDescent="0.25">
      <c r="A604" s="12" t="s">
        <v>608</v>
      </c>
      <c r="B604" s="11">
        <v>0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</row>
    <row r="605" spans="1:60" ht="15.75" x14ac:dyDescent="0.25">
      <c r="A605" s="12" t="s">
        <v>609</v>
      </c>
      <c r="B605" s="11">
        <v>0.1</v>
      </c>
      <c r="C605" s="11">
        <v>0</v>
      </c>
      <c r="D605" s="11">
        <v>0.1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</row>
    <row r="606" spans="1:60" ht="15.75" x14ac:dyDescent="0.25">
      <c r="A606" s="12" t="s">
        <v>610</v>
      </c>
      <c r="B606" s="11">
        <v>0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</row>
    <row r="607" spans="1:60" ht="15.75" x14ac:dyDescent="0.25">
      <c r="A607" s="12" t="s">
        <v>611</v>
      </c>
      <c r="B607" s="11">
        <v>0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</row>
    <row r="608" spans="1:60" ht="15.75" x14ac:dyDescent="0.25">
      <c r="A608" s="12" t="s">
        <v>612</v>
      </c>
      <c r="B608" s="11">
        <v>0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</row>
    <row r="609" spans="1:60" ht="15.75" x14ac:dyDescent="0.25">
      <c r="A609" s="12" t="s">
        <v>613</v>
      </c>
      <c r="B609" s="11">
        <v>0</v>
      </c>
      <c r="C609" s="11">
        <v>0</v>
      </c>
      <c r="D609" s="11">
        <v>0.1</v>
      </c>
      <c r="E609" s="11">
        <v>0</v>
      </c>
      <c r="F609" s="11">
        <v>0</v>
      </c>
      <c r="G609" s="11">
        <v>0</v>
      </c>
      <c r="H609" s="11">
        <v>0</v>
      </c>
      <c r="I609" s="11">
        <v>-0.1</v>
      </c>
      <c r="J609" s="11">
        <v>0</v>
      </c>
      <c r="K609" s="11">
        <v>0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</row>
    <row r="610" spans="1:60" ht="15.75" x14ac:dyDescent="0.25">
      <c r="A610" s="12" t="s">
        <v>614</v>
      </c>
      <c r="B610" s="11">
        <v>0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0.1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</row>
    <row r="611" spans="1:60" ht="15.75" x14ac:dyDescent="0.25">
      <c r="A611" s="12" t="s">
        <v>615</v>
      </c>
      <c r="B611" s="11">
        <v>0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</row>
    <row r="612" spans="1:60" ht="15.75" x14ac:dyDescent="0.25">
      <c r="A612" s="12" t="s">
        <v>616</v>
      </c>
      <c r="B612" s="11">
        <v>0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0.1</v>
      </c>
      <c r="I612" s="11">
        <v>-0.1</v>
      </c>
      <c r="J612" s="11">
        <v>0</v>
      </c>
      <c r="K612" s="1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</row>
    <row r="613" spans="1:60" ht="15.75" x14ac:dyDescent="0.25">
      <c r="A613" s="12" t="s">
        <v>617</v>
      </c>
      <c r="B613" s="11">
        <v>0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</row>
    <row r="614" spans="1:60" ht="15.75" x14ac:dyDescent="0.25">
      <c r="A614" s="12" t="s">
        <v>618</v>
      </c>
      <c r="B614" s="11">
        <v>0</v>
      </c>
      <c r="C614" s="11">
        <v>0</v>
      </c>
      <c r="D614" s="11">
        <v>0</v>
      </c>
      <c r="E614" s="11">
        <v>0</v>
      </c>
      <c r="F614" s="11">
        <v>0.1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</row>
    <row r="615" spans="1:60" ht="15.75" x14ac:dyDescent="0.25">
      <c r="A615" s="12" t="s">
        <v>619</v>
      </c>
      <c r="B615" s="11">
        <v>0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0.1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</row>
    <row r="616" spans="1:60" ht="15.75" x14ac:dyDescent="0.25">
      <c r="A616" s="12" t="s">
        <v>620</v>
      </c>
      <c r="B616" s="11">
        <v>0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</row>
    <row r="617" spans="1:60" ht="15.75" x14ac:dyDescent="0.25">
      <c r="A617" s="12" t="s">
        <v>621</v>
      </c>
      <c r="B617" s="11">
        <v>0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</row>
    <row r="618" spans="1:60" ht="15.75" x14ac:dyDescent="0.25">
      <c r="A618" s="12" t="s">
        <v>622</v>
      </c>
      <c r="B618" s="11">
        <v>0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</row>
    <row r="619" spans="1:60" ht="15.75" x14ac:dyDescent="0.25">
      <c r="A619" s="12" t="s">
        <v>623</v>
      </c>
      <c r="B619" s="11">
        <v>0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</row>
    <row r="620" spans="1:60" ht="15.75" x14ac:dyDescent="0.25">
      <c r="A620" s="12" t="s">
        <v>624</v>
      </c>
      <c r="B620" s="11">
        <v>0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</row>
    <row r="621" spans="1:60" ht="15.75" x14ac:dyDescent="0.25">
      <c r="A621" s="12" t="s">
        <v>625</v>
      </c>
      <c r="B621" s="11">
        <v>0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</row>
    <row r="622" spans="1:60" ht="15.75" x14ac:dyDescent="0.25">
      <c r="A622" s="12" t="s">
        <v>626</v>
      </c>
      <c r="B622" s="11">
        <v>0</v>
      </c>
      <c r="C622" s="11">
        <v>0</v>
      </c>
      <c r="D622" s="11">
        <v>0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</row>
    <row r="623" spans="1:60" ht="15.75" x14ac:dyDescent="0.25">
      <c r="A623" s="12" t="s">
        <v>627</v>
      </c>
      <c r="B623" s="11">
        <v>0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</row>
    <row r="624" spans="1:60" ht="15.75" x14ac:dyDescent="0.25">
      <c r="A624" s="12" t="s">
        <v>628</v>
      </c>
      <c r="B624" s="11">
        <v>0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</row>
    <row r="625" spans="1:60" ht="15.75" x14ac:dyDescent="0.25">
      <c r="A625" s="12" t="s">
        <v>629</v>
      </c>
      <c r="B625" s="11">
        <v>0</v>
      </c>
      <c r="C625" s="11">
        <v>0.1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0.1</v>
      </c>
      <c r="K625" s="11">
        <v>0.1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</row>
    <row r="626" spans="1:60" ht="15.75" x14ac:dyDescent="0.25">
      <c r="A626" s="12" t="s">
        <v>630</v>
      </c>
      <c r="B626" s="11">
        <v>0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</row>
    <row r="627" spans="1:60" ht="15.75" x14ac:dyDescent="0.25">
      <c r="A627" s="12" t="s">
        <v>631</v>
      </c>
      <c r="B627" s="11">
        <v>0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</row>
    <row r="628" spans="1:60" ht="15.75" x14ac:dyDescent="0.25">
      <c r="A628" s="12" t="s">
        <v>632</v>
      </c>
      <c r="B628" s="11">
        <v>0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</row>
    <row r="629" spans="1:60" ht="15.75" x14ac:dyDescent="0.25">
      <c r="A629" s="12" t="s">
        <v>633</v>
      </c>
      <c r="B629" s="11">
        <v>0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</row>
    <row r="630" spans="1:60" ht="15.75" x14ac:dyDescent="0.25">
      <c r="A630" s="12" t="s">
        <v>634</v>
      </c>
      <c r="B630" s="11">
        <v>0</v>
      </c>
      <c r="C630" s="11">
        <v>0</v>
      </c>
      <c r="D630" s="11">
        <v>0</v>
      </c>
      <c r="E630" s="11">
        <v>0</v>
      </c>
      <c r="F630" s="11">
        <v>0</v>
      </c>
      <c r="G630" s="11">
        <v>-0.1</v>
      </c>
      <c r="H630" s="11">
        <v>0</v>
      </c>
      <c r="I630" s="11">
        <v>0</v>
      </c>
      <c r="J630" s="11">
        <v>0</v>
      </c>
      <c r="K630" s="1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</row>
    <row r="631" spans="1:60" ht="15.75" x14ac:dyDescent="0.25">
      <c r="A631" s="12" t="s">
        <v>635</v>
      </c>
      <c r="B631" s="11">
        <v>0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</row>
    <row r="632" spans="1:60" ht="15.75" x14ac:dyDescent="0.25">
      <c r="A632" s="12" t="s">
        <v>636</v>
      </c>
      <c r="B632" s="11">
        <v>0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</row>
    <row r="633" spans="1:60" ht="15.75" x14ac:dyDescent="0.25">
      <c r="A633" s="12" t="s">
        <v>637</v>
      </c>
      <c r="B633" s="11">
        <v>0</v>
      </c>
      <c r="C633" s="11">
        <v>0</v>
      </c>
      <c r="D633" s="11">
        <v>0</v>
      </c>
      <c r="E633" s="11">
        <v>0</v>
      </c>
      <c r="F633" s="11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</row>
    <row r="634" spans="1:60" ht="15.75" x14ac:dyDescent="0.25">
      <c r="A634" s="12" t="s">
        <v>638</v>
      </c>
      <c r="B634" s="11">
        <v>0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</row>
    <row r="635" spans="1:60" ht="15.75" x14ac:dyDescent="0.25">
      <c r="A635" s="12" t="s">
        <v>639</v>
      </c>
      <c r="B635" s="11">
        <v>0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</row>
    <row r="636" spans="1:60" ht="15.75" x14ac:dyDescent="0.25">
      <c r="A636" s="12" t="s">
        <v>640</v>
      </c>
      <c r="B636" s="11">
        <v>0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</row>
    <row r="637" spans="1:60" ht="15.75" x14ac:dyDescent="0.25">
      <c r="A637" s="12" t="s">
        <v>641</v>
      </c>
      <c r="B637" s="11">
        <v>0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</row>
    <row r="638" spans="1:60" ht="15.75" x14ac:dyDescent="0.25">
      <c r="A638" s="12" t="s">
        <v>642</v>
      </c>
      <c r="B638" s="11">
        <v>0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</row>
    <row r="639" spans="1:60" ht="15.75" x14ac:dyDescent="0.25">
      <c r="A639" s="12" t="s">
        <v>643</v>
      </c>
      <c r="B639" s="11">
        <v>0</v>
      </c>
      <c r="C639" s="11">
        <v>0</v>
      </c>
      <c r="D639" s="11">
        <v>0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0.1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</row>
    <row r="640" spans="1:60" ht="15.75" x14ac:dyDescent="0.25">
      <c r="A640" s="12" t="s">
        <v>644</v>
      </c>
      <c r="B640" s="11">
        <v>0</v>
      </c>
      <c r="C640" s="11">
        <v>0</v>
      </c>
      <c r="D640" s="11">
        <v>0</v>
      </c>
      <c r="E640" s="11">
        <v>0</v>
      </c>
      <c r="F640" s="11">
        <v>0</v>
      </c>
      <c r="G640" s="11">
        <v>0.1</v>
      </c>
      <c r="H640" s="11">
        <v>0</v>
      </c>
      <c r="I640" s="11">
        <v>0</v>
      </c>
      <c r="J640" s="11">
        <v>0</v>
      </c>
      <c r="K640" s="11">
        <v>0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</row>
    <row r="641" spans="1:60" ht="15.75" x14ac:dyDescent="0.25">
      <c r="A641" s="12" t="s">
        <v>645</v>
      </c>
      <c r="B641" s="11">
        <v>0</v>
      </c>
      <c r="C641" s="11">
        <v>0</v>
      </c>
      <c r="D641" s="11">
        <v>0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</row>
    <row r="642" spans="1:60" ht="15.75" x14ac:dyDescent="0.25">
      <c r="A642" s="12" t="s">
        <v>646</v>
      </c>
      <c r="B642" s="11">
        <v>0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</row>
    <row r="643" spans="1:60" ht="15.75" x14ac:dyDescent="0.25">
      <c r="A643" s="12" t="s">
        <v>647</v>
      </c>
      <c r="B643" s="11">
        <v>0</v>
      </c>
      <c r="C643" s="11">
        <v>0.1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-0.1</v>
      </c>
      <c r="J643" s="11">
        <v>0</v>
      </c>
      <c r="K643" s="11">
        <v>0.1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</row>
    <row r="644" spans="1:60" ht="15.75" x14ac:dyDescent="0.25">
      <c r="A644" s="12" t="s">
        <v>648</v>
      </c>
      <c r="B644" s="11">
        <v>0.1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-0.1</v>
      </c>
      <c r="J644" s="11">
        <v>0</v>
      </c>
      <c r="K644" s="11">
        <v>0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</row>
    <row r="645" spans="1:60" ht="15.75" x14ac:dyDescent="0.25">
      <c r="A645" s="12" t="s">
        <v>649</v>
      </c>
      <c r="B645" s="11">
        <v>0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</row>
    <row r="646" spans="1:60" ht="15.75" x14ac:dyDescent="0.25">
      <c r="A646" s="12" t="s">
        <v>650</v>
      </c>
      <c r="B646" s="11">
        <v>0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</row>
    <row r="647" spans="1:60" ht="15.75" x14ac:dyDescent="0.25">
      <c r="A647" s="12" t="s">
        <v>651</v>
      </c>
      <c r="B647" s="11">
        <v>0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</row>
    <row r="648" spans="1:60" ht="15.75" x14ac:dyDescent="0.25">
      <c r="A648" s="12" t="s">
        <v>652</v>
      </c>
      <c r="B648" s="11">
        <v>0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</row>
    <row r="649" spans="1:60" ht="15.75" x14ac:dyDescent="0.25">
      <c r="A649" s="12" t="s">
        <v>653</v>
      </c>
      <c r="B649" s="11">
        <v>0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</row>
    <row r="650" spans="1:60" ht="15.75" x14ac:dyDescent="0.25">
      <c r="A650" s="12" t="s">
        <v>654</v>
      </c>
      <c r="B650" s="11">
        <v>0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</row>
    <row r="651" spans="1:60" ht="15.75" x14ac:dyDescent="0.25">
      <c r="A651" s="12" t="s">
        <v>655</v>
      </c>
      <c r="B651" s="11">
        <v>0.1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0.1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</row>
    <row r="652" spans="1:60" ht="15.75" x14ac:dyDescent="0.25">
      <c r="A652" s="12" t="s">
        <v>656</v>
      </c>
      <c r="B652" s="11">
        <v>0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</row>
    <row r="653" spans="1:60" ht="15.75" x14ac:dyDescent="0.25">
      <c r="A653" s="12" t="s">
        <v>657</v>
      </c>
      <c r="B653" s="11">
        <v>0</v>
      </c>
      <c r="C653" s="11">
        <v>0</v>
      </c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</row>
    <row r="654" spans="1:60" ht="15.75" x14ac:dyDescent="0.25">
      <c r="A654" s="12" t="s">
        <v>658</v>
      </c>
      <c r="B654" s="11">
        <v>0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0.1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</row>
    <row r="655" spans="1:60" ht="15.75" x14ac:dyDescent="0.25">
      <c r="A655" s="12" t="s">
        <v>659</v>
      </c>
      <c r="B655" s="11">
        <v>0</v>
      </c>
      <c r="C655" s="11">
        <v>0</v>
      </c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</row>
    <row r="656" spans="1:60" ht="15.75" x14ac:dyDescent="0.25">
      <c r="A656" s="12" t="s">
        <v>660</v>
      </c>
      <c r="B656" s="11">
        <v>0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</row>
    <row r="657" spans="1:60" ht="15.75" x14ac:dyDescent="0.25">
      <c r="A657" s="12" t="s">
        <v>661</v>
      </c>
      <c r="B657" s="11">
        <v>0</v>
      </c>
      <c r="C657" s="11">
        <v>0</v>
      </c>
      <c r="D657" s="11">
        <v>0.1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</row>
    <row r="658" spans="1:60" ht="15.75" x14ac:dyDescent="0.25">
      <c r="A658" s="12" t="s">
        <v>662</v>
      </c>
      <c r="B658" s="11">
        <v>0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</row>
    <row r="659" spans="1:60" ht="15.75" x14ac:dyDescent="0.25">
      <c r="A659" s="12" t="s">
        <v>663</v>
      </c>
      <c r="B659" s="11">
        <v>0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0.1</v>
      </c>
      <c r="K659" s="11">
        <v>0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</row>
    <row r="660" spans="1:60" ht="15.75" x14ac:dyDescent="0.25">
      <c r="A660" s="12" t="s">
        <v>664</v>
      </c>
      <c r="B660" s="11">
        <v>0</v>
      </c>
      <c r="C660" s="11">
        <v>0</v>
      </c>
      <c r="D660" s="11">
        <v>0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</row>
    <row r="661" spans="1:60" ht="15.75" x14ac:dyDescent="0.25">
      <c r="A661" s="12" t="s">
        <v>665</v>
      </c>
      <c r="B661" s="11">
        <v>0</v>
      </c>
      <c r="C661" s="11">
        <v>0</v>
      </c>
      <c r="D661" s="11">
        <v>0.1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</row>
    <row r="662" spans="1:60" ht="15.75" x14ac:dyDescent="0.25">
      <c r="A662" s="12" t="s">
        <v>666</v>
      </c>
      <c r="B662" s="11">
        <v>0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</row>
    <row r="663" spans="1:60" ht="15.75" x14ac:dyDescent="0.25">
      <c r="A663" s="12" t="s">
        <v>667</v>
      </c>
      <c r="B663" s="11">
        <v>0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0.1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</row>
    <row r="664" spans="1:60" ht="15.75" x14ac:dyDescent="0.25">
      <c r="A664" s="12" t="s">
        <v>668</v>
      </c>
      <c r="B664" s="11">
        <v>0</v>
      </c>
      <c r="C664" s="11">
        <v>0</v>
      </c>
      <c r="D664" s="11">
        <v>0</v>
      </c>
      <c r="E664" s="11">
        <v>0</v>
      </c>
      <c r="F664" s="11">
        <v>0.1</v>
      </c>
      <c r="G664" s="11">
        <v>0</v>
      </c>
      <c r="H664" s="11">
        <v>0.1</v>
      </c>
      <c r="I664" s="11">
        <v>0</v>
      </c>
      <c r="J664" s="11">
        <v>0</v>
      </c>
      <c r="K664" s="1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</row>
    <row r="665" spans="1:60" ht="15.75" x14ac:dyDescent="0.25">
      <c r="A665" s="12" t="s">
        <v>669</v>
      </c>
      <c r="B665" s="11">
        <v>0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-0.1</v>
      </c>
      <c r="J665" s="11">
        <v>0</v>
      </c>
      <c r="K665" s="1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</row>
    <row r="666" spans="1:60" ht="15.75" x14ac:dyDescent="0.25">
      <c r="A666" s="12" t="s">
        <v>670</v>
      </c>
      <c r="B666" s="11">
        <v>0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0.1</v>
      </c>
      <c r="I666" s="11">
        <v>0</v>
      </c>
      <c r="J666" s="11">
        <v>0</v>
      </c>
      <c r="K666" s="1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</row>
    <row r="667" spans="1:60" ht="15.75" x14ac:dyDescent="0.25">
      <c r="A667" s="12" t="s">
        <v>671</v>
      </c>
      <c r="B667" s="11">
        <v>0</v>
      </c>
      <c r="C667" s="11">
        <v>0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</row>
    <row r="668" spans="1:60" ht="15.75" x14ac:dyDescent="0.25">
      <c r="A668" s="12" t="s">
        <v>672</v>
      </c>
      <c r="B668" s="11">
        <v>0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</row>
    <row r="669" spans="1:60" ht="15.75" x14ac:dyDescent="0.25">
      <c r="A669" s="12" t="s">
        <v>673</v>
      </c>
      <c r="B669" s="11">
        <v>0</v>
      </c>
      <c r="C669" s="11">
        <v>0</v>
      </c>
      <c r="D669" s="11">
        <v>0</v>
      </c>
      <c r="E669" s="11">
        <v>0</v>
      </c>
      <c r="F669" s="11">
        <v>0</v>
      </c>
      <c r="G669" s="11">
        <v>0</v>
      </c>
      <c r="H669" s="11">
        <v>0</v>
      </c>
      <c r="I669" s="11">
        <v>-0.1</v>
      </c>
      <c r="J669" s="11">
        <v>0</v>
      </c>
      <c r="K669" s="11">
        <v>0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</row>
    <row r="670" spans="1:60" ht="15.75" x14ac:dyDescent="0.25">
      <c r="A670" s="12" t="s">
        <v>674</v>
      </c>
      <c r="B670" s="11">
        <v>0</v>
      </c>
      <c r="C670" s="11">
        <v>0</v>
      </c>
      <c r="D670" s="11">
        <v>0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</row>
    <row r="671" spans="1:60" ht="15.75" x14ac:dyDescent="0.25">
      <c r="A671" s="12" t="s">
        <v>675</v>
      </c>
      <c r="B671" s="11">
        <v>0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</row>
    <row r="672" spans="1:60" ht="15.75" x14ac:dyDescent="0.25">
      <c r="A672" s="12" t="s">
        <v>676</v>
      </c>
      <c r="B672" s="11">
        <v>0</v>
      </c>
      <c r="C672" s="11">
        <v>0.1</v>
      </c>
      <c r="D672" s="11">
        <v>0</v>
      </c>
      <c r="E672" s="11">
        <v>0</v>
      </c>
      <c r="F672" s="11">
        <v>0.1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</row>
    <row r="673" spans="1:60" ht="15.75" x14ac:dyDescent="0.25">
      <c r="A673" s="12" t="s">
        <v>677</v>
      </c>
      <c r="B673" s="11">
        <v>0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0.1</v>
      </c>
      <c r="K673" s="11">
        <v>0.1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</row>
    <row r="674" spans="1:60" ht="15.75" x14ac:dyDescent="0.25">
      <c r="A674" s="12" t="s">
        <v>678</v>
      </c>
      <c r="B674" s="11">
        <v>0</v>
      </c>
      <c r="C674" s="11">
        <v>0</v>
      </c>
      <c r="D674" s="11">
        <v>0</v>
      </c>
      <c r="E674" s="11">
        <v>0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</row>
    <row r="675" spans="1:60" ht="15.75" x14ac:dyDescent="0.25">
      <c r="A675" s="12" t="s">
        <v>679</v>
      </c>
      <c r="B675" s="11">
        <v>0</v>
      </c>
      <c r="C675" s="11">
        <v>0</v>
      </c>
      <c r="D675" s="11">
        <v>0</v>
      </c>
      <c r="E675" s="11">
        <v>0</v>
      </c>
      <c r="F675" s="11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0.1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</row>
    <row r="676" spans="1:60" ht="15.75" x14ac:dyDescent="0.25">
      <c r="A676" s="12" t="s">
        <v>680</v>
      </c>
      <c r="B676" s="11">
        <v>0</v>
      </c>
      <c r="C676" s="11">
        <v>0</v>
      </c>
      <c r="D676" s="11">
        <v>0.1</v>
      </c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</row>
    <row r="677" spans="1:60" ht="15.75" x14ac:dyDescent="0.25">
      <c r="A677" s="12" t="s">
        <v>681</v>
      </c>
      <c r="B677" s="11">
        <v>0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</row>
    <row r="678" spans="1:60" ht="15.75" x14ac:dyDescent="0.25">
      <c r="A678" s="12" t="s">
        <v>682</v>
      </c>
      <c r="B678" s="11">
        <v>0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0.1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</row>
    <row r="679" spans="1:60" ht="15.75" x14ac:dyDescent="0.25">
      <c r="A679" s="12" t="s">
        <v>683</v>
      </c>
      <c r="B679" s="11">
        <v>0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0.1</v>
      </c>
      <c r="K679" s="11">
        <v>0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</row>
    <row r="680" spans="1:60" ht="15.75" x14ac:dyDescent="0.25">
      <c r="A680" s="12" t="s">
        <v>684</v>
      </c>
      <c r="B680" s="11">
        <v>0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0.1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</row>
    <row r="681" spans="1:60" ht="15.75" x14ac:dyDescent="0.25">
      <c r="A681" s="12" t="s">
        <v>685</v>
      </c>
      <c r="B681" s="11">
        <v>0</v>
      </c>
      <c r="C681" s="11">
        <v>0</v>
      </c>
      <c r="D681" s="11">
        <v>0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0.1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</row>
    <row r="682" spans="1:60" ht="15.75" x14ac:dyDescent="0.25">
      <c r="A682" s="12" t="s">
        <v>686</v>
      </c>
      <c r="B682" s="11">
        <v>0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</row>
    <row r="683" spans="1:60" ht="15.75" x14ac:dyDescent="0.25">
      <c r="A683" s="12" t="s">
        <v>687</v>
      </c>
      <c r="B683" s="11">
        <v>0</v>
      </c>
      <c r="C683" s="11">
        <v>0</v>
      </c>
      <c r="D683" s="11">
        <v>0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</row>
    <row r="684" spans="1:60" ht="15.75" x14ac:dyDescent="0.25">
      <c r="A684" s="12" t="s">
        <v>688</v>
      </c>
      <c r="B684" s="11">
        <v>0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</row>
    <row r="685" spans="1:60" ht="15.75" x14ac:dyDescent="0.25">
      <c r="A685" s="12" t="s">
        <v>689</v>
      </c>
      <c r="B685" s="11">
        <v>0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0.1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</row>
    <row r="686" spans="1:60" ht="15.75" x14ac:dyDescent="0.25">
      <c r="A686" s="12" t="s">
        <v>690</v>
      </c>
      <c r="B686" s="11">
        <v>0</v>
      </c>
      <c r="C686" s="11">
        <v>0</v>
      </c>
      <c r="D686" s="11">
        <v>0.1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</row>
    <row r="687" spans="1:60" ht="15.75" x14ac:dyDescent="0.25">
      <c r="A687" s="12" t="s">
        <v>691</v>
      </c>
      <c r="B687" s="11">
        <v>0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0.1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</row>
    <row r="688" spans="1:60" ht="15.75" x14ac:dyDescent="0.25">
      <c r="A688" s="12" t="s">
        <v>692</v>
      </c>
      <c r="B688" s="11">
        <v>0</v>
      </c>
      <c r="C688" s="11">
        <v>0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11">
        <v>0</v>
      </c>
      <c r="K688" s="11">
        <v>0.1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</row>
    <row r="689" spans="1:60" ht="15.75" x14ac:dyDescent="0.25">
      <c r="A689" s="12" t="s">
        <v>693</v>
      </c>
      <c r="B689" s="11">
        <v>0</v>
      </c>
      <c r="C689" s="11">
        <v>0</v>
      </c>
      <c r="D689" s="11">
        <v>0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</row>
    <row r="690" spans="1:60" ht="15.75" x14ac:dyDescent="0.25">
      <c r="A690" s="12" t="s">
        <v>694</v>
      </c>
      <c r="B690" s="11">
        <v>0</v>
      </c>
      <c r="C690" s="11">
        <v>0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</row>
    <row r="691" spans="1:60" ht="15.75" x14ac:dyDescent="0.25">
      <c r="A691" s="12" t="s">
        <v>695</v>
      </c>
      <c r="B691" s="11">
        <v>0</v>
      </c>
      <c r="C691" s="11">
        <v>0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</row>
    <row r="692" spans="1:60" ht="15.75" x14ac:dyDescent="0.25">
      <c r="A692" s="12" t="s">
        <v>696</v>
      </c>
      <c r="B692" s="11">
        <v>0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0.1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</row>
    <row r="693" spans="1:60" ht="15.75" x14ac:dyDescent="0.25">
      <c r="A693" s="12" t="s">
        <v>697</v>
      </c>
      <c r="B693" s="11">
        <v>0.1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0.1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</row>
    <row r="694" spans="1:60" ht="15.75" x14ac:dyDescent="0.25">
      <c r="A694" s="12" t="s">
        <v>698</v>
      </c>
      <c r="B694" s="11">
        <v>0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</row>
    <row r="695" spans="1:60" ht="15.75" x14ac:dyDescent="0.25">
      <c r="A695" s="12" t="s">
        <v>699</v>
      </c>
      <c r="B695" s="11">
        <v>0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</row>
    <row r="696" spans="1:60" ht="15.75" x14ac:dyDescent="0.25">
      <c r="A696" s="12" t="s">
        <v>700</v>
      </c>
      <c r="B696" s="11">
        <v>0</v>
      </c>
      <c r="C696" s="11">
        <v>0</v>
      </c>
      <c r="D696" s="11">
        <v>0</v>
      </c>
      <c r="E696" s="11">
        <v>0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</row>
    <row r="697" spans="1:60" ht="15.75" x14ac:dyDescent="0.25">
      <c r="A697" s="12" t="s">
        <v>701</v>
      </c>
      <c r="B697" s="11">
        <v>0.1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1">
        <v>-0.1</v>
      </c>
      <c r="J697" s="11">
        <v>0</v>
      </c>
      <c r="K697" s="1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</row>
    <row r="698" spans="1:60" ht="15.75" x14ac:dyDescent="0.25">
      <c r="A698" s="12" t="s">
        <v>702</v>
      </c>
      <c r="B698" s="11">
        <v>0</v>
      </c>
      <c r="C698" s="11">
        <v>0</v>
      </c>
      <c r="D698" s="11">
        <v>0</v>
      </c>
      <c r="E698" s="11">
        <v>0</v>
      </c>
      <c r="F698" s="11">
        <v>0</v>
      </c>
      <c r="G698" s="11">
        <v>0</v>
      </c>
      <c r="H698" s="11">
        <v>0</v>
      </c>
      <c r="I698" s="11">
        <v>-0.1</v>
      </c>
      <c r="J698" s="11">
        <v>0</v>
      </c>
      <c r="K698" s="11">
        <v>0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</row>
    <row r="699" spans="1:60" ht="15.75" x14ac:dyDescent="0.25">
      <c r="A699" s="12" t="s">
        <v>703</v>
      </c>
      <c r="B699" s="11">
        <v>0</v>
      </c>
      <c r="C699" s="11">
        <v>0</v>
      </c>
      <c r="D699" s="11">
        <v>0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</row>
    <row r="700" spans="1:60" ht="15.75" x14ac:dyDescent="0.25">
      <c r="A700" s="12" t="s">
        <v>704</v>
      </c>
      <c r="B700" s="11">
        <v>0</v>
      </c>
      <c r="C700" s="11">
        <v>0</v>
      </c>
      <c r="D700" s="11">
        <v>0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</row>
    <row r="701" spans="1:60" ht="15.75" x14ac:dyDescent="0.25">
      <c r="A701" s="12" t="s">
        <v>705</v>
      </c>
      <c r="B701" s="11">
        <v>0</v>
      </c>
      <c r="C701" s="11">
        <v>0</v>
      </c>
      <c r="D701" s="11">
        <v>0</v>
      </c>
      <c r="E701" s="11">
        <v>0</v>
      </c>
      <c r="F701" s="11">
        <v>0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</row>
    <row r="702" spans="1:60" ht="15.75" x14ac:dyDescent="0.25">
      <c r="A702" s="12" t="s">
        <v>706</v>
      </c>
      <c r="B702" s="11">
        <v>0</v>
      </c>
      <c r="C702" s="11">
        <v>0</v>
      </c>
      <c r="D702" s="11">
        <v>0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</row>
    <row r="703" spans="1:60" ht="15.75" x14ac:dyDescent="0.25">
      <c r="A703" s="12" t="s">
        <v>707</v>
      </c>
      <c r="B703" s="11">
        <v>0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0.1</v>
      </c>
      <c r="I703" s="11">
        <v>0</v>
      </c>
      <c r="J703" s="11">
        <v>0</v>
      </c>
      <c r="K703" s="11">
        <v>0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</row>
    <row r="704" spans="1:60" ht="15.75" x14ac:dyDescent="0.25">
      <c r="A704" s="12" t="s">
        <v>708</v>
      </c>
      <c r="B704" s="11">
        <v>0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0.1</v>
      </c>
      <c r="I704" s="11">
        <v>0</v>
      </c>
      <c r="J704" s="11">
        <v>0</v>
      </c>
      <c r="K704" s="11">
        <v>0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</row>
    <row r="705" spans="1:60" ht="15.75" x14ac:dyDescent="0.25">
      <c r="A705" s="12" t="s">
        <v>709</v>
      </c>
      <c r="B705" s="11">
        <v>0.1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</row>
    <row r="706" spans="1:60" ht="15.75" x14ac:dyDescent="0.25">
      <c r="A706" s="12" t="s">
        <v>710</v>
      </c>
      <c r="B706" s="11">
        <v>0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</row>
    <row r="707" spans="1:60" ht="15.75" x14ac:dyDescent="0.25">
      <c r="A707" s="12" t="s">
        <v>711</v>
      </c>
      <c r="B707" s="11">
        <v>0</v>
      </c>
      <c r="C707" s="11">
        <v>0</v>
      </c>
      <c r="D707" s="11">
        <v>0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</row>
    <row r="708" spans="1:60" ht="15.75" x14ac:dyDescent="0.25">
      <c r="A708" s="12" t="s">
        <v>712</v>
      </c>
      <c r="B708" s="11">
        <v>0</v>
      </c>
      <c r="C708" s="11">
        <v>0</v>
      </c>
      <c r="D708" s="11">
        <v>0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</row>
    <row r="709" spans="1:60" ht="15.75" x14ac:dyDescent="0.25">
      <c r="A709" s="12" t="s">
        <v>713</v>
      </c>
      <c r="B709" s="11">
        <v>0</v>
      </c>
      <c r="C709" s="11">
        <v>0</v>
      </c>
      <c r="D709" s="11">
        <v>0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</row>
    <row r="710" spans="1:60" ht="15.75" x14ac:dyDescent="0.25">
      <c r="A710" s="12" t="s">
        <v>714</v>
      </c>
      <c r="B710" s="11">
        <v>0</v>
      </c>
      <c r="C710" s="11">
        <v>0</v>
      </c>
      <c r="D710" s="11">
        <v>0.1</v>
      </c>
      <c r="E710" s="11">
        <v>0</v>
      </c>
      <c r="F710" s="11">
        <v>0</v>
      </c>
      <c r="G710" s="11">
        <v>0</v>
      </c>
      <c r="H710" s="11">
        <v>0.1</v>
      </c>
      <c r="I710" s="11">
        <v>-0.1</v>
      </c>
      <c r="J710" s="11">
        <v>0</v>
      </c>
      <c r="K710" s="11">
        <v>0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</row>
    <row r="711" spans="1:60" ht="15.75" x14ac:dyDescent="0.25">
      <c r="A711" s="12" t="s">
        <v>715</v>
      </c>
      <c r="B711" s="11">
        <v>0</v>
      </c>
      <c r="C711" s="11">
        <v>0</v>
      </c>
      <c r="D711" s="11">
        <v>0.1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</row>
    <row r="712" spans="1:60" ht="15.75" x14ac:dyDescent="0.25">
      <c r="A712" s="12" t="s">
        <v>716</v>
      </c>
      <c r="B712" s="11">
        <v>0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</row>
    <row r="713" spans="1:60" ht="15.75" x14ac:dyDescent="0.25">
      <c r="A713" s="12" t="s">
        <v>717</v>
      </c>
      <c r="B713" s="11">
        <v>0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</row>
    <row r="714" spans="1:60" ht="15.75" x14ac:dyDescent="0.25">
      <c r="A714" s="12" t="s">
        <v>718</v>
      </c>
      <c r="B714" s="11">
        <v>0</v>
      </c>
      <c r="C714" s="11">
        <v>0.1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</row>
    <row r="715" spans="1:60" ht="15.75" x14ac:dyDescent="0.25">
      <c r="A715" s="12" t="s">
        <v>719</v>
      </c>
      <c r="B715" s="11">
        <v>0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</row>
    <row r="716" spans="1:60" ht="15.75" x14ac:dyDescent="0.25">
      <c r="A716" s="12" t="s">
        <v>720</v>
      </c>
      <c r="B716" s="11">
        <v>0</v>
      </c>
      <c r="C716" s="11">
        <v>0.1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</row>
    <row r="717" spans="1:60" ht="15.75" x14ac:dyDescent="0.25">
      <c r="A717" s="12" t="s">
        <v>721</v>
      </c>
      <c r="B717" s="11">
        <v>0</v>
      </c>
      <c r="C717" s="11">
        <v>0</v>
      </c>
      <c r="D717" s="11">
        <v>0</v>
      </c>
      <c r="E717" s="11">
        <v>0.1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</row>
    <row r="718" spans="1:60" ht="15.75" x14ac:dyDescent="0.25">
      <c r="A718" s="12" t="s">
        <v>722</v>
      </c>
      <c r="B718" s="11">
        <v>0</v>
      </c>
      <c r="C718" s="11">
        <v>0</v>
      </c>
      <c r="D718" s="11">
        <v>0</v>
      </c>
      <c r="E718" s="11">
        <v>0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</row>
    <row r="719" spans="1:60" ht="15.75" x14ac:dyDescent="0.25">
      <c r="A719" s="12" t="s">
        <v>723</v>
      </c>
      <c r="B719" s="11">
        <v>0</v>
      </c>
      <c r="C719" s="11">
        <v>0</v>
      </c>
      <c r="D719" s="11">
        <v>0.1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</row>
    <row r="720" spans="1:60" ht="15.75" x14ac:dyDescent="0.25">
      <c r="A720" s="12" t="s">
        <v>724</v>
      </c>
      <c r="B720" s="11">
        <v>0</v>
      </c>
      <c r="C720" s="11">
        <v>0</v>
      </c>
      <c r="D720" s="11">
        <v>0</v>
      </c>
      <c r="E720" s="11">
        <v>0</v>
      </c>
      <c r="F720" s="11">
        <v>0</v>
      </c>
      <c r="G720" s="11">
        <v>0</v>
      </c>
      <c r="H720" s="11">
        <v>0</v>
      </c>
      <c r="I720" s="11">
        <v>0.1</v>
      </c>
      <c r="J720" s="11">
        <v>0</v>
      </c>
      <c r="K720" s="11">
        <v>0</v>
      </c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</row>
    <row r="721" spans="1:60" ht="15.75" x14ac:dyDescent="0.25">
      <c r="A721" s="12" t="s">
        <v>725</v>
      </c>
      <c r="B721" s="11">
        <v>0</v>
      </c>
      <c r="C721" s="11">
        <v>0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</row>
    <row r="722" spans="1:60" ht="15.75" x14ac:dyDescent="0.25">
      <c r="A722" s="12" t="s">
        <v>726</v>
      </c>
      <c r="B722" s="11">
        <v>0</v>
      </c>
      <c r="C722" s="11">
        <v>0</v>
      </c>
      <c r="D722" s="11">
        <v>0.1</v>
      </c>
      <c r="E722" s="11">
        <v>0</v>
      </c>
      <c r="F722" s="11">
        <v>0</v>
      </c>
      <c r="G722" s="11">
        <v>0</v>
      </c>
      <c r="H722" s="11">
        <v>0</v>
      </c>
      <c r="I722" s="11">
        <v>0</v>
      </c>
      <c r="J722" s="11">
        <v>0</v>
      </c>
      <c r="K722" s="11">
        <v>0</v>
      </c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</row>
    <row r="723" spans="1:60" ht="15.75" x14ac:dyDescent="0.25">
      <c r="A723" s="12" t="s">
        <v>727</v>
      </c>
      <c r="B723" s="11">
        <v>0</v>
      </c>
      <c r="C723" s="11">
        <v>0</v>
      </c>
      <c r="D723" s="11">
        <v>0.1</v>
      </c>
      <c r="E723" s="11">
        <v>0</v>
      </c>
      <c r="F723" s="11">
        <v>0</v>
      </c>
      <c r="G723" s="11">
        <v>0</v>
      </c>
      <c r="H723" s="11">
        <v>0</v>
      </c>
      <c r="I723" s="11">
        <v>-0.1</v>
      </c>
      <c r="J723" s="11">
        <v>0</v>
      </c>
      <c r="K723" s="11">
        <v>0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</row>
    <row r="724" spans="1:60" ht="15.75" x14ac:dyDescent="0.25">
      <c r="A724" s="12" t="s">
        <v>728</v>
      </c>
      <c r="B724" s="11">
        <v>0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0.1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</row>
    <row r="725" spans="1:60" ht="15.75" x14ac:dyDescent="0.25">
      <c r="A725" s="12" t="s">
        <v>729</v>
      </c>
      <c r="B725" s="11">
        <v>0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</row>
    <row r="726" spans="1:60" ht="15.75" x14ac:dyDescent="0.25">
      <c r="A726" s="12" t="s">
        <v>730</v>
      </c>
      <c r="B726" s="11">
        <v>0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-0.1</v>
      </c>
      <c r="J726" s="11">
        <v>0</v>
      </c>
      <c r="K726" s="11">
        <v>0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</row>
    <row r="727" spans="1:60" ht="15.75" x14ac:dyDescent="0.25">
      <c r="A727" s="12" t="s">
        <v>731</v>
      </c>
      <c r="B727" s="11">
        <v>0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</row>
    <row r="728" spans="1:60" ht="15.75" x14ac:dyDescent="0.25">
      <c r="A728" s="12" t="s">
        <v>732</v>
      </c>
      <c r="B728" s="11">
        <v>0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</row>
    <row r="729" spans="1:60" ht="15.75" x14ac:dyDescent="0.25">
      <c r="A729" s="12" t="s">
        <v>733</v>
      </c>
      <c r="B729" s="11">
        <v>0</v>
      </c>
      <c r="C729" s="11">
        <v>0</v>
      </c>
      <c r="D729" s="11">
        <v>0</v>
      </c>
      <c r="E729" s="11">
        <v>0</v>
      </c>
      <c r="F729" s="11">
        <v>0</v>
      </c>
      <c r="G729" s="11">
        <v>0</v>
      </c>
      <c r="H729" s="11">
        <v>0.1</v>
      </c>
      <c r="I729" s="11">
        <v>0</v>
      </c>
      <c r="J729" s="11">
        <v>0</v>
      </c>
      <c r="K729" s="11">
        <v>0.1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</row>
    <row r="730" spans="1:60" ht="15.75" x14ac:dyDescent="0.25">
      <c r="A730" s="12" t="s">
        <v>734</v>
      </c>
      <c r="B730" s="11">
        <v>0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</row>
    <row r="731" spans="1:60" ht="15.75" x14ac:dyDescent="0.25">
      <c r="A731" s="12" t="s">
        <v>735</v>
      </c>
      <c r="B731" s="11">
        <v>0</v>
      </c>
      <c r="C731" s="11">
        <v>0.1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</row>
    <row r="732" spans="1:60" ht="15.75" x14ac:dyDescent="0.25">
      <c r="A732" s="12" t="s">
        <v>736</v>
      </c>
      <c r="B732" s="11">
        <v>0</v>
      </c>
      <c r="C732" s="11">
        <v>0</v>
      </c>
      <c r="D732" s="11">
        <v>0</v>
      </c>
      <c r="E732" s="11">
        <v>0</v>
      </c>
      <c r="F732" s="11">
        <v>0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</row>
    <row r="733" spans="1:60" ht="15.75" x14ac:dyDescent="0.25">
      <c r="A733" s="12" t="s">
        <v>737</v>
      </c>
      <c r="B733" s="11">
        <v>0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</row>
    <row r="734" spans="1:60" ht="15.75" x14ac:dyDescent="0.25">
      <c r="A734" s="12" t="s">
        <v>738</v>
      </c>
      <c r="B734" s="11">
        <v>0.1</v>
      </c>
      <c r="C734" s="11">
        <v>0</v>
      </c>
      <c r="D734" s="11">
        <v>0.1</v>
      </c>
      <c r="E734" s="11">
        <v>0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</row>
    <row r="735" spans="1:60" ht="15.75" x14ac:dyDescent="0.25">
      <c r="A735" s="12" t="s">
        <v>739</v>
      </c>
      <c r="B735" s="11">
        <v>0</v>
      </c>
      <c r="C735" s="11">
        <v>0</v>
      </c>
      <c r="D735" s="11">
        <v>0</v>
      </c>
      <c r="E735" s="11">
        <v>0.1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</row>
    <row r="736" spans="1:60" ht="15.75" x14ac:dyDescent="0.25">
      <c r="A736" s="12" t="s">
        <v>740</v>
      </c>
      <c r="B736" s="11">
        <v>0</v>
      </c>
      <c r="C736" s="11">
        <v>0</v>
      </c>
      <c r="D736" s="11">
        <v>0</v>
      </c>
      <c r="E736" s="11">
        <v>0</v>
      </c>
      <c r="F736" s="11">
        <v>0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</row>
    <row r="737" spans="1:60" ht="15.75" x14ac:dyDescent="0.25">
      <c r="A737" s="12" t="s">
        <v>741</v>
      </c>
      <c r="B737" s="11">
        <v>0</v>
      </c>
      <c r="C737" s="11">
        <v>0</v>
      </c>
      <c r="D737" s="11">
        <v>0</v>
      </c>
      <c r="E737" s="11">
        <v>0</v>
      </c>
      <c r="F737" s="11">
        <v>0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</row>
    <row r="738" spans="1:60" ht="15.75" x14ac:dyDescent="0.25">
      <c r="A738" s="12" t="s">
        <v>742</v>
      </c>
      <c r="B738" s="11">
        <v>0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</row>
    <row r="739" spans="1:60" ht="15.75" x14ac:dyDescent="0.25">
      <c r="A739" s="12" t="s">
        <v>743</v>
      </c>
      <c r="B739" s="11">
        <v>0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</row>
    <row r="740" spans="1:60" ht="15.75" x14ac:dyDescent="0.25">
      <c r="A740" s="12" t="s">
        <v>744</v>
      </c>
      <c r="B740" s="11">
        <v>0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</row>
    <row r="741" spans="1:60" ht="15.75" x14ac:dyDescent="0.25">
      <c r="A741" s="12" t="s">
        <v>745</v>
      </c>
      <c r="B741" s="11">
        <v>0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</row>
    <row r="742" spans="1:60" ht="15.75" x14ac:dyDescent="0.25">
      <c r="A742" s="12" t="s">
        <v>746</v>
      </c>
      <c r="B742" s="11">
        <v>0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-0.1</v>
      </c>
      <c r="J742" s="11">
        <v>0</v>
      </c>
      <c r="K742" s="11">
        <v>0</v>
      </c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</row>
    <row r="743" spans="1:60" ht="15.75" x14ac:dyDescent="0.25">
      <c r="A743" s="12" t="s">
        <v>747</v>
      </c>
      <c r="B743" s="11">
        <v>0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</row>
    <row r="744" spans="1:60" ht="15.75" x14ac:dyDescent="0.25">
      <c r="A744" s="12" t="s">
        <v>748</v>
      </c>
      <c r="B744" s="11">
        <v>0</v>
      </c>
      <c r="C744" s="11">
        <v>0</v>
      </c>
      <c r="D744" s="11">
        <v>0</v>
      </c>
      <c r="E744" s="11">
        <v>0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</row>
    <row r="745" spans="1:60" ht="15.75" x14ac:dyDescent="0.25">
      <c r="A745" s="12" t="s">
        <v>749</v>
      </c>
      <c r="B745" s="11">
        <v>0</v>
      </c>
      <c r="C745" s="11">
        <v>0</v>
      </c>
      <c r="D745" s="11">
        <v>0</v>
      </c>
      <c r="E745" s="11">
        <v>0</v>
      </c>
      <c r="F745" s="11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</row>
    <row r="746" spans="1:60" ht="15.75" x14ac:dyDescent="0.25">
      <c r="A746" s="12" t="s">
        <v>750</v>
      </c>
      <c r="B746" s="11">
        <v>0</v>
      </c>
      <c r="C746" s="11">
        <v>0</v>
      </c>
      <c r="D746" s="11">
        <v>0</v>
      </c>
      <c r="E746" s="11">
        <v>0</v>
      </c>
      <c r="F746" s="11">
        <v>0.1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</row>
    <row r="747" spans="1:60" ht="15.75" x14ac:dyDescent="0.25">
      <c r="A747" s="12" t="s">
        <v>751</v>
      </c>
      <c r="B747" s="11">
        <v>0</v>
      </c>
      <c r="C747" s="11">
        <v>0</v>
      </c>
      <c r="D747" s="11">
        <v>0</v>
      </c>
      <c r="E747" s="11">
        <v>0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</row>
    <row r="748" spans="1:60" ht="15.75" x14ac:dyDescent="0.25">
      <c r="A748" s="12" t="s">
        <v>752</v>
      </c>
      <c r="B748" s="11">
        <v>0</v>
      </c>
      <c r="C748" s="11">
        <v>0</v>
      </c>
      <c r="D748" s="11">
        <v>0</v>
      </c>
      <c r="E748" s="11">
        <v>0</v>
      </c>
      <c r="F748" s="11">
        <v>0.1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</row>
    <row r="749" spans="1:60" ht="15.75" x14ac:dyDescent="0.25">
      <c r="A749" s="12" t="s">
        <v>753</v>
      </c>
      <c r="B749" s="11">
        <v>0</v>
      </c>
      <c r="C749" s="11">
        <v>0</v>
      </c>
      <c r="D749" s="11">
        <v>0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0.1</v>
      </c>
      <c r="K749" s="11">
        <v>0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</row>
    <row r="750" spans="1:60" ht="15.75" x14ac:dyDescent="0.25">
      <c r="A750" s="12" t="s">
        <v>754</v>
      </c>
      <c r="B750" s="11">
        <v>0</v>
      </c>
      <c r="C750" s="11">
        <v>0</v>
      </c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</row>
    <row r="751" spans="1:60" ht="15.75" x14ac:dyDescent="0.25">
      <c r="A751" s="12" t="s">
        <v>755</v>
      </c>
      <c r="B751" s="11">
        <v>0</v>
      </c>
      <c r="C751" s="11">
        <v>0</v>
      </c>
      <c r="D751" s="11">
        <v>0</v>
      </c>
      <c r="E751" s="11">
        <v>0</v>
      </c>
      <c r="F751" s="11">
        <v>0</v>
      </c>
      <c r="G751" s="11">
        <v>0</v>
      </c>
      <c r="H751" s="11">
        <v>0</v>
      </c>
      <c r="I751" s="11">
        <v>-0.1</v>
      </c>
      <c r="J751" s="11">
        <v>0</v>
      </c>
      <c r="K751" s="11">
        <v>0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</row>
    <row r="752" spans="1:60" ht="15.75" x14ac:dyDescent="0.25">
      <c r="A752" s="12" t="s">
        <v>756</v>
      </c>
      <c r="B752" s="11">
        <v>0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</row>
    <row r="753" spans="1:60" ht="15.75" x14ac:dyDescent="0.25">
      <c r="A753" s="12" t="s">
        <v>757</v>
      </c>
      <c r="B753" s="11">
        <v>0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</row>
    <row r="754" spans="1:60" ht="15.75" x14ac:dyDescent="0.25">
      <c r="A754" s="12" t="s">
        <v>758</v>
      </c>
      <c r="B754" s="11">
        <v>0</v>
      </c>
      <c r="C754" s="11">
        <v>0</v>
      </c>
      <c r="D754" s="11">
        <v>0</v>
      </c>
      <c r="E754" s="11">
        <v>0</v>
      </c>
      <c r="F754" s="11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</row>
    <row r="755" spans="1:60" ht="15.75" x14ac:dyDescent="0.25">
      <c r="A755" s="12" t="s">
        <v>759</v>
      </c>
      <c r="B755" s="11">
        <v>0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0.1</v>
      </c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</row>
    <row r="756" spans="1:60" ht="15.75" x14ac:dyDescent="0.25">
      <c r="A756" s="12" t="s">
        <v>760</v>
      </c>
      <c r="B756" s="11">
        <v>0</v>
      </c>
      <c r="C756" s="11">
        <v>0</v>
      </c>
      <c r="D756" s="11">
        <v>0</v>
      </c>
      <c r="E756" s="11">
        <v>0</v>
      </c>
      <c r="F756" s="11">
        <v>0</v>
      </c>
      <c r="G756" s="11">
        <v>0</v>
      </c>
      <c r="H756" s="11">
        <v>0</v>
      </c>
      <c r="I756" s="11">
        <v>0</v>
      </c>
      <c r="J756" s="11">
        <v>0.1</v>
      </c>
      <c r="K756" s="11">
        <v>0.1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</row>
    <row r="757" spans="1:60" ht="15.75" x14ac:dyDescent="0.25">
      <c r="A757" s="12" t="s">
        <v>761</v>
      </c>
      <c r="B757" s="11">
        <v>0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</row>
    <row r="758" spans="1:60" ht="15.75" x14ac:dyDescent="0.25">
      <c r="A758" s="12" t="s">
        <v>762</v>
      </c>
      <c r="B758" s="11">
        <v>0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</row>
    <row r="759" spans="1:60" ht="15.75" x14ac:dyDescent="0.25">
      <c r="A759" s="12" t="s">
        <v>763</v>
      </c>
      <c r="B759" s="11">
        <v>0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</row>
    <row r="760" spans="1:60" ht="15.75" x14ac:dyDescent="0.25">
      <c r="A760" s="12" t="s">
        <v>764</v>
      </c>
      <c r="B760" s="11">
        <v>0</v>
      </c>
      <c r="C760" s="11">
        <v>0</v>
      </c>
      <c r="D760" s="11">
        <v>0</v>
      </c>
      <c r="E760" s="11">
        <v>0</v>
      </c>
      <c r="F760" s="11">
        <v>0</v>
      </c>
      <c r="G760" s="11">
        <v>0</v>
      </c>
      <c r="H760" s="11">
        <v>0</v>
      </c>
      <c r="I760" s="11">
        <v>-0.1</v>
      </c>
      <c r="J760" s="11">
        <v>0</v>
      </c>
      <c r="K760" s="11">
        <v>0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</row>
    <row r="761" spans="1:60" ht="15.75" x14ac:dyDescent="0.25">
      <c r="A761" s="12" t="s">
        <v>765</v>
      </c>
      <c r="B761" s="11">
        <v>0</v>
      </c>
      <c r="C761" s="11">
        <v>0</v>
      </c>
      <c r="D761" s="11">
        <v>0</v>
      </c>
      <c r="E761" s="11">
        <v>0</v>
      </c>
      <c r="F761" s="11">
        <v>0</v>
      </c>
      <c r="G761" s="11">
        <v>0</v>
      </c>
      <c r="H761" s="11">
        <v>0</v>
      </c>
      <c r="I761" s="11">
        <v>0</v>
      </c>
      <c r="J761" s="11">
        <v>0</v>
      </c>
      <c r="K761" s="11">
        <v>0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</row>
    <row r="762" spans="1:60" ht="15.75" x14ac:dyDescent="0.25">
      <c r="A762" s="12" t="s">
        <v>766</v>
      </c>
      <c r="B762" s="11">
        <v>0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0.1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</row>
    <row r="763" spans="1:60" ht="15.75" x14ac:dyDescent="0.25">
      <c r="A763" s="12" t="s">
        <v>767</v>
      </c>
      <c r="B763" s="11">
        <v>0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</row>
    <row r="764" spans="1:60" ht="15.75" x14ac:dyDescent="0.25">
      <c r="A764" s="12" t="s">
        <v>768</v>
      </c>
      <c r="B764" s="11">
        <v>0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</row>
    <row r="765" spans="1:60" ht="15.75" x14ac:dyDescent="0.25">
      <c r="A765" s="12" t="s">
        <v>769</v>
      </c>
      <c r="B765" s="11">
        <v>0</v>
      </c>
      <c r="C765" s="11">
        <v>0</v>
      </c>
      <c r="D765" s="11">
        <v>0.1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</row>
    <row r="766" spans="1:60" ht="15.75" x14ac:dyDescent="0.25">
      <c r="A766" s="12" t="s">
        <v>770</v>
      </c>
      <c r="B766" s="11">
        <v>0</v>
      </c>
      <c r="C766" s="11">
        <v>0</v>
      </c>
      <c r="D766" s="11">
        <v>0</v>
      </c>
      <c r="E766" s="11">
        <v>0</v>
      </c>
      <c r="F766" s="11">
        <v>0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</row>
    <row r="767" spans="1:60" ht="15.75" x14ac:dyDescent="0.25">
      <c r="A767" s="12" t="s">
        <v>771</v>
      </c>
      <c r="B767" s="11">
        <v>0</v>
      </c>
      <c r="C767" s="11">
        <v>0</v>
      </c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</row>
    <row r="768" spans="1:60" ht="15.75" x14ac:dyDescent="0.25">
      <c r="A768" s="12" t="s">
        <v>772</v>
      </c>
      <c r="B768" s="11">
        <v>0</v>
      </c>
      <c r="C768" s="11">
        <v>0</v>
      </c>
      <c r="D768" s="11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</row>
    <row r="769" spans="1:60" ht="15.75" x14ac:dyDescent="0.25">
      <c r="A769" s="12" t="s">
        <v>773</v>
      </c>
      <c r="B769" s="11">
        <v>0</v>
      </c>
      <c r="C769" s="11">
        <v>0</v>
      </c>
      <c r="D769" s="11">
        <v>0</v>
      </c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</row>
    <row r="770" spans="1:60" ht="15.75" x14ac:dyDescent="0.25">
      <c r="A770" s="12" t="s">
        <v>774</v>
      </c>
      <c r="B770" s="11">
        <v>0</v>
      </c>
      <c r="C770" s="11">
        <v>0.1</v>
      </c>
      <c r="D770" s="11">
        <v>0.1</v>
      </c>
      <c r="E770" s="11">
        <v>0.1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0.1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</row>
    <row r="771" spans="1:60" ht="15.75" x14ac:dyDescent="0.25">
      <c r="A771" s="12" t="s">
        <v>775</v>
      </c>
      <c r="B771" s="11">
        <v>0</v>
      </c>
      <c r="C771" s="11">
        <v>0</v>
      </c>
      <c r="D771" s="11">
        <v>0</v>
      </c>
      <c r="E771" s="11">
        <v>0</v>
      </c>
      <c r="F771" s="11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</row>
    <row r="772" spans="1:60" ht="15.75" x14ac:dyDescent="0.25">
      <c r="A772" s="12" t="s">
        <v>776</v>
      </c>
      <c r="B772" s="11">
        <v>0</v>
      </c>
      <c r="C772" s="11">
        <v>0</v>
      </c>
      <c r="D772" s="11">
        <v>0</v>
      </c>
      <c r="E772" s="11">
        <v>0</v>
      </c>
      <c r="F772" s="11">
        <v>0</v>
      </c>
      <c r="G772" s="11">
        <v>0</v>
      </c>
      <c r="H772" s="11">
        <v>0</v>
      </c>
      <c r="I772" s="11">
        <v>0</v>
      </c>
      <c r="J772" s="11">
        <v>0</v>
      </c>
      <c r="K772" s="11">
        <v>0.1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</row>
    <row r="773" spans="1:60" ht="15.75" x14ac:dyDescent="0.25">
      <c r="A773" s="12" t="s">
        <v>777</v>
      </c>
      <c r="B773" s="11">
        <v>0</v>
      </c>
      <c r="C773" s="11">
        <v>0</v>
      </c>
      <c r="D773" s="11">
        <v>0</v>
      </c>
      <c r="E773" s="11">
        <v>0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</row>
    <row r="774" spans="1:60" ht="15.75" x14ac:dyDescent="0.25">
      <c r="A774" s="12" t="s">
        <v>778</v>
      </c>
      <c r="B774" s="11">
        <v>0</v>
      </c>
      <c r="C774" s="11">
        <v>0</v>
      </c>
      <c r="D774" s="11">
        <v>0</v>
      </c>
      <c r="E774" s="11">
        <v>0</v>
      </c>
      <c r="F774" s="11">
        <v>0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</row>
    <row r="775" spans="1:60" ht="15.75" x14ac:dyDescent="0.25">
      <c r="A775" s="12" t="s">
        <v>779</v>
      </c>
      <c r="B775" s="11">
        <v>0</v>
      </c>
      <c r="C775" s="11">
        <v>0</v>
      </c>
      <c r="D775" s="11">
        <v>0</v>
      </c>
      <c r="E775" s="11">
        <v>0</v>
      </c>
      <c r="F775" s="11">
        <v>0</v>
      </c>
      <c r="G775" s="11">
        <v>0</v>
      </c>
      <c r="H775" s="11">
        <v>0</v>
      </c>
      <c r="I775" s="11">
        <v>0</v>
      </c>
      <c r="J775" s="11">
        <v>0</v>
      </c>
      <c r="K775" s="11">
        <v>0.1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</row>
    <row r="776" spans="1:60" ht="15.75" x14ac:dyDescent="0.25">
      <c r="A776" s="12" t="s">
        <v>780</v>
      </c>
      <c r="B776" s="11">
        <v>0</v>
      </c>
      <c r="C776" s="11">
        <v>0</v>
      </c>
      <c r="D776" s="11">
        <v>0</v>
      </c>
      <c r="E776" s="11">
        <v>0</v>
      </c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</row>
    <row r="777" spans="1:60" ht="15.75" x14ac:dyDescent="0.25">
      <c r="A777" s="12" t="s">
        <v>781</v>
      </c>
      <c r="B777" s="11">
        <v>0</v>
      </c>
      <c r="C777" s="11">
        <v>0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</row>
    <row r="778" spans="1:60" ht="15.75" x14ac:dyDescent="0.25">
      <c r="A778" s="12" t="s">
        <v>782</v>
      </c>
      <c r="B778" s="11">
        <v>0</v>
      </c>
      <c r="C778" s="11">
        <v>0.1</v>
      </c>
      <c r="D778" s="11">
        <v>0</v>
      </c>
      <c r="E778" s="11">
        <v>0</v>
      </c>
      <c r="F778" s="11">
        <v>0.1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</row>
    <row r="779" spans="1:60" ht="15.75" x14ac:dyDescent="0.25">
      <c r="A779" s="12" t="s">
        <v>783</v>
      </c>
      <c r="B779" s="11">
        <v>0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1">
        <v>-0.1</v>
      </c>
      <c r="J779" s="11">
        <v>0</v>
      </c>
      <c r="K779" s="11">
        <v>0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</row>
    <row r="780" spans="1:60" ht="15.75" x14ac:dyDescent="0.25">
      <c r="A780" s="12" t="s">
        <v>784</v>
      </c>
      <c r="B780" s="11">
        <v>0</v>
      </c>
      <c r="C780" s="11">
        <v>0</v>
      </c>
      <c r="D780" s="11">
        <v>0.1</v>
      </c>
      <c r="E780" s="11">
        <v>0</v>
      </c>
      <c r="F780" s="11">
        <v>0</v>
      </c>
      <c r="G780" s="11">
        <v>0.1</v>
      </c>
      <c r="H780" s="11">
        <v>0</v>
      </c>
      <c r="I780" s="11">
        <v>0</v>
      </c>
      <c r="J780" s="11">
        <v>0</v>
      </c>
      <c r="K780" s="11">
        <v>0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</row>
    <row r="781" spans="1:60" ht="15.75" x14ac:dyDescent="0.25">
      <c r="A781" s="12" t="s">
        <v>785</v>
      </c>
      <c r="B781" s="11">
        <v>0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11">
        <v>0.1</v>
      </c>
      <c r="K781" s="11">
        <v>0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</row>
    <row r="782" spans="1:60" ht="15.75" x14ac:dyDescent="0.25">
      <c r="A782" s="12" t="s">
        <v>786</v>
      </c>
      <c r="B782" s="11">
        <v>0.1</v>
      </c>
      <c r="C782" s="11">
        <v>0</v>
      </c>
      <c r="D782" s="11">
        <v>0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0.1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</row>
    <row r="783" spans="1:60" ht="15.75" x14ac:dyDescent="0.25">
      <c r="A783" s="12" t="s">
        <v>787</v>
      </c>
      <c r="B783" s="11">
        <v>0</v>
      </c>
      <c r="C783" s="11">
        <v>0</v>
      </c>
      <c r="D783" s="11">
        <v>0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</row>
    <row r="784" spans="1:60" ht="15.75" x14ac:dyDescent="0.25">
      <c r="A784" s="12" t="s">
        <v>788</v>
      </c>
      <c r="B784" s="11">
        <v>0</v>
      </c>
      <c r="C784" s="11">
        <v>0</v>
      </c>
      <c r="D784" s="11">
        <v>0.1</v>
      </c>
      <c r="E784" s="11">
        <v>0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</row>
    <row r="785" spans="1:60" ht="15.75" x14ac:dyDescent="0.25">
      <c r="A785" s="12" t="s">
        <v>789</v>
      </c>
      <c r="B785" s="11">
        <v>0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</row>
    <row r="786" spans="1:60" ht="15.75" x14ac:dyDescent="0.25">
      <c r="A786" s="12" t="s">
        <v>790</v>
      </c>
      <c r="B786" s="11">
        <v>0</v>
      </c>
      <c r="C786" s="11">
        <v>0</v>
      </c>
      <c r="D786" s="11">
        <v>0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0.1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</row>
    <row r="787" spans="1:60" ht="15.75" x14ac:dyDescent="0.25">
      <c r="A787" s="12" t="s">
        <v>791</v>
      </c>
      <c r="B787" s="11">
        <v>0</v>
      </c>
      <c r="C787" s="11">
        <v>0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</row>
    <row r="788" spans="1:60" ht="15.75" x14ac:dyDescent="0.25">
      <c r="A788" s="12" t="s">
        <v>792</v>
      </c>
      <c r="B788" s="11">
        <v>0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</row>
    <row r="789" spans="1:60" ht="15.75" x14ac:dyDescent="0.25">
      <c r="A789" s="12" t="s">
        <v>793</v>
      </c>
      <c r="B789" s="11">
        <v>0</v>
      </c>
      <c r="C789" s="11">
        <v>0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</row>
    <row r="790" spans="1:60" ht="15.75" x14ac:dyDescent="0.25">
      <c r="A790" s="12" t="s">
        <v>794</v>
      </c>
      <c r="B790" s="11">
        <v>0</v>
      </c>
      <c r="C790" s="11">
        <v>0</v>
      </c>
      <c r="D790" s="11">
        <v>0</v>
      </c>
      <c r="E790" s="11">
        <v>0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0.1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</row>
    <row r="791" spans="1:60" ht="15.75" x14ac:dyDescent="0.25">
      <c r="A791" s="12" t="s">
        <v>795</v>
      </c>
      <c r="B791" s="11">
        <v>0</v>
      </c>
      <c r="C791" s="11">
        <v>0</v>
      </c>
      <c r="D791" s="11">
        <v>0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0.1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</row>
    <row r="792" spans="1:60" ht="15.75" x14ac:dyDescent="0.25">
      <c r="A792" s="12" t="s">
        <v>796</v>
      </c>
      <c r="B792" s="11">
        <v>0</v>
      </c>
      <c r="C792" s="11">
        <v>0</v>
      </c>
      <c r="D792" s="11">
        <v>0</v>
      </c>
      <c r="E792" s="11">
        <v>0</v>
      </c>
      <c r="F792" s="11">
        <v>0</v>
      </c>
      <c r="G792" s="11">
        <v>0</v>
      </c>
      <c r="H792" s="11">
        <v>0</v>
      </c>
      <c r="I792" s="11">
        <v>-0.1</v>
      </c>
      <c r="J792" s="11">
        <v>0</v>
      </c>
      <c r="K792" s="11">
        <v>0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</row>
    <row r="793" spans="1:60" ht="15.75" x14ac:dyDescent="0.25">
      <c r="A793" s="12" t="s">
        <v>797</v>
      </c>
      <c r="B793" s="11">
        <v>0</v>
      </c>
      <c r="C793" s="11">
        <v>0</v>
      </c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</row>
    <row r="794" spans="1:60" ht="15.75" x14ac:dyDescent="0.25">
      <c r="A794" s="12" t="s">
        <v>798</v>
      </c>
      <c r="B794" s="11">
        <v>0</v>
      </c>
      <c r="C794" s="11">
        <v>0</v>
      </c>
      <c r="D794" s="11">
        <v>0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</row>
    <row r="795" spans="1:60" ht="15.75" x14ac:dyDescent="0.25">
      <c r="A795" s="12" t="s">
        <v>799</v>
      </c>
      <c r="B795" s="11">
        <v>0</v>
      </c>
      <c r="C795" s="11">
        <v>0</v>
      </c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</row>
    <row r="796" spans="1:60" ht="15.75" x14ac:dyDescent="0.25">
      <c r="A796" s="12" t="s">
        <v>800</v>
      </c>
      <c r="B796" s="11">
        <v>0.1</v>
      </c>
      <c r="C796" s="11">
        <v>0</v>
      </c>
      <c r="D796" s="11">
        <v>0</v>
      </c>
      <c r="E796" s="11">
        <v>0</v>
      </c>
      <c r="F796" s="11">
        <v>0</v>
      </c>
      <c r="G796" s="11">
        <v>0</v>
      </c>
      <c r="H796" s="11">
        <v>0</v>
      </c>
      <c r="I796" s="11">
        <v>0</v>
      </c>
      <c r="J796" s="11">
        <v>0</v>
      </c>
      <c r="K796" s="11">
        <v>0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</row>
    <row r="797" spans="1:60" ht="15.75" x14ac:dyDescent="0.25">
      <c r="A797" s="12" t="s">
        <v>801</v>
      </c>
      <c r="B797" s="11">
        <v>0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</row>
    <row r="798" spans="1:60" ht="15.75" x14ac:dyDescent="0.25">
      <c r="A798" s="12" t="s">
        <v>802</v>
      </c>
      <c r="B798" s="11">
        <v>0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</row>
    <row r="799" spans="1:60" ht="15.75" x14ac:dyDescent="0.25">
      <c r="A799" s="12" t="s">
        <v>803</v>
      </c>
      <c r="B799" s="11">
        <v>0</v>
      </c>
      <c r="C799" s="11">
        <v>0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</row>
    <row r="800" spans="1:60" ht="15.75" x14ac:dyDescent="0.25">
      <c r="A800" s="12" t="s">
        <v>804</v>
      </c>
      <c r="B800" s="11">
        <v>0</v>
      </c>
      <c r="C800" s="11">
        <v>0</v>
      </c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</row>
    <row r="801" spans="1:60" ht="15.75" x14ac:dyDescent="0.25">
      <c r="A801" s="12" t="s">
        <v>805</v>
      </c>
      <c r="B801" s="11">
        <v>0</v>
      </c>
      <c r="C801" s="11">
        <v>0</v>
      </c>
      <c r="D801" s="11">
        <v>0</v>
      </c>
      <c r="E801" s="11">
        <v>0</v>
      </c>
      <c r="F801" s="11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</row>
    <row r="802" spans="1:60" ht="15.75" x14ac:dyDescent="0.25">
      <c r="A802" s="12" t="s">
        <v>806</v>
      </c>
      <c r="B802" s="11">
        <v>0.1</v>
      </c>
      <c r="C802" s="11">
        <v>0</v>
      </c>
      <c r="D802" s="11">
        <v>0</v>
      </c>
      <c r="E802" s="11">
        <v>0</v>
      </c>
      <c r="F802" s="11">
        <v>0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</row>
    <row r="803" spans="1:60" ht="15.75" x14ac:dyDescent="0.25">
      <c r="A803" s="12" t="s">
        <v>807</v>
      </c>
      <c r="B803" s="11">
        <v>0</v>
      </c>
      <c r="C803" s="11">
        <v>0</v>
      </c>
      <c r="D803" s="11">
        <v>0.1</v>
      </c>
      <c r="E803" s="11">
        <v>0</v>
      </c>
      <c r="F803" s="11">
        <v>0</v>
      </c>
      <c r="G803" s="11">
        <v>0</v>
      </c>
      <c r="H803" s="11">
        <v>0</v>
      </c>
      <c r="I803" s="11">
        <v>-0.1</v>
      </c>
      <c r="J803" s="11">
        <v>0</v>
      </c>
      <c r="K803" s="11">
        <v>0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</row>
    <row r="804" spans="1:60" ht="15.75" x14ac:dyDescent="0.25">
      <c r="A804" s="12" t="s">
        <v>808</v>
      </c>
      <c r="B804" s="11">
        <v>0</v>
      </c>
      <c r="C804" s="11">
        <v>0</v>
      </c>
      <c r="D804" s="11">
        <v>0</v>
      </c>
      <c r="E804" s="11">
        <v>0</v>
      </c>
      <c r="F804" s="11">
        <v>0</v>
      </c>
      <c r="G804" s="11">
        <v>0.1</v>
      </c>
      <c r="H804" s="11">
        <v>0</v>
      </c>
      <c r="I804" s="11">
        <v>0</v>
      </c>
      <c r="J804" s="11">
        <v>0</v>
      </c>
      <c r="K804" s="11">
        <v>0.1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</row>
    <row r="805" spans="1:60" ht="15.75" x14ac:dyDescent="0.25">
      <c r="A805" s="12" t="s">
        <v>809</v>
      </c>
      <c r="B805" s="11">
        <v>0</v>
      </c>
      <c r="C805" s="11">
        <v>0</v>
      </c>
      <c r="D805" s="11">
        <v>0</v>
      </c>
      <c r="E805" s="11">
        <v>0</v>
      </c>
      <c r="F805" s="11">
        <v>0.1</v>
      </c>
      <c r="G805" s="11">
        <v>0</v>
      </c>
      <c r="H805" s="11">
        <v>0</v>
      </c>
      <c r="I805" s="11">
        <v>0</v>
      </c>
      <c r="J805" s="11">
        <v>0</v>
      </c>
      <c r="K805" s="11">
        <v>0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</row>
    <row r="806" spans="1:60" ht="15.75" x14ac:dyDescent="0.25">
      <c r="A806" s="12" t="s">
        <v>810</v>
      </c>
      <c r="B806" s="11">
        <v>0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0.1</v>
      </c>
      <c r="J806" s="11">
        <v>0</v>
      </c>
      <c r="K806" s="1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</row>
    <row r="807" spans="1:60" ht="15.75" x14ac:dyDescent="0.25">
      <c r="A807" s="12" t="s">
        <v>811</v>
      </c>
      <c r="B807" s="11">
        <v>0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-0.1</v>
      </c>
      <c r="J807" s="11">
        <v>0</v>
      </c>
      <c r="K807" s="1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</row>
    <row r="808" spans="1:60" ht="15.75" x14ac:dyDescent="0.25">
      <c r="A808" s="12" t="s">
        <v>812</v>
      </c>
      <c r="B808" s="11">
        <v>0.1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</row>
    <row r="809" spans="1:60" ht="15.75" x14ac:dyDescent="0.25">
      <c r="A809" s="12" t="s">
        <v>813</v>
      </c>
      <c r="B809" s="11">
        <v>0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</row>
    <row r="810" spans="1:60" ht="15.75" x14ac:dyDescent="0.25">
      <c r="A810" s="12" t="s">
        <v>814</v>
      </c>
      <c r="B810" s="11">
        <v>0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</row>
    <row r="811" spans="1:60" ht="15.75" x14ac:dyDescent="0.25">
      <c r="A811" s="12" t="s">
        <v>815</v>
      </c>
      <c r="B811" s="11">
        <v>0</v>
      </c>
      <c r="C811" s="11">
        <v>0</v>
      </c>
      <c r="D811" s="11">
        <v>0</v>
      </c>
      <c r="E811" s="11">
        <v>0</v>
      </c>
      <c r="F811" s="11">
        <v>0.1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</row>
    <row r="812" spans="1:60" ht="15.75" x14ac:dyDescent="0.25">
      <c r="A812" s="12" t="s">
        <v>816</v>
      </c>
      <c r="B812" s="11">
        <v>0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0.1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</row>
    <row r="813" spans="1:60" ht="15.75" x14ac:dyDescent="0.25">
      <c r="A813" s="12" t="s">
        <v>817</v>
      </c>
      <c r="B813" s="11">
        <v>0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</row>
    <row r="814" spans="1:60" ht="15.75" x14ac:dyDescent="0.25">
      <c r="A814" s="12" t="s">
        <v>818</v>
      </c>
      <c r="B814" s="11">
        <v>0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</row>
    <row r="815" spans="1:60" ht="15.75" x14ac:dyDescent="0.25">
      <c r="A815" s="12" t="s">
        <v>819</v>
      </c>
      <c r="B815" s="11">
        <v>0</v>
      </c>
      <c r="C815" s="11">
        <v>0</v>
      </c>
      <c r="D815" s="11">
        <v>0</v>
      </c>
      <c r="E815" s="11">
        <v>0</v>
      </c>
      <c r="F815" s="11">
        <v>0</v>
      </c>
      <c r="G815" s="11">
        <v>0</v>
      </c>
      <c r="H815" s="11">
        <v>0</v>
      </c>
      <c r="I815" s="11">
        <v>0</v>
      </c>
      <c r="J815" s="11">
        <v>0</v>
      </c>
      <c r="K815" s="11">
        <v>0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</row>
    <row r="816" spans="1:60" ht="15.75" x14ac:dyDescent="0.25">
      <c r="A816" s="12" t="s">
        <v>820</v>
      </c>
      <c r="B816" s="11">
        <v>0</v>
      </c>
      <c r="C816" s="11">
        <v>0</v>
      </c>
      <c r="D816" s="11">
        <v>0</v>
      </c>
      <c r="E816" s="11">
        <v>0</v>
      </c>
      <c r="F816" s="11">
        <v>0.1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</row>
    <row r="817" spans="1:60" ht="15.75" x14ac:dyDescent="0.25">
      <c r="A817" s="12" t="s">
        <v>821</v>
      </c>
      <c r="B817" s="11">
        <v>0</v>
      </c>
      <c r="C817" s="11">
        <v>0</v>
      </c>
      <c r="D817" s="11">
        <v>0</v>
      </c>
      <c r="E817" s="11">
        <v>0</v>
      </c>
      <c r="F817" s="11">
        <v>0</v>
      </c>
      <c r="G817" s="11">
        <v>0</v>
      </c>
      <c r="H817" s="11">
        <v>0.1</v>
      </c>
      <c r="I817" s="11">
        <v>0</v>
      </c>
      <c r="J817" s="11">
        <v>0</v>
      </c>
      <c r="K817" s="11">
        <v>0</v>
      </c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</row>
    <row r="818" spans="1:60" ht="15.75" x14ac:dyDescent="0.25">
      <c r="A818" s="12" t="s">
        <v>822</v>
      </c>
      <c r="B818" s="11">
        <v>0</v>
      </c>
      <c r="C818" s="11">
        <v>0</v>
      </c>
      <c r="D818" s="11">
        <v>0.1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</row>
    <row r="819" spans="1:60" ht="15.75" x14ac:dyDescent="0.25">
      <c r="A819" s="12" t="s">
        <v>823</v>
      </c>
      <c r="B819" s="11">
        <v>0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</row>
    <row r="820" spans="1:60" ht="15.75" x14ac:dyDescent="0.25">
      <c r="A820" s="12" t="s">
        <v>824</v>
      </c>
      <c r="B820" s="11">
        <v>0</v>
      </c>
      <c r="C820" s="11">
        <v>0</v>
      </c>
      <c r="D820" s="11">
        <v>0</v>
      </c>
      <c r="E820" s="11">
        <v>0</v>
      </c>
      <c r="F820" s="11">
        <v>0</v>
      </c>
      <c r="G820" s="11">
        <v>0</v>
      </c>
      <c r="H820" s="11">
        <v>0.1</v>
      </c>
      <c r="I820" s="11">
        <v>0</v>
      </c>
      <c r="J820" s="11">
        <v>0</v>
      </c>
      <c r="K820" s="11">
        <v>0.1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</row>
    <row r="821" spans="1:60" ht="15.75" x14ac:dyDescent="0.25">
      <c r="A821" s="12" t="s">
        <v>825</v>
      </c>
      <c r="B821" s="11">
        <v>0.1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</row>
    <row r="822" spans="1:60" ht="15.75" x14ac:dyDescent="0.25">
      <c r="A822" s="12" t="s">
        <v>826</v>
      </c>
      <c r="B822" s="11">
        <v>0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</row>
    <row r="823" spans="1:60" ht="15.75" x14ac:dyDescent="0.25">
      <c r="A823" s="12" t="s">
        <v>827</v>
      </c>
      <c r="B823" s="11">
        <v>0</v>
      </c>
      <c r="C823" s="11">
        <v>0</v>
      </c>
      <c r="D823" s="11">
        <v>0.1</v>
      </c>
      <c r="E823" s="11">
        <v>0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</row>
    <row r="824" spans="1:60" ht="15.75" x14ac:dyDescent="0.25">
      <c r="A824" s="12" t="s">
        <v>828</v>
      </c>
      <c r="B824" s="11">
        <v>0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</row>
    <row r="825" spans="1:60" ht="15.75" x14ac:dyDescent="0.25">
      <c r="A825" s="12" t="s">
        <v>829</v>
      </c>
      <c r="B825" s="11">
        <v>0</v>
      </c>
      <c r="C825" s="11">
        <v>0</v>
      </c>
      <c r="D825" s="11">
        <v>0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</row>
    <row r="826" spans="1:60" ht="15.75" x14ac:dyDescent="0.25">
      <c r="A826" s="12" t="s">
        <v>830</v>
      </c>
      <c r="B826" s="11">
        <v>0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0.1</v>
      </c>
      <c r="K826" s="11">
        <v>0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</row>
    <row r="827" spans="1:60" ht="15.75" x14ac:dyDescent="0.25">
      <c r="A827" s="12" t="s">
        <v>831</v>
      </c>
      <c r="B827" s="11">
        <v>0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0.1</v>
      </c>
      <c r="K827" s="11">
        <v>0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</row>
    <row r="828" spans="1:60" ht="15.75" x14ac:dyDescent="0.25">
      <c r="A828" s="12" t="s">
        <v>832</v>
      </c>
      <c r="B828" s="11">
        <v>0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</row>
    <row r="829" spans="1:60" ht="15.75" x14ac:dyDescent="0.25">
      <c r="A829" s="12" t="s">
        <v>833</v>
      </c>
      <c r="B829" s="11">
        <v>0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</row>
    <row r="830" spans="1:60" ht="15.75" x14ac:dyDescent="0.25">
      <c r="A830" s="12" t="s">
        <v>834</v>
      </c>
      <c r="B830" s="11">
        <v>0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0.1</v>
      </c>
      <c r="I830" s="11">
        <v>0</v>
      </c>
      <c r="J830" s="11">
        <v>0</v>
      </c>
      <c r="K830" s="11">
        <v>0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</row>
    <row r="831" spans="1:60" ht="15.75" x14ac:dyDescent="0.25">
      <c r="A831" s="12" t="s">
        <v>835</v>
      </c>
      <c r="B831" s="11">
        <v>0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</row>
    <row r="832" spans="1:60" ht="15.75" x14ac:dyDescent="0.25">
      <c r="A832" s="12" t="s">
        <v>836</v>
      </c>
      <c r="B832" s="11">
        <v>0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</row>
    <row r="833" spans="1:60" ht="15.75" x14ac:dyDescent="0.25">
      <c r="A833" s="12" t="s">
        <v>837</v>
      </c>
      <c r="B833" s="11">
        <v>0</v>
      </c>
      <c r="C833" s="11">
        <v>0</v>
      </c>
      <c r="D833" s="11">
        <v>0</v>
      </c>
      <c r="E833" s="11">
        <v>0</v>
      </c>
      <c r="F833" s="11">
        <v>0</v>
      </c>
      <c r="G833" s="11">
        <v>0</v>
      </c>
      <c r="H833" s="11">
        <v>0</v>
      </c>
      <c r="I833" s="11">
        <v>0</v>
      </c>
      <c r="J833" s="11">
        <v>0</v>
      </c>
      <c r="K833" s="11">
        <v>0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</row>
    <row r="834" spans="1:60" ht="15.75" x14ac:dyDescent="0.25">
      <c r="A834" s="12" t="s">
        <v>838</v>
      </c>
      <c r="B834" s="11">
        <v>0</v>
      </c>
      <c r="C834" s="11">
        <v>0.1</v>
      </c>
      <c r="D834" s="11">
        <v>0.1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</row>
    <row r="835" spans="1:60" ht="15.75" x14ac:dyDescent="0.25">
      <c r="A835" s="12" t="s">
        <v>839</v>
      </c>
      <c r="B835" s="11">
        <v>0</v>
      </c>
      <c r="C835" s="11">
        <v>0</v>
      </c>
      <c r="D835" s="11">
        <v>0</v>
      </c>
      <c r="E835" s="11">
        <v>0</v>
      </c>
      <c r="F835" s="11">
        <v>0.1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</row>
    <row r="836" spans="1:60" ht="15.75" x14ac:dyDescent="0.25">
      <c r="A836" s="12" t="s">
        <v>840</v>
      </c>
      <c r="B836" s="11">
        <v>0</v>
      </c>
      <c r="C836" s="11">
        <v>-0.1</v>
      </c>
      <c r="D836" s="11">
        <v>-0.1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</row>
    <row r="837" spans="1:60" ht="15.75" x14ac:dyDescent="0.25">
      <c r="A837" s="12" t="s">
        <v>841</v>
      </c>
      <c r="B837" s="11">
        <v>0</v>
      </c>
      <c r="C837" s="11">
        <v>0</v>
      </c>
      <c r="D837" s="11">
        <v>0</v>
      </c>
      <c r="E837" s="11">
        <v>0</v>
      </c>
      <c r="F837" s="11">
        <v>0</v>
      </c>
      <c r="G837" s="11">
        <v>0.1</v>
      </c>
      <c r="H837" s="11">
        <v>0</v>
      </c>
      <c r="I837" s="11">
        <v>0</v>
      </c>
      <c r="J837" s="11">
        <v>0.1</v>
      </c>
      <c r="K837" s="11">
        <v>0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</row>
    <row r="838" spans="1:60" ht="15.75" x14ac:dyDescent="0.25">
      <c r="A838" s="12" t="s">
        <v>842</v>
      </c>
      <c r="B838" s="11">
        <v>0</v>
      </c>
      <c r="C838" s="11">
        <v>0</v>
      </c>
      <c r="D838" s="11">
        <v>0</v>
      </c>
      <c r="E838" s="11">
        <v>0</v>
      </c>
      <c r="F838" s="11">
        <v>0</v>
      </c>
      <c r="G838" s="11">
        <v>0</v>
      </c>
      <c r="H838" s="11">
        <v>-0.1</v>
      </c>
      <c r="I838" s="11">
        <v>0</v>
      </c>
      <c r="J838" s="11">
        <v>0</v>
      </c>
      <c r="K838" s="1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</row>
    <row r="839" spans="1:60" ht="15.75" x14ac:dyDescent="0.25">
      <c r="A839" s="12" t="s">
        <v>843</v>
      </c>
      <c r="B839" s="11">
        <v>0</v>
      </c>
      <c r="C839" s="11">
        <v>0</v>
      </c>
      <c r="D839" s="11">
        <v>0</v>
      </c>
      <c r="E839" s="11">
        <v>0</v>
      </c>
      <c r="F839" s="11">
        <v>0</v>
      </c>
      <c r="G839" s="11">
        <v>0</v>
      </c>
      <c r="H839" s="11">
        <v>0</v>
      </c>
      <c r="I839" s="11">
        <v>-0.1</v>
      </c>
      <c r="J839" s="11">
        <v>0</v>
      </c>
      <c r="K839" s="1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</row>
    <row r="840" spans="1:60" ht="15.75" x14ac:dyDescent="0.25">
      <c r="A840" s="12" t="s">
        <v>844</v>
      </c>
      <c r="B840" s="11">
        <v>0</v>
      </c>
      <c r="C840" s="11">
        <v>0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</row>
    <row r="841" spans="1:60" ht="15.75" x14ac:dyDescent="0.25">
      <c r="A841" s="12" t="s">
        <v>845</v>
      </c>
      <c r="B841" s="11">
        <v>0</v>
      </c>
      <c r="C841" s="11">
        <v>-0.1</v>
      </c>
      <c r="D841" s="11">
        <v>0</v>
      </c>
      <c r="E841" s="11">
        <v>0</v>
      </c>
      <c r="F841" s="11">
        <v>0</v>
      </c>
      <c r="G841" s="11">
        <v>-0.1</v>
      </c>
      <c r="H841" s="11">
        <v>0</v>
      </c>
      <c r="I841" s="11">
        <v>0.1</v>
      </c>
      <c r="J841" s="11">
        <v>0</v>
      </c>
      <c r="K841" s="11">
        <v>0.1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</row>
    <row r="842" spans="1:60" ht="15.75" x14ac:dyDescent="0.25">
      <c r="A842" s="12" t="s">
        <v>846</v>
      </c>
      <c r="B842" s="11">
        <v>0</v>
      </c>
      <c r="C842" s="11">
        <v>0</v>
      </c>
      <c r="D842" s="11">
        <v>0</v>
      </c>
      <c r="E842" s="11">
        <v>0</v>
      </c>
      <c r="F842" s="11">
        <v>0</v>
      </c>
      <c r="G842" s="11">
        <v>0</v>
      </c>
      <c r="H842" s="11">
        <v>0.1</v>
      </c>
      <c r="I842" s="11">
        <v>0</v>
      </c>
      <c r="J842" s="11">
        <v>0</v>
      </c>
      <c r="K842" s="1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</row>
    <row r="843" spans="1:60" ht="15.75" x14ac:dyDescent="0.25">
      <c r="A843" s="12" t="s">
        <v>847</v>
      </c>
      <c r="B843" s="11">
        <v>0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</row>
    <row r="844" spans="1:60" ht="15.75" x14ac:dyDescent="0.25">
      <c r="A844" s="12" t="s">
        <v>848</v>
      </c>
      <c r="B844" s="11">
        <v>0</v>
      </c>
      <c r="C844" s="11">
        <v>0</v>
      </c>
      <c r="D844" s="11">
        <v>0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0.1</v>
      </c>
      <c r="K844" s="11">
        <v>0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</row>
    <row r="845" spans="1:60" ht="15.75" x14ac:dyDescent="0.25">
      <c r="A845" s="12" t="s">
        <v>849</v>
      </c>
      <c r="B845" s="11">
        <v>0</v>
      </c>
      <c r="C845" s="11">
        <v>0.1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</row>
    <row r="846" spans="1:60" ht="15.75" x14ac:dyDescent="0.25">
      <c r="A846" s="12" t="s">
        <v>850</v>
      </c>
      <c r="B846" s="11">
        <v>0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</row>
    <row r="847" spans="1:60" ht="15.75" x14ac:dyDescent="0.25">
      <c r="A847" s="12" t="s">
        <v>851</v>
      </c>
      <c r="B847" s="11">
        <v>0</v>
      </c>
      <c r="C847" s="11">
        <v>0.1</v>
      </c>
      <c r="D847" s="11">
        <v>0.1</v>
      </c>
      <c r="E847" s="11">
        <v>0</v>
      </c>
      <c r="F847" s="11">
        <v>0</v>
      </c>
      <c r="G847" s="11">
        <v>0.1</v>
      </c>
      <c r="H847" s="11">
        <v>0</v>
      </c>
      <c r="I847" s="11">
        <v>0</v>
      </c>
      <c r="J847" s="11">
        <v>0</v>
      </c>
      <c r="K847" s="11">
        <v>0.1</v>
      </c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</row>
    <row r="848" spans="1:60" ht="15.75" x14ac:dyDescent="0.25">
      <c r="A848" s="12" t="s">
        <v>852</v>
      </c>
      <c r="B848" s="11">
        <v>0</v>
      </c>
      <c r="C848" s="11">
        <v>0</v>
      </c>
      <c r="D848" s="11">
        <v>-0.2</v>
      </c>
      <c r="E848" s="11">
        <v>0.1</v>
      </c>
      <c r="F848" s="11">
        <v>0.1</v>
      </c>
      <c r="G848" s="11">
        <v>0.1</v>
      </c>
      <c r="H848" s="11">
        <v>0</v>
      </c>
      <c r="I848" s="11">
        <v>0</v>
      </c>
      <c r="J848" s="11">
        <v>0</v>
      </c>
      <c r="K848" s="11">
        <v>0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</row>
    <row r="849" spans="1:60" ht="15.75" x14ac:dyDescent="0.25">
      <c r="A849" s="12" t="s">
        <v>853</v>
      </c>
      <c r="B849" s="11">
        <v>0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</row>
    <row r="850" spans="1:60" ht="15.75" x14ac:dyDescent="0.25">
      <c r="A850" s="12" t="s">
        <v>854</v>
      </c>
      <c r="B850" s="11">
        <v>0</v>
      </c>
      <c r="C850" s="11">
        <v>0.1</v>
      </c>
      <c r="D850" s="11">
        <v>0.1</v>
      </c>
      <c r="E850" s="11">
        <v>-0.1</v>
      </c>
      <c r="F850" s="11">
        <v>0</v>
      </c>
      <c r="G850" s="11">
        <v>0</v>
      </c>
      <c r="H850" s="11">
        <v>-0.1</v>
      </c>
      <c r="I850" s="11">
        <v>-0.1</v>
      </c>
      <c r="J850" s="11">
        <v>0</v>
      </c>
      <c r="K850" s="11">
        <v>0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</row>
    <row r="851" spans="1:60" ht="15.75" x14ac:dyDescent="0.25">
      <c r="A851" s="12" t="s">
        <v>855</v>
      </c>
      <c r="B851" s="11">
        <v>0.1</v>
      </c>
      <c r="C851" s="11">
        <v>0.1</v>
      </c>
      <c r="D851" s="11">
        <v>0</v>
      </c>
      <c r="E851" s="11">
        <v>0</v>
      </c>
      <c r="F851" s="11">
        <v>0</v>
      </c>
      <c r="G851" s="11">
        <v>0</v>
      </c>
      <c r="H851" s="11">
        <v>0.1</v>
      </c>
      <c r="I851" s="11">
        <v>0</v>
      </c>
      <c r="J851" s="11">
        <v>0</v>
      </c>
      <c r="K851" s="11">
        <v>0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</row>
    <row r="852" spans="1:60" ht="15.75" x14ac:dyDescent="0.25">
      <c r="A852" s="12" t="s">
        <v>856</v>
      </c>
      <c r="B852" s="11">
        <v>0.1</v>
      </c>
      <c r="C852" s="11">
        <v>0</v>
      </c>
      <c r="D852" s="11">
        <v>0</v>
      </c>
      <c r="E852" s="11">
        <v>0</v>
      </c>
      <c r="F852" s="11">
        <v>0.1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</row>
    <row r="853" spans="1:60" ht="15.75" x14ac:dyDescent="0.25">
      <c r="A853" s="12" t="s">
        <v>857</v>
      </c>
      <c r="B853" s="11">
        <v>0</v>
      </c>
      <c r="C853" s="11">
        <v>0</v>
      </c>
      <c r="D853" s="11">
        <v>0</v>
      </c>
      <c r="E853" s="11">
        <v>0.1</v>
      </c>
      <c r="F853" s="11">
        <v>0</v>
      </c>
      <c r="G853" s="11">
        <v>0</v>
      </c>
      <c r="H853" s="11">
        <v>0.1</v>
      </c>
      <c r="I853" s="11">
        <v>0</v>
      </c>
      <c r="J853" s="11">
        <v>0</v>
      </c>
      <c r="K853" s="1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</row>
    <row r="854" spans="1:60" ht="15.75" x14ac:dyDescent="0.25">
      <c r="A854" s="12" t="s">
        <v>858</v>
      </c>
      <c r="B854" s="11">
        <v>0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0.1</v>
      </c>
      <c r="I854" s="11">
        <v>0</v>
      </c>
      <c r="J854" s="11">
        <v>0</v>
      </c>
      <c r="K854" s="11">
        <v>-0.1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</row>
    <row r="855" spans="1:60" ht="15.75" x14ac:dyDescent="0.25">
      <c r="A855" s="12" t="s">
        <v>859</v>
      </c>
      <c r="B855" s="11">
        <v>0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</row>
    <row r="856" spans="1:60" ht="15.75" x14ac:dyDescent="0.25">
      <c r="A856" s="12" t="s">
        <v>860</v>
      </c>
      <c r="B856" s="11">
        <v>0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</row>
    <row r="857" spans="1:60" ht="15.75" x14ac:dyDescent="0.25">
      <c r="A857" s="12" t="s">
        <v>861</v>
      </c>
      <c r="B857" s="11">
        <v>0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</row>
    <row r="858" spans="1:60" ht="15.75" x14ac:dyDescent="0.25">
      <c r="A858" s="12" t="s">
        <v>862</v>
      </c>
      <c r="B858" s="11">
        <v>0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-0.1</v>
      </c>
      <c r="I858" s="11">
        <v>0</v>
      </c>
      <c r="J858" s="11">
        <v>0</v>
      </c>
      <c r="K858" s="1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</row>
    <row r="859" spans="1:60" ht="15.75" x14ac:dyDescent="0.25">
      <c r="A859" s="12" t="s">
        <v>863</v>
      </c>
      <c r="B859" s="11">
        <v>0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-0.1</v>
      </c>
      <c r="I859" s="11">
        <v>0</v>
      </c>
      <c r="J859" s="11">
        <v>-0.1</v>
      </c>
      <c r="K859" s="11">
        <v>0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</row>
    <row r="860" spans="1:60" ht="15.75" x14ac:dyDescent="0.25">
      <c r="A860" s="12" t="s">
        <v>864</v>
      </c>
      <c r="B860" s="11">
        <v>-0.1</v>
      </c>
      <c r="C860" s="11">
        <v>-0.1</v>
      </c>
      <c r="D860" s="11">
        <v>-0.1</v>
      </c>
      <c r="E860" s="11">
        <v>0</v>
      </c>
      <c r="F860" s="11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</row>
    <row r="861" spans="1:60" ht="15.75" x14ac:dyDescent="0.25">
      <c r="A861" s="12" t="s">
        <v>865</v>
      </c>
      <c r="B861" s="11">
        <v>0</v>
      </c>
      <c r="C861" s="11">
        <v>0</v>
      </c>
      <c r="D861" s="11">
        <v>0.1</v>
      </c>
      <c r="E861" s="11">
        <v>0</v>
      </c>
      <c r="F861" s="11">
        <v>0</v>
      </c>
      <c r="G861" s="11">
        <v>0</v>
      </c>
      <c r="H861" s="11">
        <v>0</v>
      </c>
      <c r="I861" s="11">
        <v>-0.1</v>
      </c>
      <c r="J861" s="11">
        <v>0</v>
      </c>
      <c r="K861" s="11">
        <v>0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</row>
    <row r="862" spans="1:60" ht="15.75" x14ac:dyDescent="0.25">
      <c r="A862" s="12" t="s">
        <v>866</v>
      </c>
      <c r="B862" s="11">
        <v>0</v>
      </c>
      <c r="C862" s="11">
        <v>0</v>
      </c>
      <c r="D862" s="11">
        <v>0</v>
      </c>
      <c r="E862" s="11">
        <v>0</v>
      </c>
      <c r="F862" s="11">
        <v>0</v>
      </c>
      <c r="G862" s="11">
        <v>0</v>
      </c>
      <c r="H862" s="11">
        <v>-0.1</v>
      </c>
      <c r="I862" s="11">
        <v>-0.1</v>
      </c>
      <c r="J862" s="11">
        <v>0</v>
      </c>
      <c r="K862" s="1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</row>
    <row r="863" spans="1:60" ht="15.75" x14ac:dyDescent="0.25">
      <c r="A863" s="12" t="s">
        <v>867</v>
      </c>
      <c r="B863" s="11">
        <v>0.1</v>
      </c>
      <c r="C863" s="11">
        <v>0.1</v>
      </c>
      <c r="D863" s="11">
        <v>0.1</v>
      </c>
      <c r="E863" s="11">
        <v>0</v>
      </c>
      <c r="F863" s="11">
        <v>0</v>
      </c>
      <c r="G863" s="11">
        <v>0</v>
      </c>
      <c r="H863" s="11">
        <v>0.1</v>
      </c>
      <c r="I863" s="11">
        <v>-0.1</v>
      </c>
      <c r="J863" s="11">
        <v>0</v>
      </c>
      <c r="K863" s="11">
        <v>0.1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</row>
    <row r="864" spans="1:60" ht="15.75" x14ac:dyDescent="0.25">
      <c r="A864" s="12" t="s">
        <v>868</v>
      </c>
      <c r="B864" s="11">
        <v>0.1</v>
      </c>
      <c r="C864" s="11">
        <v>0</v>
      </c>
      <c r="D864" s="11">
        <v>0.1</v>
      </c>
      <c r="E864" s="11">
        <v>0</v>
      </c>
      <c r="F864" s="11">
        <v>0.1</v>
      </c>
      <c r="G864" s="11">
        <v>0</v>
      </c>
      <c r="H864" s="11">
        <v>0</v>
      </c>
      <c r="I864" s="11">
        <v>0</v>
      </c>
      <c r="J864" s="11">
        <v>0.1</v>
      </c>
      <c r="K864" s="11">
        <v>0.1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</row>
    <row r="865" spans="1:60" ht="15.75" x14ac:dyDescent="0.25">
      <c r="A865" s="12" t="s">
        <v>869</v>
      </c>
      <c r="B865" s="11">
        <v>0</v>
      </c>
      <c r="C865" s="11">
        <v>0</v>
      </c>
      <c r="D865" s="11">
        <v>0</v>
      </c>
      <c r="E865" s="11">
        <v>0</v>
      </c>
      <c r="F865" s="11">
        <v>0.1</v>
      </c>
      <c r="G865" s="11">
        <v>0</v>
      </c>
      <c r="H865" s="11">
        <v>0.1</v>
      </c>
      <c r="I865" s="11">
        <v>0.1</v>
      </c>
      <c r="J865" s="11">
        <v>0</v>
      </c>
      <c r="K865" s="11">
        <v>0.1</v>
      </c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</row>
    <row r="866" spans="1:60" ht="15.75" x14ac:dyDescent="0.25">
      <c r="A866" s="12" t="s">
        <v>870</v>
      </c>
      <c r="B866" s="11">
        <v>0.1</v>
      </c>
      <c r="C866" s="11">
        <v>0</v>
      </c>
      <c r="D866" s="11">
        <v>0.1</v>
      </c>
      <c r="E866" s="11">
        <v>0</v>
      </c>
      <c r="F866" s="11">
        <v>-0.1</v>
      </c>
      <c r="G866" s="11">
        <v>0</v>
      </c>
      <c r="H866" s="11">
        <v>0</v>
      </c>
      <c r="I866" s="11">
        <v>0.1</v>
      </c>
      <c r="J866" s="11">
        <v>0.1</v>
      </c>
      <c r="K866" s="11">
        <v>-0.1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</row>
    <row r="867" spans="1:60" ht="15.75" x14ac:dyDescent="0.25">
      <c r="A867" s="12" t="s">
        <v>871</v>
      </c>
      <c r="B867" s="11">
        <v>-0.1</v>
      </c>
      <c r="C867" s="11">
        <v>-0.1</v>
      </c>
      <c r="D867" s="11">
        <v>-0.1</v>
      </c>
      <c r="E867" s="11">
        <v>0</v>
      </c>
      <c r="F867" s="11">
        <v>0</v>
      </c>
      <c r="G867" s="11">
        <v>0</v>
      </c>
      <c r="H867" s="11">
        <v>0.1</v>
      </c>
      <c r="I867" s="11">
        <v>0</v>
      </c>
      <c r="J867" s="11">
        <v>0</v>
      </c>
      <c r="K867" s="11">
        <v>0</v>
      </c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</row>
    <row r="868" spans="1:60" ht="15.75" x14ac:dyDescent="0.25">
      <c r="A868" s="12" t="s">
        <v>872</v>
      </c>
      <c r="B868" s="11">
        <v>0</v>
      </c>
      <c r="C868" s="11">
        <v>0</v>
      </c>
      <c r="D868" s="11">
        <v>0</v>
      </c>
      <c r="E868" s="11">
        <v>0</v>
      </c>
      <c r="F868" s="11">
        <v>0</v>
      </c>
      <c r="G868" s="11">
        <v>-0.1</v>
      </c>
      <c r="H868" s="11">
        <v>0</v>
      </c>
      <c r="I868" s="11">
        <v>0</v>
      </c>
      <c r="J868" s="11">
        <v>0</v>
      </c>
      <c r="K868" s="11">
        <v>0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</row>
    <row r="869" spans="1:60" ht="15.75" x14ac:dyDescent="0.25">
      <c r="A869" s="12" t="s">
        <v>873</v>
      </c>
      <c r="B869" s="11">
        <v>0</v>
      </c>
      <c r="C869" s="11">
        <v>0</v>
      </c>
      <c r="D869" s="11">
        <v>0</v>
      </c>
      <c r="E869" s="11">
        <v>0</v>
      </c>
      <c r="F869" s="11">
        <v>-0.1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</row>
    <row r="870" spans="1:60" ht="15.75" x14ac:dyDescent="0.25">
      <c r="A870" s="12" t="s">
        <v>874</v>
      </c>
      <c r="B870" s="11">
        <v>0</v>
      </c>
      <c r="C870" s="11">
        <v>0</v>
      </c>
      <c r="D870" s="11">
        <v>0</v>
      </c>
      <c r="E870" s="11">
        <v>0</v>
      </c>
      <c r="F870" s="11">
        <v>0</v>
      </c>
      <c r="G870" s="11">
        <v>-0.1</v>
      </c>
      <c r="H870" s="11">
        <v>0</v>
      </c>
      <c r="I870" s="11">
        <v>-0.1</v>
      </c>
      <c r="J870" s="11">
        <v>-0.1</v>
      </c>
      <c r="K870" s="11">
        <v>0</v>
      </c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</row>
    <row r="871" spans="1:60" ht="15.75" x14ac:dyDescent="0.25">
      <c r="A871" s="12" t="s">
        <v>875</v>
      </c>
      <c r="B871" s="11">
        <v>0</v>
      </c>
      <c r="C871" s="11">
        <v>0</v>
      </c>
      <c r="D871" s="11">
        <v>0</v>
      </c>
      <c r="E871" s="11">
        <v>0</v>
      </c>
      <c r="F871" s="11">
        <v>0</v>
      </c>
      <c r="G871" s="11">
        <v>0.1</v>
      </c>
      <c r="H871" s="11">
        <v>-0.1</v>
      </c>
      <c r="I871" s="11">
        <v>0</v>
      </c>
      <c r="J871" s="11">
        <v>-0.1</v>
      </c>
      <c r="K871" s="11">
        <v>0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</row>
    <row r="872" spans="1:60" ht="15.75" x14ac:dyDescent="0.25">
      <c r="A872" s="12" t="s">
        <v>876</v>
      </c>
      <c r="B872" s="11">
        <v>-0.1</v>
      </c>
      <c r="C872" s="11">
        <v>-0.1</v>
      </c>
      <c r="D872" s="11">
        <v>-0.2</v>
      </c>
      <c r="E872" s="11">
        <v>0</v>
      </c>
      <c r="F872" s="11">
        <v>0</v>
      </c>
      <c r="G872" s="11">
        <v>0.1</v>
      </c>
      <c r="H872" s="11">
        <v>0</v>
      </c>
      <c r="I872" s="11">
        <v>0</v>
      </c>
      <c r="J872" s="11">
        <v>-0.1</v>
      </c>
      <c r="K872" s="11">
        <v>0.1</v>
      </c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</row>
    <row r="873" spans="1:60" ht="15.75" x14ac:dyDescent="0.25">
      <c r="A873" s="12" t="s">
        <v>877</v>
      </c>
      <c r="B873" s="11">
        <v>0</v>
      </c>
      <c r="C873" s="11">
        <v>0</v>
      </c>
      <c r="D873" s="11">
        <v>0</v>
      </c>
      <c r="E873" s="11">
        <v>0</v>
      </c>
      <c r="F873" s="11">
        <v>0</v>
      </c>
      <c r="G873" s="11">
        <v>0.1</v>
      </c>
      <c r="H873" s="11">
        <v>0</v>
      </c>
      <c r="I873" s="11">
        <v>0</v>
      </c>
      <c r="J873" s="11">
        <v>0</v>
      </c>
      <c r="K873" s="11">
        <v>0.1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</row>
    <row r="874" spans="1:60" ht="15.75" x14ac:dyDescent="0.25">
      <c r="A874" s="12" t="s">
        <v>878</v>
      </c>
      <c r="B874" s="11">
        <v>0</v>
      </c>
      <c r="C874" s="11">
        <v>0</v>
      </c>
      <c r="D874" s="11">
        <v>0.1</v>
      </c>
      <c r="E874" s="11">
        <v>0</v>
      </c>
      <c r="F874" s="11">
        <v>0</v>
      </c>
      <c r="G874" s="11">
        <v>0.1</v>
      </c>
      <c r="H874" s="11">
        <v>0</v>
      </c>
      <c r="I874" s="11">
        <v>-0.1</v>
      </c>
      <c r="J874" s="11">
        <v>0.1</v>
      </c>
      <c r="K874" s="11">
        <v>0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</row>
    <row r="875" spans="1:60" ht="15.75" x14ac:dyDescent="0.25">
      <c r="A875" s="12" t="s">
        <v>879</v>
      </c>
      <c r="B875" s="11">
        <v>0</v>
      </c>
      <c r="C875" s="11">
        <v>0</v>
      </c>
      <c r="D875" s="11">
        <v>0.2</v>
      </c>
      <c r="E875" s="11">
        <v>0</v>
      </c>
      <c r="F875" s="11">
        <v>0</v>
      </c>
      <c r="G875" s="11">
        <v>-0.1</v>
      </c>
      <c r="H875" s="11">
        <v>0.1</v>
      </c>
      <c r="I875" s="11">
        <v>-0.1</v>
      </c>
      <c r="J875" s="11">
        <v>0</v>
      </c>
      <c r="K875" s="11">
        <v>0.1</v>
      </c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</row>
    <row r="876" spans="1:60" ht="15.75" x14ac:dyDescent="0.25">
      <c r="A876" s="12" t="s">
        <v>880</v>
      </c>
      <c r="B876" s="11">
        <v>0.1</v>
      </c>
      <c r="C876" s="11">
        <v>0.1</v>
      </c>
      <c r="D876" s="11">
        <v>0.2</v>
      </c>
      <c r="E876" s="11">
        <v>0</v>
      </c>
      <c r="F876" s="11">
        <v>0.2</v>
      </c>
      <c r="G876" s="11">
        <v>0</v>
      </c>
      <c r="H876" s="11">
        <v>-0.1</v>
      </c>
      <c r="I876" s="11">
        <v>-0.1</v>
      </c>
      <c r="J876" s="11">
        <v>0.3</v>
      </c>
      <c r="K876" s="11">
        <v>0.1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</row>
    <row r="877" spans="1:60" ht="15.75" x14ac:dyDescent="0.25">
      <c r="A877" s="12" t="s">
        <v>881</v>
      </c>
      <c r="B877" s="11">
        <v>0</v>
      </c>
      <c r="C877" s="11">
        <v>0</v>
      </c>
      <c r="D877" s="11">
        <v>0</v>
      </c>
      <c r="E877" s="11">
        <v>0</v>
      </c>
      <c r="F877" s="11">
        <v>0.2</v>
      </c>
      <c r="G877" s="11">
        <v>-0.1</v>
      </c>
      <c r="H877" s="11">
        <v>0.2</v>
      </c>
      <c r="I877" s="11">
        <v>0</v>
      </c>
      <c r="J877" s="11">
        <v>0.1</v>
      </c>
      <c r="K877" s="11">
        <v>0.1</v>
      </c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</row>
    <row r="878" spans="1:60" ht="15.75" x14ac:dyDescent="0.25">
      <c r="A878" s="12" t="s">
        <v>882</v>
      </c>
      <c r="B878" s="11">
        <v>0</v>
      </c>
      <c r="C878" s="11">
        <v>0</v>
      </c>
      <c r="D878" s="11">
        <v>-0.1</v>
      </c>
      <c r="E878" s="11">
        <v>0</v>
      </c>
      <c r="F878" s="11">
        <v>-0.3</v>
      </c>
      <c r="G878" s="11">
        <v>-0.1</v>
      </c>
      <c r="H878" s="11">
        <v>0</v>
      </c>
      <c r="I878" s="11">
        <v>0.3</v>
      </c>
      <c r="J878" s="11">
        <v>0.1</v>
      </c>
      <c r="K878" s="11">
        <v>-0.1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</row>
    <row r="879" spans="1:60" ht="15.75" x14ac:dyDescent="0.25">
      <c r="A879" s="12" t="s">
        <v>883</v>
      </c>
      <c r="B879" s="11">
        <v>-0.1</v>
      </c>
      <c r="C879" s="11">
        <v>-0.1</v>
      </c>
      <c r="D879" s="11">
        <v>-0.2</v>
      </c>
      <c r="E879" s="11">
        <v>0</v>
      </c>
      <c r="F879" s="11">
        <v>0</v>
      </c>
      <c r="G879" s="11">
        <v>-0.1</v>
      </c>
      <c r="H879" s="11">
        <v>0</v>
      </c>
      <c r="I879" s="11">
        <v>-0.1</v>
      </c>
      <c r="J879" s="11">
        <v>0</v>
      </c>
      <c r="K879" s="1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</row>
    <row r="880" spans="1:60" ht="15.75" x14ac:dyDescent="0.25">
      <c r="A880" s="12" t="s">
        <v>884</v>
      </c>
      <c r="B880" s="11">
        <v>0</v>
      </c>
      <c r="C880" s="11">
        <v>0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-0.1</v>
      </c>
      <c r="K880" s="1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</row>
    <row r="881" spans="1:60" ht="15.75" x14ac:dyDescent="0.25">
      <c r="A881" s="12" t="s">
        <v>885</v>
      </c>
      <c r="B881" s="11">
        <v>0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0.1</v>
      </c>
      <c r="J881" s="11">
        <v>-0.1</v>
      </c>
      <c r="K881" s="11">
        <v>0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</row>
    <row r="882" spans="1:60" ht="15.75" x14ac:dyDescent="0.25">
      <c r="A882" s="12" t="s">
        <v>886</v>
      </c>
      <c r="B882" s="11">
        <v>0</v>
      </c>
      <c r="C882" s="11">
        <v>0</v>
      </c>
      <c r="D882" s="11">
        <v>0</v>
      </c>
      <c r="E882" s="11">
        <v>0</v>
      </c>
      <c r="F882" s="11">
        <v>0</v>
      </c>
      <c r="G882" s="11">
        <v>0</v>
      </c>
      <c r="H882" s="11">
        <v>-0.1</v>
      </c>
      <c r="I882" s="11">
        <v>0</v>
      </c>
      <c r="J882" s="11">
        <v>-0.1</v>
      </c>
      <c r="K882" s="11">
        <v>0</v>
      </c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</row>
    <row r="883" spans="1:60" ht="15.75" x14ac:dyDescent="0.25">
      <c r="A883" s="12" t="s">
        <v>887</v>
      </c>
      <c r="B883" s="11">
        <v>-0.1</v>
      </c>
      <c r="C883" s="11">
        <v>0</v>
      </c>
      <c r="D883" s="11">
        <v>0</v>
      </c>
      <c r="E883" s="11">
        <v>0</v>
      </c>
      <c r="F883" s="11">
        <v>0</v>
      </c>
      <c r="G883" s="11">
        <v>0.1</v>
      </c>
      <c r="H883" s="11">
        <v>-0.1</v>
      </c>
      <c r="I883" s="11">
        <v>0</v>
      </c>
      <c r="J883" s="11">
        <v>-0.1</v>
      </c>
      <c r="K883" s="1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</row>
    <row r="884" spans="1:60" ht="15.75" x14ac:dyDescent="0.25">
      <c r="A884" s="12" t="s">
        <v>888</v>
      </c>
      <c r="B884" s="11">
        <v>-0.1</v>
      </c>
      <c r="C884" s="11">
        <v>-0.1</v>
      </c>
      <c r="D884" s="11">
        <v>-0.3</v>
      </c>
      <c r="E884" s="11">
        <v>0</v>
      </c>
      <c r="F884" s="11">
        <v>0.1</v>
      </c>
      <c r="G884" s="11">
        <v>0.1</v>
      </c>
      <c r="H884" s="11">
        <v>0</v>
      </c>
      <c r="I884" s="11">
        <v>0</v>
      </c>
      <c r="J884" s="11">
        <v>0</v>
      </c>
      <c r="K884" s="11">
        <v>0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</row>
    <row r="885" spans="1:60" ht="15.75" x14ac:dyDescent="0.25">
      <c r="A885" s="12" t="s">
        <v>889</v>
      </c>
      <c r="B885" s="11">
        <v>0.1</v>
      </c>
      <c r="C885" s="11">
        <v>0.1</v>
      </c>
      <c r="D885" s="11">
        <v>0.2</v>
      </c>
      <c r="E885" s="11">
        <v>0</v>
      </c>
      <c r="F885" s="11">
        <v>0</v>
      </c>
      <c r="G885" s="11">
        <v>0.1</v>
      </c>
      <c r="H885" s="11">
        <v>-0.1</v>
      </c>
      <c r="I885" s="11">
        <v>-0.1</v>
      </c>
      <c r="J885" s="11">
        <v>0</v>
      </c>
      <c r="K885" s="11">
        <v>0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</row>
    <row r="886" spans="1:60" ht="15.75" x14ac:dyDescent="0.25">
      <c r="A886" s="12" t="s">
        <v>890</v>
      </c>
      <c r="B886" s="11">
        <v>0</v>
      </c>
      <c r="C886" s="11">
        <v>0</v>
      </c>
      <c r="D886" s="11">
        <v>0.1</v>
      </c>
      <c r="E886" s="11">
        <v>-0.1</v>
      </c>
      <c r="F886" s="11">
        <v>-0.1</v>
      </c>
      <c r="G886" s="11">
        <v>0</v>
      </c>
      <c r="H886" s="11">
        <v>0</v>
      </c>
      <c r="I886" s="11">
        <v>-0.1</v>
      </c>
      <c r="J886" s="11">
        <v>0</v>
      </c>
      <c r="K886" s="11">
        <v>0.1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</row>
    <row r="887" spans="1:60" ht="15.75" x14ac:dyDescent="0.25">
      <c r="A887" s="12" t="s">
        <v>891</v>
      </c>
      <c r="B887" s="11">
        <v>0.1</v>
      </c>
      <c r="C887" s="11">
        <v>0.1</v>
      </c>
      <c r="D887" s="11">
        <v>0.2</v>
      </c>
      <c r="E887" s="11">
        <v>-0.1</v>
      </c>
      <c r="F887" s="11">
        <v>0</v>
      </c>
      <c r="G887" s="11">
        <v>-0.1</v>
      </c>
      <c r="H887" s="11">
        <v>0.1</v>
      </c>
      <c r="I887" s="11">
        <v>-0.1</v>
      </c>
      <c r="J887" s="11">
        <v>0</v>
      </c>
      <c r="K887" s="11">
        <v>0.1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</row>
    <row r="888" spans="1:60" ht="15.75" x14ac:dyDescent="0.25">
      <c r="A888" s="12" t="s">
        <v>892</v>
      </c>
      <c r="B888" s="11">
        <v>0.2</v>
      </c>
      <c r="C888" s="11">
        <v>0.2</v>
      </c>
      <c r="D888" s="11">
        <v>0.3</v>
      </c>
      <c r="E888" s="11">
        <v>0</v>
      </c>
      <c r="F888" s="11">
        <v>0.2</v>
      </c>
      <c r="G888" s="11">
        <v>0.1</v>
      </c>
      <c r="H888" s="11">
        <v>-0.1</v>
      </c>
      <c r="I888" s="11">
        <v>-0.2</v>
      </c>
      <c r="J888" s="11">
        <v>0.7</v>
      </c>
      <c r="K888" s="11">
        <v>0.1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</row>
    <row r="889" spans="1:60" ht="15.75" x14ac:dyDescent="0.25">
      <c r="A889" s="12" t="s">
        <v>893</v>
      </c>
      <c r="B889" s="11">
        <v>0.1</v>
      </c>
      <c r="C889" s="11">
        <v>0.1</v>
      </c>
      <c r="D889" s="11">
        <v>0.1</v>
      </c>
      <c r="E889" s="11">
        <v>0</v>
      </c>
      <c r="F889" s="11">
        <v>0.3</v>
      </c>
      <c r="G889" s="11">
        <v>-0.1</v>
      </c>
      <c r="H889" s="11">
        <v>0.2</v>
      </c>
      <c r="I889" s="11">
        <v>-0.2</v>
      </c>
      <c r="J889" s="11">
        <v>0.3</v>
      </c>
      <c r="K889" s="11">
        <v>0.2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</row>
    <row r="890" spans="1:60" ht="15.75" x14ac:dyDescent="0.25">
      <c r="A890" s="12" t="s">
        <v>894</v>
      </c>
      <c r="B890" s="11">
        <v>-0.1</v>
      </c>
      <c r="C890" s="11">
        <v>-0.1</v>
      </c>
      <c r="D890" s="11">
        <v>-0.1</v>
      </c>
      <c r="E890" s="11">
        <v>0.1</v>
      </c>
      <c r="F890" s="11">
        <v>-0.5</v>
      </c>
      <c r="G890" s="11">
        <v>-0.1</v>
      </c>
      <c r="H890" s="11">
        <v>0</v>
      </c>
      <c r="I890" s="11">
        <v>0.5</v>
      </c>
      <c r="J890" s="11">
        <v>-0.2</v>
      </c>
      <c r="K890" s="11">
        <v>-0.3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</row>
    <row r="891" spans="1:60" ht="15.75" x14ac:dyDescent="0.25">
      <c r="A891" s="12" t="s">
        <v>895</v>
      </c>
      <c r="B891" s="11">
        <v>-0.1</v>
      </c>
      <c r="C891" s="11">
        <v>-0.2</v>
      </c>
      <c r="D891" s="11">
        <v>-0.2</v>
      </c>
      <c r="E891" s="11">
        <v>0</v>
      </c>
      <c r="F891" s="11">
        <v>-0.1</v>
      </c>
      <c r="G891" s="11">
        <v>0</v>
      </c>
      <c r="H891" s="11">
        <v>0</v>
      </c>
      <c r="I891" s="11">
        <v>0</v>
      </c>
      <c r="J891" s="11">
        <v>-0.2</v>
      </c>
      <c r="K891" s="11">
        <v>0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</row>
    <row r="892" spans="1:60" ht="15.75" x14ac:dyDescent="0.25">
      <c r="A892" s="12" t="s">
        <v>896</v>
      </c>
      <c r="B892" s="11">
        <v>0</v>
      </c>
      <c r="C892" s="11">
        <v>-0.1</v>
      </c>
      <c r="D892" s="11">
        <v>0</v>
      </c>
      <c r="E892" s="11">
        <v>0</v>
      </c>
      <c r="F892" s="11">
        <v>0</v>
      </c>
      <c r="G892" s="11">
        <v>-0.1</v>
      </c>
      <c r="H892" s="11">
        <v>0</v>
      </c>
      <c r="I892" s="11">
        <v>0.1</v>
      </c>
      <c r="J892" s="11">
        <v>-0.2</v>
      </c>
      <c r="K892" s="11">
        <v>-0.1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</row>
    <row r="893" spans="1:60" ht="15.75" x14ac:dyDescent="0.25">
      <c r="A893" s="12" t="s">
        <v>897</v>
      </c>
      <c r="B893" s="11">
        <v>0</v>
      </c>
      <c r="C893" s="11">
        <v>-0.1</v>
      </c>
      <c r="D893" s="11">
        <v>-0.1</v>
      </c>
      <c r="E893" s="11">
        <v>0</v>
      </c>
      <c r="F893" s="11">
        <v>0</v>
      </c>
      <c r="G893" s="11">
        <v>0</v>
      </c>
      <c r="H893" s="11">
        <v>0</v>
      </c>
      <c r="I893" s="11">
        <v>0.1</v>
      </c>
      <c r="J893" s="11">
        <v>-0.4</v>
      </c>
      <c r="K893" s="11">
        <v>0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</row>
    <row r="894" spans="1:60" ht="15.75" x14ac:dyDescent="0.25">
      <c r="A894" s="12" t="s">
        <v>898</v>
      </c>
      <c r="B894" s="11">
        <v>0</v>
      </c>
      <c r="C894" s="11">
        <v>-0.1</v>
      </c>
      <c r="D894" s="11">
        <v>0</v>
      </c>
      <c r="E894" s="11">
        <v>0</v>
      </c>
      <c r="F894" s="11">
        <v>0</v>
      </c>
      <c r="G894" s="11">
        <v>0</v>
      </c>
      <c r="H894" s="11">
        <v>-0.1</v>
      </c>
      <c r="I894" s="11">
        <v>0</v>
      </c>
      <c r="J894" s="11">
        <v>-0.1</v>
      </c>
      <c r="K894" s="11">
        <v>-0.1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</row>
    <row r="895" spans="1:60" ht="15.75" x14ac:dyDescent="0.25">
      <c r="A895" s="12" t="s">
        <v>899</v>
      </c>
      <c r="B895" s="11">
        <v>-0.1</v>
      </c>
      <c r="C895" s="11">
        <v>-0.1</v>
      </c>
      <c r="D895" s="11">
        <v>-0.1</v>
      </c>
      <c r="E895" s="11">
        <v>0.1</v>
      </c>
      <c r="F895" s="11">
        <v>-0.1</v>
      </c>
      <c r="G895" s="11">
        <v>0.2</v>
      </c>
      <c r="H895" s="11">
        <v>-0.1</v>
      </c>
      <c r="I895" s="11">
        <v>0.1</v>
      </c>
      <c r="J895" s="11">
        <v>-0.1</v>
      </c>
      <c r="K895" s="11">
        <v>0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</row>
    <row r="896" spans="1:60" ht="15.75" x14ac:dyDescent="0.25">
      <c r="A896" s="12" t="s">
        <v>900</v>
      </c>
      <c r="B896" s="11">
        <v>-0.1</v>
      </c>
      <c r="C896" s="11">
        <v>-0.1</v>
      </c>
      <c r="D896" s="11">
        <v>-0.3</v>
      </c>
      <c r="E896" s="11">
        <v>0</v>
      </c>
      <c r="F896" s="11">
        <v>0.1</v>
      </c>
      <c r="G896" s="11">
        <v>0.2</v>
      </c>
      <c r="H896" s="11">
        <v>0</v>
      </c>
      <c r="I896" s="11">
        <v>0</v>
      </c>
      <c r="J896" s="11">
        <v>0</v>
      </c>
      <c r="K896" s="11">
        <v>0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</row>
    <row r="897" spans="1:60" ht="15.75" x14ac:dyDescent="0.25">
      <c r="A897" s="12" t="s">
        <v>901</v>
      </c>
      <c r="B897" s="11">
        <v>0.1</v>
      </c>
      <c r="C897" s="11">
        <v>0.1</v>
      </c>
      <c r="D897" s="11">
        <v>0.2</v>
      </c>
      <c r="E897" s="11">
        <v>0</v>
      </c>
      <c r="F897" s="11">
        <v>0</v>
      </c>
      <c r="G897" s="11">
        <v>0.1</v>
      </c>
      <c r="H897" s="11">
        <v>-0.1</v>
      </c>
      <c r="I897" s="11">
        <v>-0.1</v>
      </c>
      <c r="J897" s="11">
        <v>0.1</v>
      </c>
      <c r="K897" s="11">
        <v>0</v>
      </c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</row>
    <row r="898" spans="1:60" ht="15.75" x14ac:dyDescent="0.25">
      <c r="A898" s="12" t="s">
        <v>902</v>
      </c>
      <c r="B898" s="11">
        <v>0</v>
      </c>
      <c r="C898" s="11">
        <v>0</v>
      </c>
      <c r="D898" s="11">
        <v>0.1</v>
      </c>
      <c r="E898" s="11">
        <v>0</v>
      </c>
      <c r="F898" s="11">
        <v>-0.2</v>
      </c>
      <c r="G898" s="11">
        <v>0.1</v>
      </c>
      <c r="H898" s="11">
        <v>-0.1</v>
      </c>
      <c r="I898" s="11">
        <v>-0.1</v>
      </c>
      <c r="J898" s="11">
        <v>0.2</v>
      </c>
      <c r="K898" s="11">
        <v>0.1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</row>
    <row r="899" spans="1:60" ht="15.75" x14ac:dyDescent="0.25">
      <c r="A899" s="12" t="s">
        <v>903</v>
      </c>
      <c r="B899" s="11">
        <v>0.1</v>
      </c>
      <c r="C899" s="11">
        <v>0.1</v>
      </c>
      <c r="D899" s="11">
        <v>0.2</v>
      </c>
      <c r="E899" s="11">
        <v>0</v>
      </c>
      <c r="F899" s="11">
        <v>-0.1</v>
      </c>
      <c r="G899" s="11">
        <v>0</v>
      </c>
      <c r="H899" s="11">
        <v>0.3</v>
      </c>
      <c r="I899" s="11">
        <v>-0.2</v>
      </c>
      <c r="J899" s="11">
        <v>0.2</v>
      </c>
      <c r="K899" s="11">
        <v>0.1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</row>
    <row r="900" spans="1:60" ht="15.75" x14ac:dyDescent="0.25">
      <c r="A900" s="12" t="s">
        <v>904</v>
      </c>
      <c r="B900" s="11">
        <v>0.3</v>
      </c>
      <c r="C900" s="11">
        <v>0.3</v>
      </c>
      <c r="D900" s="11">
        <v>0.4</v>
      </c>
      <c r="E900" s="11">
        <v>0</v>
      </c>
      <c r="F900" s="11">
        <v>0.2</v>
      </c>
      <c r="G900" s="11">
        <v>0</v>
      </c>
      <c r="H900" s="11">
        <v>-0.1</v>
      </c>
      <c r="I900" s="11">
        <v>-0.3</v>
      </c>
      <c r="J900" s="11">
        <v>1.2</v>
      </c>
      <c r="K900" s="11">
        <v>0.2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</row>
    <row r="901" spans="1:60" ht="15.75" x14ac:dyDescent="0.25">
      <c r="A901" s="12" t="s">
        <v>905</v>
      </c>
      <c r="B901" s="11">
        <v>0.2</v>
      </c>
      <c r="C901" s="11">
        <v>0.2</v>
      </c>
      <c r="D901" s="11">
        <v>0.1</v>
      </c>
      <c r="E901" s="11">
        <v>0</v>
      </c>
      <c r="F901" s="11">
        <v>0.6</v>
      </c>
      <c r="G901" s="11">
        <v>-0.2</v>
      </c>
      <c r="H901" s="11">
        <v>0.2</v>
      </c>
      <c r="I901" s="11">
        <v>-0.3</v>
      </c>
      <c r="J901" s="11">
        <v>0.4</v>
      </c>
      <c r="K901" s="11">
        <v>0.2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</row>
    <row r="902" spans="1:60" ht="15.75" x14ac:dyDescent="0.25">
      <c r="A902" s="12" t="s">
        <v>906</v>
      </c>
      <c r="B902" s="11">
        <v>-0.3</v>
      </c>
      <c r="C902" s="11">
        <v>-0.2</v>
      </c>
      <c r="D902" s="11">
        <v>-0.2</v>
      </c>
      <c r="E902" s="11">
        <v>0</v>
      </c>
      <c r="F902" s="11">
        <v>-0.6</v>
      </c>
      <c r="G902" s="11">
        <v>-0.2</v>
      </c>
      <c r="H902" s="11">
        <v>0</v>
      </c>
      <c r="I902" s="11">
        <v>0.6</v>
      </c>
      <c r="J902" s="11">
        <v>-1.3</v>
      </c>
      <c r="K902" s="11">
        <v>-0.3</v>
      </c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</row>
    <row r="903" spans="1:60" ht="15.75" x14ac:dyDescent="0.25">
      <c r="A903" s="12" t="s">
        <v>907</v>
      </c>
      <c r="B903" s="11">
        <v>-0.2</v>
      </c>
      <c r="C903" s="11">
        <v>-0.3</v>
      </c>
      <c r="D903" s="11">
        <v>-0.3</v>
      </c>
      <c r="E903" s="11">
        <v>-0.1</v>
      </c>
      <c r="F903" s="11">
        <v>-0.1</v>
      </c>
      <c r="G903" s="11">
        <v>-0.1</v>
      </c>
      <c r="H903" s="11">
        <v>0.1</v>
      </c>
      <c r="I903" s="11">
        <v>0</v>
      </c>
      <c r="J903" s="11">
        <v>-0.8</v>
      </c>
      <c r="K903" s="11">
        <v>0.2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</row>
    <row r="904" spans="1:60" ht="15.75" x14ac:dyDescent="0.25">
      <c r="A904" s="12" t="s">
        <v>908</v>
      </c>
      <c r="B904" s="11">
        <v>-0.1</v>
      </c>
      <c r="C904" s="11">
        <v>-0.1</v>
      </c>
      <c r="D904" s="11">
        <v>0</v>
      </c>
      <c r="E904" s="11">
        <v>0.1</v>
      </c>
      <c r="F904" s="11">
        <v>-0.1</v>
      </c>
      <c r="G904" s="11">
        <v>-0.1</v>
      </c>
      <c r="H904" s="11">
        <v>0.1</v>
      </c>
      <c r="I904" s="11">
        <v>0.1</v>
      </c>
      <c r="J904" s="11">
        <v>-0.7</v>
      </c>
      <c r="K904" s="11">
        <v>0.2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</row>
    <row r="905" spans="1:60" ht="15.75" x14ac:dyDescent="0.25">
      <c r="A905" s="12" t="s">
        <v>909</v>
      </c>
      <c r="B905" s="11">
        <v>0</v>
      </c>
      <c r="C905" s="11">
        <v>0</v>
      </c>
      <c r="D905" s="11">
        <v>-0.1</v>
      </c>
      <c r="E905" s="11">
        <v>0.1</v>
      </c>
      <c r="F905" s="11">
        <v>0</v>
      </c>
      <c r="G905" s="11">
        <v>0.2</v>
      </c>
      <c r="H905" s="11">
        <v>0</v>
      </c>
      <c r="I905" s="11">
        <v>0</v>
      </c>
      <c r="J905" s="11">
        <v>-0.1</v>
      </c>
      <c r="K905" s="11">
        <v>0.1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</row>
    <row r="906" spans="1:60" ht="15.75" x14ac:dyDescent="0.25">
      <c r="A906" s="12" t="s">
        <v>910</v>
      </c>
      <c r="B906" s="11">
        <v>-0.1</v>
      </c>
      <c r="C906" s="11">
        <v>0</v>
      </c>
      <c r="D906" s="11">
        <v>-0.1</v>
      </c>
      <c r="E906" s="11">
        <v>0.1</v>
      </c>
      <c r="F906" s="11">
        <v>0</v>
      </c>
      <c r="G906" s="11">
        <v>0.2</v>
      </c>
      <c r="H906" s="11">
        <v>-0.1</v>
      </c>
      <c r="I906" s="11">
        <v>0.1</v>
      </c>
      <c r="J906" s="11">
        <v>-0.5</v>
      </c>
      <c r="K906" s="11">
        <v>0.2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</row>
    <row r="907" spans="1:60" ht="15.75" x14ac:dyDescent="0.25">
      <c r="A907" s="12" t="s">
        <v>911</v>
      </c>
      <c r="B907" s="11">
        <v>-0.1</v>
      </c>
      <c r="C907" s="11">
        <v>-0.1</v>
      </c>
      <c r="D907" s="11">
        <v>-0.2</v>
      </c>
      <c r="E907" s="11">
        <v>0</v>
      </c>
      <c r="F907" s="11">
        <v>0</v>
      </c>
      <c r="G907" s="11">
        <v>0.2</v>
      </c>
      <c r="H907" s="11">
        <v>-0.1</v>
      </c>
      <c r="I907" s="11">
        <v>0.1</v>
      </c>
      <c r="J907" s="11">
        <v>-0.5</v>
      </c>
      <c r="K907" s="11">
        <v>0.2</v>
      </c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</row>
    <row r="908" spans="1:60" ht="15.75" x14ac:dyDescent="0.25">
      <c r="A908" s="12" t="s">
        <v>912</v>
      </c>
      <c r="B908" s="11">
        <v>-0.1</v>
      </c>
      <c r="C908" s="11">
        <v>-0.1</v>
      </c>
      <c r="D908" s="11">
        <v>-0.1</v>
      </c>
      <c r="E908" s="11">
        <v>0</v>
      </c>
      <c r="F908" s="11">
        <v>0.2</v>
      </c>
      <c r="G908" s="11">
        <v>0.1</v>
      </c>
      <c r="H908" s="11">
        <v>-0.1</v>
      </c>
      <c r="I908" s="11">
        <v>-0.2</v>
      </c>
      <c r="J908" s="11">
        <v>-0.4</v>
      </c>
      <c r="K908" s="11">
        <v>0.2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</row>
    <row r="909" spans="1:60" ht="15.75" x14ac:dyDescent="0.25">
      <c r="A909" s="12" t="s">
        <v>913</v>
      </c>
      <c r="B909" s="11">
        <v>0.1</v>
      </c>
      <c r="C909" s="11">
        <v>0.2</v>
      </c>
      <c r="D909" s="11">
        <v>0.4</v>
      </c>
      <c r="E909" s="11">
        <v>0</v>
      </c>
      <c r="F909" s="11">
        <v>-0.1</v>
      </c>
      <c r="G909" s="11">
        <v>0.3</v>
      </c>
      <c r="H909" s="11">
        <v>-0.2</v>
      </c>
      <c r="I909" s="11">
        <v>-0.2</v>
      </c>
      <c r="J909" s="11">
        <v>-0.2</v>
      </c>
      <c r="K909" s="11">
        <v>0.3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</row>
    <row r="910" spans="1:60" ht="15.75" x14ac:dyDescent="0.25">
      <c r="A910" s="12" t="s">
        <v>914</v>
      </c>
      <c r="B910" s="11">
        <v>0.1</v>
      </c>
      <c r="C910" s="11">
        <v>0.1</v>
      </c>
      <c r="D910" s="11">
        <v>0.3</v>
      </c>
      <c r="E910" s="11">
        <v>0</v>
      </c>
      <c r="F910" s="11">
        <v>0</v>
      </c>
      <c r="G910" s="11">
        <v>0.6</v>
      </c>
      <c r="H910" s="11">
        <v>-0.1</v>
      </c>
      <c r="I910" s="11">
        <v>-0.3</v>
      </c>
      <c r="J910" s="11">
        <v>-0.1</v>
      </c>
      <c r="K910" s="11">
        <v>0.4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</row>
    <row r="911" spans="1:60" ht="15.75" x14ac:dyDescent="0.25">
      <c r="A911" s="12" t="s">
        <v>915</v>
      </c>
      <c r="B911" s="11">
        <v>0.1</v>
      </c>
      <c r="C911" s="11">
        <v>0</v>
      </c>
      <c r="D911" s="11">
        <v>0.3</v>
      </c>
      <c r="E911" s="11">
        <v>-0.4</v>
      </c>
      <c r="F911" s="11">
        <v>-0.1</v>
      </c>
      <c r="G911" s="11">
        <v>0.6</v>
      </c>
      <c r="H911" s="11">
        <v>-1.1000000000000001</v>
      </c>
      <c r="I911" s="11">
        <v>-0.9</v>
      </c>
      <c r="J911" s="11">
        <v>0.2</v>
      </c>
      <c r="K911" s="11">
        <v>0.5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</row>
    <row r="912" spans="1:60" ht="15.75" x14ac:dyDescent="0.25">
      <c r="A912" s="12" t="s">
        <v>916</v>
      </c>
      <c r="B912" s="11">
        <v>0.4</v>
      </c>
      <c r="C912" s="11">
        <v>0.4</v>
      </c>
      <c r="D912" s="11">
        <v>0.7</v>
      </c>
      <c r="E912" s="11">
        <v>-0.1</v>
      </c>
      <c r="F912" s="11">
        <v>0.2</v>
      </c>
      <c r="G912" s="11">
        <v>1</v>
      </c>
      <c r="H912" s="11">
        <v>-0.9</v>
      </c>
      <c r="I912" s="11">
        <v>-0.9</v>
      </c>
      <c r="J912" s="11">
        <v>0.8</v>
      </c>
      <c r="K912" s="11">
        <v>0.8</v>
      </c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</row>
    <row r="913" spans="1:60" ht="15.75" x14ac:dyDescent="0.25">
      <c r="A913" s="12" t="s">
        <v>917</v>
      </c>
      <c r="B913" s="11">
        <v>0.2</v>
      </c>
      <c r="C913" s="11">
        <v>0.2</v>
      </c>
      <c r="D913" s="11">
        <v>0.3</v>
      </c>
      <c r="E913" s="11">
        <v>-0.2</v>
      </c>
      <c r="F913" s="11">
        <v>-1.6</v>
      </c>
      <c r="G913" s="11">
        <v>2.2000000000000002</v>
      </c>
      <c r="H913" s="11">
        <v>-1</v>
      </c>
      <c r="I913" s="11">
        <v>-1</v>
      </c>
      <c r="J913" s="11">
        <v>1.2</v>
      </c>
      <c r="K913" s="11">
        <v>0.8</v>
      </c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</row>
    <row r="914" spans="1:60" ht="15.75" x14ac:dyDescent="0.25">
      <c r="A914" s="12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</row>
    <row r="915" spans="1:60" ht="15.75" x14ac:dyDescent="0.25">
      <c r="A915" s="12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</row>
    <row r="916" spans="1:60" ht="15.75" x14ac:dyDescent="0.25">
      <c r="A916" s="12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</row>
    <row r="917" spans="1:60" ht="15.75" x14ac:dyDescent="0.25">
      <c r="A917" s="12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</row>
    <row r="918" spans="1:60" ht="15.75" x14ac:dyDescent="0.25">
      <c r="A918" s="12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</row>
    <row r="919" spans="1:60" ht="15.75" x14ac:dyDescent="0.25">
      <c r="A919" s="12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</row>
    <row r="920" spans="1:60" ht="15.75" x14ac:dyDescent="0.25">
      <c r="A920" s="12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</row>
    <row r="921" spans="1:60" ht="15.75" x14ac:dyDescent="0.25">
      <c r="A921" s="12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</row>
    <row r="922" spans="1:60" ht="15.75" x14ac:dyDescent="0.25">
      <c r="A922" s="12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</row>
    <row r="923" spans="1:60" ht="15.75" x14ac:dyDescent="0.25">
      <c r="A923" s="12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</row>
    <row r="924" spans="1:60" ht="15.75" x14ac:dyDescent="0.25">
      <c r="A924" s="12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</row>
    <row r="925" spans="1:60" ht="15.75" x14ac:dyDescent="0.25">
      <c r="A925" s="12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</row>
    <row r="926" spans="1:60" ht="15.75" x14ac:dyDescent="0.25">
      <c r="A926" s="12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</row>
    <row r="927" spans="1:60" ht="15.75" x14ac:dyDescent="0.25">
      <c r="A927" s="12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</row>
    <row r="928" spans="1:60" ht="15.75" x14ac:dyDescent="0.25">
      <c r="A928" s="12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</row>
    <row r="929" spans="1:60" ht="15.75" x14ac:dyDescent="0.25">
      <c r="A929" s="12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</row>
    <row r="930" spans="1:60" ht="15.75" x14ac:dyDescent="0.25">
      <c r="A930" s="12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</row>
    <row r="931" spans="1:60" ht="15.75" x14ac:dyDescent="0.25">
      <c r="A931" s="12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</row>
    <row r="932" spans="1:60" ht="15.75" x14ac:dyDescent="0.25">
      <c r="A932" s="12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</row>
    <row r="933" spans="1:60" ht="15.75" x14ac:dyDescent="0.25">
      <c r="A933" s="12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</row>
    <row r="934" spans="1:60" ht="15.75" x14ac:dyDescent="0.25">
      <c r="A934" s="12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</row>
    <row r="935" spans="1:60" ht="15.75" x14ac:dyDescent="0.25">
      <c r="A935" s="12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</row>
    <row r="936" spans="1:60" ht="15.75" x14ac:dyDescent="0.25">
      <c r="A936" s="12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</row>
    <row r="937" spans="1:60" ht="15.75" x14ac:dyDescent="0.25">
      <c r="A937" s="12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</row>
    <row r="938" spans="1:60" ht="15.75" x14ac:dyDescent="0.25">
      <c r="A938" s="12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</row>
    <row r="939" spans="1:60" ht="15.75" x14ac:dyDescent="0.25">
      <c r="A939" s="12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</row>
    <row r="940" spans="1:60" ht="15.75" x14ac:dyDescent="0.25">
      <c r="A940" s="12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</row>
    <row r="941" spans="1:60" ht="15.75" x14ac:dyDescent="0.25">
      <c r="A941" s="12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</row>
    <row r="942" spans="1:60" ht="15.75" x14ac:dyDescent="0.25">
      <c r="A942" s="12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</row>
    <row r="943" spans="1:60" ht="15.75" x14ac:dyDescent="0.25">
      <c r="A943" s="12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</row>
    <row r="944" spans="1:60" ht="15.75" x14ac:dyDescent="0.25">
      <c r="A944" s="12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</row>
    <row r="945" spans="1:60" ht="15.75" x14ac:dyDescent="0.25">
      <c r="A945" s="12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</row>
    <row r="946" spans="1:60" ht="15.75" x14ac:dyDescent="0.25">
      <c r="A946" s="12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</row>
    <row r="947" spans="1:60" ht="15.75" x14ac:dyDescent="0.25">
      <c r="A947" s="12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</row>
    <row r="948" spans="1:60" ht="15.75" x14ac:dyDescent="0.25">
      <c r="A948" s="12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</row>
    <row r="949" spans="1:60" ht="15.75" x14ac:dyDescent="0.25">
      <c r="A949" s="12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</row>
    <row r="950" spans="1:60" ht="15.75" x14ac:dyDescent="0.25">
      <c r="A950" s="12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</row>
    <row r="951" spans="1:60" ht="15.75" x14ac:dyDescent="0.25">
      <c r="A951" s="12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</row>
    <row r="952" spans="1:60" ht="15.75" x14ac:dyDescent="0.25">
      <c r="A952" s="12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</row>
    <row r="953" spans="1:60" ht="15.75" x14ac:dyDescent="0.25">
      <c r="A953" s="12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</row>
    <row r="954" spans="1:60" ht="15.75" x14ac:dyDescent="0.25">
      <c r="A954" s="12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</row>
    <row r="955" spans="1:60" ht="15.75" x14ac:dyDescent="0.25">
      <c r="A955" s="12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</row>
    <row r="956" spans="1:60" ht="15.75" x14ac:dyDescent="0.25">
      <c r="A956" s="12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</row>
    <row r="957" spans="1:60" ht="15.75" x14ac:dyDescent="0.25">
      <c r="A957" s="12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</row>
    <row r="958" spans="1:60" ht="15.75" x14ac:dyDescent="0.25">
      <c r="A958" s="12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</row>
    <row r="959" spans="1:60" ht="15.75" x14ac:dyDescent="0.25">
      <c r="A959" s="12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</row>
    <row r="960" spans="1:60" ht="15.75" x14ac:dyDescent="0.25">
      <c r="A960" s="12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</row>
    <row r="961" spans="1:60" ht="15.75" x14ac:dyDescent="0.25">
      <c r="A961" s="12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</row>
    <row r="962" spans="1:60" ht="15.75" x14ac:dyDescent="0.25">
      <c r="A962" s="12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</row>
    <row r="963" spans="1:60" ht="15.75" x14ac:dyDescent="0.25">
      <c r="A963" s="12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</row>
    <row r="964" spans="1:60" ht="15.75" x14ac:dyDescent="0.25">
      <c r="A964" s="12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</row>
    <row r="965" spans="1:60" ht="15.75" x14ac:dyDescent="0.25">
      <c r="A965" s="12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</row>
    <row r="966" spans="1:60" ht="15.75" x14ac:dyDescent="0.25">
      <c r="A966" s="12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</row>
    <row r="967" spans="1:60" ht="15.75" x14ac:dyDescent="0.25">
      <c r="A967" s="12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</row>
    <row r="968" spans="1:60" ht="15.75" x14ac:dyDescent="0.25">
      <c r="A968" s="12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</row>
    <row r="969" spans="1:60" ht="15.75" x14ac:dyDescent="0.25">
      <c r="A969" s="12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</row>
    <row r="970" spans="1:60" ht="15.75" x14ac:dyDescent="0.25">
      <c r="A970" s="12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</row>
    <row r="971" spans="1:60" ht="15.75" x14ac:dyDescent="0.25">
      <c r="A971" s="12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</row>
    <row r="972" spans="1:60" ht="15.75" x14ac:dyDescent="0.25">
      <c r="A972" s="12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</row>
    <row r="973" spans="1:60" ht="15.75" x14ac:dyDescent="0.25">
      <c r="A973" s="12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</row>
    <row r="974" spans="1:60" ht="15.75" x14ac:dyDescent="0.25">
      <c r="A974" s="12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</row>
    <row r="975" spans="1:60" ht="15.75" x14ac:dyDescent="0.25">
      <c r="A975" s="12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</row>
    <row r="976" spans="1:60" ht="15.75" x14ac:dyDescent="0.25">
      <c r="A976" s="12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</row>
    <row r="977" spans="1:60" ht="15.75" x14ac:dyDescent="0.25">
      <c r="A977" s="12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</row>
    <row r="978" spans="1:60" ht="15.75" x14ac:dyDescent="0.25">
      <c r="A978" s="12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</row>
    <row r="979" spans="1:60" ht="15.75" x14ac:dyDescent="0.25">
      <c r="A979" s="12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</row>
    <row r="980" spans="1:60" ht="15.75" x14ac:dyDescent="0.25">
      <c r="A980" s="12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</row>
    <row r="981" spans="1:60" ht="15.75" x14ac:dyDescent="0.25">
      <c r="A981" s="12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</row>
    <row r="982" spans="1:60" ht="15.75" x14ac:dyDescent="0.25">
      <c r="A982" s="12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</row>
    <row r="983" spans="1:60" ht="15.75" x14ac:dyDescent="0.25">
      <c r="A983" s="12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</row>
    <row r="984" spans="1:60" ht="15.75" x14ac:dyDescent="0.25">
      <c r="A984" s="12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</row>
    <row r="985" spans="1:60" ht="15.75" x14ac:dyDescent="0.25">
      <c r="A985" s="12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</row>
    <row r="986" spans="1:60" ht="15.75" x14ac:dyDescent="0.25">
      <c r="A986" s="12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</row>
    <row r="987" spans="1:60" ht="15.75" x14ac:dyDescent="0.25">
      <c r="A987" s="12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</row>
    <row r="988" spans="1:60" ht="15.75" x14ac:dyDescent="0.25">
      <c r="A988" s="12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</row>
    <row r="989" spans="1:60" ht="15.75" x14ac:dyDescent="0.25">
      <c r="A989" s="12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</row>
    <row r="990" spans="1:60" ht="15.75" x14ac:dyDescent="0.25">
      <c r="A990" s="12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</row>
    <row r="991" spans="1:60" ht="15.75" x14ac:dyDescent="0.25">
      <c r="A991" s="12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</row>
    <row r="992" spans="1:60" ht="15.75" x14ac:dyDescent="0.25">
      <c r="A992" s="12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</row>
    <row r="993" spans="1:60" ht="15.75" x14ac:dyDescent="0.25">
      <c r="A993" s="12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</row>
    <row r="994" spans="1:60" ht="15.75" x14ac:dyDescent="0.25">
      <c r="A994" s="12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</row>
    <row r="995" spans="1:60" ht="15.75" x14ac:dyDescent="0.25">
      <c r="A995" s="12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</row>
    <row r="996" spans="1:60" ht="15.75" x14ac:dyDescent="0.25">
      <c r="A996" s="12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</row>
    <row r="997" spans="1:60" ht="15.75" x14ac:dyDescent="0.25">
      <c r="A997" s="12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</row>
    <row r="998" spans="1:60" ht="15.75" x14ac:dyDescent="0.25">
      <c r="A998" s="12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</row>
    <row r="999" spans="1:60" ht="15.75" x14ac:dyDescent="0.25">
      <c r="A999" s="12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</row>
    <row r="1000" spans="1:60" ht="15.75" x14ac:dyDescent="0.25">
      <c r="A1000" s="12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</row>
    <row r="1001" spans="1:60" ht="15.75" x14ac:dyDescent="0.25">
      <c r="A1001" s="12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</row>
    <row r="1002" spans="1:60" ht="15.75" x14ac:dyDescent="0.25">
      <c r="A1002" s="12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</row>
    <row r="1003" spans="1:60" ht="15.75" x14ac:dyDescent="0.25">
      <c r="A1003" s="12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</row>
    <row r="1004" spans="1:60" ht="15.75" x14ac:dyDescent="0.25">
      <c r="A1004" s="12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</row>
    <row r="1005" spans="1:60" ht="15.75" x14ac:dyDescent="0.25">
      <c r="A1005" s="12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</row>
    <row r="1006" spans="1:60" ht="15.75" x14ac:dyDescent="0.25">
      <c r="A1006" s="12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</row>
    <row r="1007" spans="1:60" ht="15.75" x14ac:dyDescent="0.25">
      <c r="A1007" s="12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</row>
    <row r="1008" spans="1:60" ht="15.75" x14ac:dyDescent="0.25">
      <c r="A1008" s="12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</row>
    <row r="1009" spans="1:60" ht="15.75" x14ac:dyDescent="0.25">
      <c r="A1009" s="12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</row>
    <row r="1010" spans="1:60" ht="15.75" x14ac:dyDescent="0.25">
      <c r="A1010" s="12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</row>
    <row r="1011" spans="1:60" ht="15.75" x14ac:dyDescent="0.25">
      <c r="A1011" s="12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</row>
    <row r="1012" spans="1:60" ht="15.75" x14ac:dyDescent="0.25">
      <c r="A1012" s="12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</row>
    <row r="1013" spans="1:60" ht="15.75" x14ac:dyDescent="0.25">
      <c r="A1013" s="12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</row>
    <row r="1014" spans="1:60" ht="15.75" x14ac:dyDescent="0.25">
      <c r="A1014" s="12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</row>
    <row r="1015" spans="1:60" ht="15.75" x14ac:dyDescent="0.25">
      <c r="A1015" s="12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</row>
    <row r="1016" spans="1:60" ht="15.75" x14ac:dyDescent="0.25">
      <c r="A1016" s="12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</row>
    <row r="1017" spans="1:60" ht="15.75" x14ac:dyDescent="0.25">
      <c r="A1017" s="12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</row>
    <row r="1018" spans="1:60" ht="15.75" x14ac:dyDescent="0.25">
      <c r="A1018" s="12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</row>
    <row r="1019" spans="1:60" ht="15.75" x14ac:dyDescent="0.25">
      <c r="A1019" s="12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</row>
    <row r="1020" spans="1:60" ht="15.75" x14ac:dyDescent="0.25">
      <c r="A1020" s="12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</row>
    <row r="1021" spans="1:60" ht="15.75" x14ac:dyDescent="0.25">
      <c r="A1021" s="12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</row>
    <row r="1022" spans="1:60" ht="15.75" x14ac:dyDescent="0.25">
      <c r="A1022" s="12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</row>
    <row r="1023" spans="1:60" ht="15.75" x14ac:dyDescent="0.25">
      <c r="A1023" s="12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</row>
    <row r="1024" spans="1:60" ht="15.75" x14ac:dyDescent="0.25">
      <c r="A1024" s="12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</row>
    <row r="1025" spans="1:60" ht="15.75" x14ac:dyDescent="0.25">
      <c r="A1025" s="12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</row>
    <row r="1026" spans="1:60" ht="15.75" x14ac:dyDescent="0.25">
      <c r="A1026" s="12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</row>
    <row r="1027" spans="1:60" ht="15.75" x14ac:dyDescent="0.25">
      <c r="A1027" s="12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</row>
    <row r="1028" spans="1:60" ht="15.75" x14ac:dyDescent="0.25">
      <c r="A1028" s="12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</row>
    <row r="1029" spans="1:60" ht="15.75" x14ac:dyDescent="0.25">
      <c r="A1029" s="12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</row>
    <row r="1030" spans="1:60" ht="15.75" x14ac:dyDescent="0.25">
      <c r="A1030" s="12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</row>
    <row r="1031" spans="1:60" ht="15.75" x14ac:dyDescent="0.25">
      <c r="A1031" s="12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</row>
    <row r="1032" spans="1:60" ht="15.75" x14ac:dyDescent="0.25">
      <c r="A1032" s="12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</row>
    <row r="1033" spans="1:60" ht="15.75" x14ac:dyDescent="0.25">
      <c r="A1033" s="12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</row>
    <row r="1034" spans="1:60" ht="15.75" x14ac:dyDescent="0.25">
      <c r="A1034" s="12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</row>
    <row r="1035" spans="1:60" ht="15.75" x14ac:dyDescent="0.25">
      <c r="A1035" s="12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</row>
    <row r="1036" spans="1:60" ht="15.75" x14ac:dyDescent="0.25">
      <c r="A1036" s="12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</row>
    <row r="1037" spans="1:60" ht="15.75" x14ac:dyDescent="0.25">
      <c r="A1037" s="12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</row>
    <row r="1038" spans="1:60" ht="15.75" x14ac:dyDescent="0.25">
      <c r="A1038" s="12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</row>
    <row r="1039" spans="1:60" ht="15.75" x14ac:dyDescent="0.25">
      <c r="A1039" s="12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</row>
    <row r="1040" spans="1:60" ht="15.75" x14ac:dyDescent="0.25">
      <c r="A1040" s="12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</row>
    <row r="1041" spans="1:60" ht="15.75" x14ac:dyDescent="0.25">
      <c r="A1041" s="12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</row>
    <row r="1042" spans="1:60" ht="15.75" x14ac:dyDescent="0.25">
      <c r="A1042" s="12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</row>
    <row r="1043" spans="1:60" ht="15.75" x14ac:dyDescent="0.25">
      <c r="A1043" s="12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</row>
    <row r="1044" spans="1:60" ht="15.75" x14ac:dyDescent="0.25">
      <c r="A1044" s="12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</row>
    <row r="1045" spans="1:60" ht="15.75" x14ac:dyDescent="0.25">
      <c r="A1045" s="12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</row>
    <row r="1046" spans="1:60" ht="15.75" x14ac:dyDescent="0.25">
      <c r="A1046" s="12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</row>
    <row r="1047" spans="1:60" ht="15.75" x14ac:dyDescent="0.25">
      <c r="A1047" s="12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</row>
    <row r="1048" spans="1:60" ht="15.75" x14ac:dyDescent="0.25">
      <c r="A1048" s="12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</row>
    <row r="1049" spans="1:60" ht="15.75" x14ac:dyDescent="0.25">
      <c r="A1049" s="12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</row>
    <row r="1050" spans="1:60" ht="15.75" x14ac:dyDescent="0.25">
      <c r="A1050" s="12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</row>
    <row r="1051" spans="1:60" ht="15.75" x14ac:dyDescent="0.25">
      <c r="A1051" s="12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</row>
    <row r="1052" spans="1:60" ht="15.75" x14ac:dyDescent="0.25">
      <c r="A1052" s="12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</row>
    <row r="1053" spans="1:60" ht="15.75" x14ac:dyDescent="0.25">
      <c r="A1053" s="12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</row>
    <row r="1054" spans="1:60" ht="15.75" x14ac:dyDescent="0.25">
      <c r="A1054" s="12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</row>
    <row r="1055" spans="1:60" ht="15.75" x14ac:dyDescent="0.25">
      <c r="A1055" s="12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</row>
    <row r="1056" spans="1:60" ht="15.75" x14ac:dyDescent="0.25">
      <c r="A1056" s="12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</row>
    <row r="1057" spans="1:60" ht="15.75" x14ac:dyDescent="0.25">
      <c r="A1057" s="12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</row>
    <row r="1058" spans="1:60" ht="15.75" x14ac:dyDescent="0.25">
      <c r="A1058" s="12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</row>
    <row r="1059" spans="1:60" ht="15.75" x14ac:dyDescent="0.25">
      <c r="A1059" s="12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</row>
    <row r="1060" spans="1:60" ht="15.75" x14ac:dyDescent="0.25">
      <c r="A1060" s="12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</row>
    <row r="1061" spans="1:60" ht="15.75" x14ac:dyDescent="0.25">
      <c r="A1061" s="12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</row>
    <row r="1062" spans="1:60" ht="15.75" x14ac:dyDescent="0.25">
      <c r="A1062" s="12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</row>
    <row r="1063" spans="1:60" ht="15.75" x14ac:dyDescent="0.25">
      <c r="A1063" s="12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</row>
    <row r="1064" spans="1:60" ht="15.75" x14ac:dyDescent="0.25">
      <c r="A1064" s="12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</row>
    <row r="1065" spans="1:60" ht="15.75" x14ac:dyDescent="0.25">
      <c r="A1065" s="12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</row>
    <row r="1066" spans="1:60" ht="15.75" x14ac:dyDescent="0.25">
      <c r="A1066" s="12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</row>
    <row r="1067" spans="1:60" ht="15.75" x14ac:dyDescent="0.25">
      <c r="A1067" s="12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</row>
    <row r="1068" spans="1:60" ht="15.75" x14ac:dyDescent="0.25">
      <c r="A1068" s="12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</row>
    <row r="1069" spans="1:60" ht="15.75" x14ac:dyDescent="0.25">
      <c r="A1069" s="12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</row>
    <row r="1070" spans="1:60" ht="15.75" x14ac:dyDescent="0.25">
      <c r="A1070" s="12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</row>
    <row r="1071" spans="1:60" ht="15.75" x14ac:dyDescent="0.25">
      <c r="A1071" s="12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</row>
    <row r="1072" spans="1:60" ht="15.75" x14ac:dyDescent="0.25">
      <c r="A1072" s="12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</row>
    <row r="1073" spans="1:60" ht="15.75" x14ac:dyDescent="0.25">
      <c r="A1073" s="12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</row>
    <row r="1074" spans="1:60" ht="15.75" x14ac:dyDescent="0.25">
      <c r="A1074" s="12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</row>
    <row r="1075" spans="1:60" ht="15.75" x14ac:dyDescent="0.25">
      <c r="A1075" s="12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</row>
    <row r="1076" spans="1:60" ht="15.75" x14ac:dyDescent="0.25">
      <c r="A1076" s="12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</row>
    <row r="1077" spans="1:60" ht="15.75" x14ac:dyDescent="0.25">
      <c r="A1077" s="12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</row>
    <row r="1078" spans="1:60" ht="15.75" x14ac:dyDescent="0.25">
      <c r="A1078" s="12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</row>
    <row r="1079" spans="1:60" ht="15.75" x14ac:dyDescent="0.25">
      <c r="A1079" s="12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</row>
    <row r="1080" spans="1:60" ht="15.75" x14ac:dyDescent="0.25">
      <c r="A1080" s="12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</row>
    <row r="1081" spans="1:60" ht="15.75" x14ac:dyDescent="0.25">
      <c r="A1081" s="12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</row>
    <row r="1082" spans="1:60" ht="15.75" x14ac:dyDescent="0.25">
      <c r="A1082" s="12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</row>
    <row r="1083" spans="1:60" ht="15.75" x14ac:dyDescent="0.25">
      <c r="A1083" s="12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</row>
    <row r="1084" spans="1:60" ht="15.75" x14ac:dyDescent="0.25">
      <c r="A1084" s="12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</row>
    <row r="1085" spans="1:60" ht="15.75" x14ac:dyDescent="0.25">
      <c r="A1085" s="12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</row>
    <row r="1086" spans="1:60" ht="15.75" x14ac:dyDescent="0.25">
      <c r="A1086" s="12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</row>
    <row r="1087" spans="1:60" ht="15.75" x14ac:dyDescent="0.25">
      <c r="A1087" s="12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</row>
    <row r="1088" spans="1:60" ht="15.75" x14ac:dyDescent="0.25">
      <c r="A1088" s="12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</row>
    <row r="1089" spans="1:60" ht="15.75" x14ac:dyDescent="0.25">
      <c r="A1089" s="12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</row>
    <row r="1090" spans="1:60" ht="15.75" x14ac:dyDescent="0.25">
      <c r="A1090" s="12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</row>
    <row r="1091" spans="1:60" ht="15.75" x14ac:dyDescent="0.25">
      <c r="A1091" s="12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</row>
    <row r="1092" spans="1:60" ht="15.75" x14ac:dyDescent="0.25">
      <c r="A1092" s="12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</row>
    <row r="1093" spans="1:60" ht="15.75" x14ac:dyDescent="0.25">
      <c r="A1093" s="12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</row>
    <row r="1094" spans="1:60" ht="15.75" x14ac:dyDescent="0.25">
      <c r="A1094" s="12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</row>
    <row r="1095" spans="1:60" ht="15.75" x14ac:dyDescent="0.25">
      <c r="A1095" s="12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</row>
    <row r="1096" spans="1:60" ht="15.75" x14ac:dyDescent="0.25">
      <c r="A1096" s="12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</row>
    <row r="1097" spans="1:60" ht="15.75" x14ac:dyDescent="0.25">
      <c r="A1097" s="12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</row>
    <row r="1098" spans="1:60" ht="15.75" x14ac:dyDescent="0.25">
      <c r="A1098" s="12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</row>
    <row r="1099" spans="1:60" ht="15.75" x14ac:dyDescent="0.25">
      <c r="A1099" s="12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</row>
    <row r="1100" spans="1:60" ht="15.75" x14ac:dyDescent="0.25">
      <c r="A1100" s="12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</row>
    <row r="1101" spans="1:60" ht="15.75" x14ac:dyDescent="0.25">
      <c r="A1101" s="12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</row>
    <row r="1102" spans="1:60" ht="15.75" x14ac:dyDescent="0.25">
      <c r="A1102" s="12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</row>
    <row r="1103" spans="1:60" ht="15.75" x14ac:dyDescent="0.25">
      <c r="A1103" s="12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</row>
    <row r="1104" spans="1:60" ht="15.75" x14ac:dyDescent="0.25">
      <c r="A1104" s="12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</row>
    <row r="1105" spans="1:60" ht="15.75" x14ac:dyDescent="0.25">
      <c r="A1105" s="12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</row>
    <row r="1106" spans="1:60" ht="15.75" x14ac:dyDescent="0.25">
      <c r="A1106" s="12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</row>
    <row r="1107" spans="1:60" ht="15.75" x14ac:dyDescent="0.25">
      <c r="A1107" s="12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</row>
    <row r="1108" spans="1:60" ht="15.75" x14ac:dyDescent="0.25">
      <c r="A1108" s="12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</row>
    <row r="1109" spans="1:60" ht="15.75" x14ac:dyDescent="0.25">
      <c r="A1109" s="12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</row>
    <row r="1110" spans="1:60" ht="15.75" x14ac:dyDescent="0.25">
      <c r="A1110" s="12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</row>
    <row r="1111" spans="1:60" ht="15.75" x14ac:dyDescent="0.25">
      <c r="A1111" s="12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</row>
    <row r="1112" spans="1:60" ht="15.75" x14ac:dyDescent="0.25">
      <c r="A1112" s="12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</row>
    <row r="1113" spans="1:60" ht="15.75" x14ac:dyDescent="0.25">
      <c r="A1113" s="12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</row>
    <row r="1114" spans="1:60" ht="15.75" x14ac:dyDescent="0.25">
      <c r="A1114" s="12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</row>
    <row r="1115" spans="1:60" ht="15.75" x14ac:dyDescent="0.25">
      <c r="A1115" s="12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</row>
    <row r="1116" spans="1:60" ht="15.75" x14ac:dyDescent="0.25">
      <c r="A1116" s="12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</row>
    <row r="1117" spans="1:60" ht="15.75" x14ac:dyDescent="0.25">
      <c r="A1117" s="12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</row>
    <row r="1118" spans="1:60" ht="15.75" x14ac:dyDescent="0.25">
      <c r="A1118" s="12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</row>
    <row r="1119" spans="1:60" ht="15.75" x14ac:dyDescent="0.25">
      <c r="A1119" s="12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</row>
    <row r="1120" spans="1:60" ht="15.75" x14ac:dyDescent="0.25">
      <c r="A1120" s="12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</row>
    <row r="1121" spans="1:60" ht="15.75" x14ac:dyDescent="0.25">
      <c r="A1121" s="12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</row>
    <row r="1122" spans="1:60" ht="15.75" x14ac:dyDescent="0.25">
      <c r="A1122" s="12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</row>
    <row r="1123" spans="1:60" ht="15.75" x14ac:dyDescent="0.25">
      <c r="A1123" s="12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</row>
    <row r="1124" spans="1:60" ht="15.75" x14ac:dyDescent="0.25">
      <c r="A1124" s="12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</row>
    <row r="1125" spans="1:60" ht="15.75" x14ac:dyDescent="0.25">
      <c r="A1125" s="12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</row>
    <row r="1126" spans="1:60" ht="15.75" x14ac:dyDescent="0.25">
      <c r="A1126" s="12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</row>
    <row r="1127" spans="1:60" ht="15.75" x14ac:dyDescent="0.25">
      <c r="A1127" s="12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</row>
    <row r="1128" spans="1:60" ht="15.75" x14ac:dyDescent="0.25">
      <c r="A1128" s="12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</row>
    <row r="1129" spans="1:60" ht="15.75" x14ac:dyDescent="0.25">
      <c r="A1129" s="12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</row>
    <row r="1130" spans="1:60" ht="15.75" x14ac:dyDescent="0.25">
      <c r="A1130" s="12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</row>
    <row r="1131" spans="1:60" ht="15.75" x14ac:dyDescent="0.25">
      <c r="A1131" s="12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</row>
    <row r="1132" spans="1:60" ht="15.75" x14ac:dyDescent="0.25">
      <c r="A1132" s="12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</row>
    <row r="1133" spans="1:60" ht="15.75" x14ac:dyDescent="0.25">
      <c r="A1133" s="12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</row>
    <row r="1134" spans="1:60" ht="15.75" x14ac:dyDescent="0.25">
      <c r="A1134" s="12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</row>
    <row r="1135" spans="1:60" ht="15.75" x14ac:dyDescent="0.25">
      <c r="A1135" s="12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</row>
    <row r="1136" spans="1:60" ht="15.75" x14ac:dyDescent="0.25">
      <c r="A1136" s="12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</row>
    <row r="1137" spans="1:60" ht="15.75" x14ac:dyDescent="0.25">
      <c r="A1137" s="12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</row>
    <row r="1138" spans="1:60" ht="15.75" x14ac:dyDescent="0.25">
      <c r="A1138" s="12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</row>
    <row r="1139" spans="1:60" ht="15.75" x14ac:dyDescent="0.25">
      <c r="A1139" s="12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</row>
    <row r="1140" spans="1:60" ht="15.75" x14ac:dyDescent="0.25">
      <c r="A1140" s="12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</row>
    <row r="1141" spans="1:60" ht="15.75" x14ac:dyDescent="0.25">
      <c r="A1141" s="12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</row>
    <row r="1142" spans="1:60" ht="15.75" x14ac:dyDescent="0.25">
      <c r="A1142" s="12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</row>
    <row r="1143" spans="1:60" ht="15.75" x14ac:dyDescent="0.25">
      <c r="A1143" s="12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</row>
    <row r="1144" spans="1:60" ht="15.75" x14ac:dyDescent="0.25">
      <c r="A1144" s="12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</row>
    <row r="1145" spans="1:60" ht="15.75" x14ac:dyDescent="0.25">
      <c r="A1145" s="12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</row>
    <row r="1146" spans="1:60" ht="15.75" x14ac:dyDescent="0.25">
      <c r="A1146" s="12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</row>
    <row r="1147" spans="1:60" ht="15.75" x14ac:dyDescent="0.25">
      <c r="A1147" s="12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</row>
    <row r="1148" spans="1:60" ht="15.75" x14ac:dyDescent="0.25">
      <c r="A1148" s="12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</row>
    <row r="1149" spans="1:60" ht="15.75" x14ac:dyDescent="0.25">
      <c r="A1149" s="12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</row>
    <row r="1150" spans="1:60" ht="15.75" x14ac:dyDescent="0.25">
      <c r="A1150" s="12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</row>
    <row r="1151" spans="1:60" ht="15.75" x14ac:dyDescent="0.25">
      <c r="A1151" s="12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</row>
    <row r="1152" spans="1:60" ht="15.75" x14ac:dyDescent="0.25">
      <c r="A1152" s="12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</row>
    <row r="1153" spans="1:60" ht="15.75" x14ac:dyDescent="0.25">
      <c r="A1153" s="12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</row>
    <row r="1154" spans="1:60" ht="15.75" x14ac:dyDescent="0.25">
      <c r="A1154" s="12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</row>
    <row r="1155" spans="1:60" ht="15.75" x14ac:dyDescent="0.25">
      <c r="A1155" s="12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</row>
    <row r="1156" spans="1:60" ht="15.75" x14ac:dyDescent="0.25">
      <c r="A1156" s="12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</row>
    <row r="1157" spans="1:60" ht="15.75" x14ac:dyDescent="0.25">
      <c r="A1157" s="12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</row>
    <row r="1158" spans="1:60" ht="15.75" x14ac:dyDescent="0.25">
      <c r="A1158" s="12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</row>
    <row r="1159" spans="1:60" ht="15.75" x14ac:dyDescent="0.25">
      <c r="A1159" s="12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</row>
    <row r="1160" spans="1:60" ht="15.75" x14ac:dyDescent="0.25">
      <c r="A1160" s="12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</row>
    <row r="1161" spans="1:60" ht="15.75" x14ac:dyDescent="0.25">
      <c r="A1161" s="12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</row>
    <row r="1162" spans="1:60" ht="15.75" x14ac:dyDescent="0.25">
      <c r="A1162" s="12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</row>
    <row r="1163" spans="1:60" ht="15.75" x14ac:dyDescent="0.25">
      <c r="A1163" s="12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</row>
    <row r="1164" spans="1:60" ht="15.75" x14ac:dyDescent="0.25">
      <c r="A1164" s="12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</row>
    <row r="1165" spans="1:60" ht="15.75" x14ac:dyDescent="0.25">
      <c r="A1165" s="12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</row>
    <row r="1166" spans="1:60" ht="15.75" x14ac:dyDescent="0.25">
      <c r="A1166" s="12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</row>
    <row r="1167" spans="1:60" ht="15.75" x14ac:dyDescent="0.25">
      <c r="A1167" s="12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</row>
    <row r="1168" spans="1:60" ht="15.75" x14ac:dyDescent="0.25">
      <c r="A1168" s="12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</row>
    <row r="1169" spans="1:60" ht="15.75" x14ac:dyDescent="0.25">
      <c r="A1169" s="12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</row>
    <row r="1170" spans="1:60" ht="15.75" x14ac:dyDescent="0.25">
      <c r="A1170" s="12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</row>
    <row r="1171" spans="1:60" ht="15.75" x14ac:dyDescent="0.25">
      <c r="A1171" s="12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</row>
    <row r="1172" spans="1:60" ht="15.75" x14ac:dyDescent="0.25">
      <c r="A1172" s="12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</row>
    <row r="1173" spans="1:60" ht="15.75" x14ac:dyDescent="0.25">
      <c r="A1173" s="12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</row>
    <row r="1174" spans="1:60" ht="15.75" x14ac:dyDescent="0.25">
      <c r="A1174" s="12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</row>
    <row r="1175" spans="1:60" ht="15.75" x14ac:dyDescent="0.25">
      <c r="A1175" s="12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</row>
    <row r="1176" spans="1:60" ht="15.75" x14ac:dyDescent="0.25">
      <c r="A1176" s="12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</row>
    <row r="1177" spans="1:60" ht="15.75" x14ac:dyDescent="0.25">
      <c r="A1177" s="12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</row>
    <row r="1178" spans="1:60" ht="15.75" x14ac:dyDescent="0.25">
      <c r="A1178" s="12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</row>
    <row r="1179" spans="1:60" ht="15.75" x14ac:dyDescent="0.25">
      <c r="A1179" s="12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</row>
    <row r="1180" spans="1:60" ht="15.75" x14ac:dyDescent="0.25">
      <c r="A1180" s="12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</row>
    <row r="1181" spans="1:60" ht="15.75" x14ac:dyDescent="0.25">
      <c r="A1181" s="12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</row>
    <row r="1182" spans="1:60" ht="15.75" x14ac:dyDescent="0.25">
      <c r="A1182" s="12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</row>
    <row r="1183" spans="1:60" ht="15.75" x14ac:dyDescent="0.25">
      <c r="A1183" s="12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</row>
    <row r="1184" spans="1:60" ht="15.75" x14ac:dyDescent="0.25">
      <c r="A1184" s="12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</row>
    <row r="1185" spans="1:60" ht="15.75" x14ac:dyDescent="0.25">
      <c r="A1185" s="12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</row>
    <row r="1186" spans="1:60" ht="15.75" x14ac:dyDescent="0.25">
      <c r="A1186" s="12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</row>
    <row r="1187" spans="1:60" ht="15.75" x14ac:dyDescent="0.25">
      <c r="A1187" s="12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</row>
    <row r="1188" spans="1:60" ht="15.75" x14ac:dyDescent="0.25">
      <c r="A1188" s="12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</row>
    <row r="1189" spans="1:60" ht="15.75" x14ac:dyDescent="0.25">
      <c r="A1189" s="12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</row>
    <row r="1190" spans="1:60" ht="15.75" x14ac:dyDescent="0.25">
      <c r="A1190" s="12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</row>
    <row r="1191" spans="1:60" ht="15.75" x14ac:dyDescent="0.25">
      <c r="A1191" s="12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</row>
    <row r="1192" spans="1:60" ht="15.75" x14ac:dyDescent="0.25">
      <c r="A1192" s="12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</row>
    <row r="1193" spans="1:60" ht="15.75" x14ac:dyDescent="0.25">
      <c r="A1193" s="12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</row>
    <row r="1194" spans="1:60" ht="15.75" x14ac:dyDescent="0.25">
      <c r="A1194" s="12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</row>
    <row r="1195" spans="1:60" ht="15.75" x14ac:dyDescent="0.25">
      <c r="A1195" s="12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</row>
    <row r="1196" spans="1:60" ht="15.75" x14ac:dyDescent="0.25">
      <c r="A1196" s="12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</row>
    <row r="1197" spans="1:60" ht="15.75" x14ac:dyDescent="0.25">
      <c r="A1197" s="12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</row>
    <row r="1198" spans="1:60" ht="15.75" x14ac:dyDescent="0.25">
      <c r="A1198" s="12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</row>
    <row r="1199" spans="1:60" ht="15.75" x14ac:dyDescent="0.25">
      <c r="A1199" s="12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</row>
    <row r="1200" spans="1:60" ht="15.75" x14ac:dyDescent="0.25">
      <c r="A1200" s="12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</row>
    <row r="1201" spans="1:60" ht="15.75" x14ac:dyDescent="0.25">
      <c r="A1201" s="12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</row>
    <row r="1202" spans="1:60" ht="15.75" x14ac:dyDescent="0.25">
      <c r="A1202" s="12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</row>
    <row r="1203" spans="1:60" ht="15.75" x14ac:dyDescent="0.25">
      <c r="A1203" s="12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</row>
    <row r="1204" spans="1:60" ht="15.75" x14ac:dyDescent="0.25">
      <c r="A1204" s="12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</row>
    <row r="1205" spans="1:60" ht="15.75" x14ac:dyDescent="0.25">
      <c r="A1205" s="12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</row>
    <row r="1206" spans="1:60" ht="15.75" x14ac:dyDescent="0.25">
      <c r="A1206" s="12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</row>
    <row r="1207" spans="1:60" ht="15.75" x14ac:dyDescent="0.25">
      <c r="A1207" s="12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</row>
    <row r="1208" spans="1:60" ht="15.75" x14ac:dyDescent="0.25">
      <c r="A1208" s="12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</row>
    <row r="1209" spans="1:60" ht="15.75" x14ac:dyDescent="0.25">
      <c r="A1209" s="12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</row>
    <row r="1210" spans="1:60" ht="15.75" x14ac:dyDescent="0.25">
      <c r="A1210" s="12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</row>
    <row r="1211" spans="1:60" ht="15.75" x14ac:dyDescent="0.25">
      <c r="A1211" s="12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</row>
    <row r="1212" spans="1:60" ht="15.75" x14ac:dyDescent="0.25">
      <c r="A1212" s="12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</row>
    <row r="1213" spans="1:60" ht="15.75" x14ac:dyDescent="0.25">
      <c r="A1213" s="12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</row>
    <row r="1214" spans="1:60" ht="15.75" x14ac:dyDescent="0.25">
      <c r="A1214" s="12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</row>
    <row r="1215" spans="1:60" ht="15.75" x14ac:dyDescent="0.25">
      <c r="A1215" s="12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</row>
    <row r="1216" spans="1:60" ht="15.75" x14ac:dyDescent="0.25">
      <c r="A1216" s="12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</row>
    <row r="1217" spans="1:60" ht="15.75" x14ac:dyDescent="0.25">
      <c r="A1217" s="12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</row>
    <row r="1218" spans="1:60" ht="15.75" x14ac:dyDescent="0.25">
      <c r="A1218" s="12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</row>
    <row r="1219" spans="1:60" ht="15.75" x14ac:dyDescent="0.25">
      <c r="A1219" s="12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</row>
    <row r="1220" spans="1:60" ht="15.75" x14ac:dyDescent="0.25">
      <c r="A1220" s="12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</row>
    <row r="1221" spans="1:60" ht="15.75" x14ac:dyDescent="0.25">
      <c r="A1221" s="12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</row>
    <row r="1222" spans="1:60" ht="15.75" x14ac:dyDescent="0.25">
      <c r="A1222" s="12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</row>
    <row r="1223" spans="1:60" ht="15.75" x14ac:dyDescent="0.25">
      <c r="A1223" s="12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</row>
    <row r="1224" spans="1:60" ht="15.75" x14ac:dyDescent="0.25">
      <c r="A1224" s="12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</row>
    <row r="1225" spans="1:60" ht="15.75" x14ac:dyDescent="0.25">
      <c r="A1225" s="12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</row>
    <row r="1226" spans="1:60" ht="15.75" x14ac:dyDescent="0.25">
      <c r="A1226" s="12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</row>
    <row r="1227" spans="1:60" ht="15.75" x14ac:dyDescent="0.25">
      <c r="A1227" s="12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</row>
    <row r="1228" spans="1:60" ht="15.75" x14ac:dyDescent="0.25">
      <c r="A1228" s="12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</row>
    <row r="1229" spans="1:60" ht="15.75" x14ac:dyDescent="0.25">
      <c r="A1229" s="12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</row>
    <row r="1230" spans="1:60" ht="15.75" x14ac:dyDescent="0.25">
      <c r="A1230" s="12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</row>
    <row r="1231" spans="1:60" ht="15.75" x14ac:dyDescent="0.25">
      <c r="A1231" s="12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</row>
    <row r="1232" spans="1:60" ht="15.75" x14ac:dyDescent="0.25">
      <c r="A1232" s="12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</row>
    <row r="1233" spans="1:60" ht="15.75" x14ac:dyDescent="0.25">
      <c r="A1233" s="12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</row>
    <row r="1234" spans="1:60" ht="15.75" x14ac:dyDescent="0.25">
      <c r="A1234" s="12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</row>
    <row r="1235" spans="1:60" ht="15.75" x14ac:dyDescent="0.25">
      <c r="A1235" s="12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</row>
    <row r="1236" spans="1:60" ht="15.75" x14ac:dyDescent="0.25">
      <c r="A1236" s="12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</row>
    <row r="1237" spans="1:60" ht="15.75" x14ac:dyDescent="0.25">
      <c r="A1237" s="12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</row>
    <row r="1238" spans="1:60" ht="15.75" x14ac:dyDescent="0.25">
      <c r="A1238" s="12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</row>
    <row r="1239" spans="1:60" ht="15.75" x14ac:dyDescent="0.25">
      <c r="A1239" s="12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</row>
    <row r="1240" spans="1:60" ht="15.75" x14ac:dyDescent="0.25">
      <c r="A1240" s="12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</row>
    <row r="1241" spans="1:60" ht="15.75" x14ac:dyDescent="0.25">
      <c r="A1241" s="12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</row>
    <row r="1242" spans="1:60" ht="15.75" x14ac:dyDescent="0.25">
      <c r="A1242" s="12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</row>
    <row r="1243" spans="1:60" ht="15.75" x14ac:dyDescent="0.25">
      <c r="A1243" s="12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</row>
    <row r="1244" spans="1:60" ht="15.75" x14ac:dyDescent="0.25">
      <c r="A1244" s="12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</row>
    <row r="1245" spans="1:60" ht="15.75" x14ac:dyDescent="0.25">
      <c r="A1245" s="12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</row>
    <row r="1246" spans="1:60" ht="15.75" x14ac:dyDescent="0.25">
      <c r="A1246" s="12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</row>
    <row r="1247" spans="1:60" ht="15.75" x14ac:dyDescent="0.25">
      <c r="A1247" s="12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</row>
    <row r="1248" spans="1:60" ht="15.75" x14ac:dyDescent="0.25">
      <c r="A1248" s="12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</row>
    <row r="1249" spans="1:60" ht="15.75" x14ac:dyDescent="0.25">
      <c r="A1249" s="12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</row>
    <row r="1250" spans="1:60" ht="15.75" x14ac:dyDescent="0.25">
      <c r="A1250" s="12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</row>
    <row r="1251" spans="1:60" ht="15.75" x14ac:dyDescent="0.25">
      <c r="A1251" s="12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</row>
    <row r="1252" spans="1:60" ht="15.75" x14ac:dyDescent="0.25">
      <c r="A1252" s="12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</row>
    <row r="1253" spans="1:60" ht="15.75" x14ac:dyDescent="0.25">
      <c r="A1253" s="12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</row>
    <row r="1254" spans="1:60" ht="15.75" x14ac:dyDescent="0.25">
      <c r="A1254" s="12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</row>
    <row r="1255" spans="1:60" ht="15.75" x14ac:dyDescent="0.25">
      <c r="A1255" s="12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</row>
    <row r="1256" spans="1:60" ht="15.75" x14ac:dyDescent="0.25">
      <c r="A1256" s="12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</row>
    <row r="1257" spans="1:60" ht="15.75" x14ac:dyDescent="0.25">
      <c r="A1257" s="12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</row>
    <row r="1258" spans="1:60" ht="15.75" x14ac:dyDescent="0.25">
      <c r="A1258" s="12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</row>
    <row r="1259" spans="1:60" ht="15.75" x14ac:dyDescent="0.25">
      <c r="A1259" s="12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</row>
    <row r="1260" spans="1:60" ht="15.75" x14ac:dyDescent="0.25">
      <c r="A1260" s="12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</row>
    <row r="1261" spans="1:60" ht="15.75" x14ac:dyDescent="0.25">
      <c r="A1261" s="12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</row>
    <row r="1262" spans="1:60" ht="15.75" x14ac:dyDescent="0.25">
      <c r="A1262" s="12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</row>
    <row r="1263" spans="1:60" ht="15.75" x14ac:dyDescent="0.25">
      <c r="A1263" s="12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</row>
    <row r="1264" spans="1:60" ht="15.75" x14ac:dyDescent="0.25">
      <c r="A1264" s="12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</row>
    <row r="1265" spans="1:60" ht="15.75" x14ac:dyDescent="0.25">
      <c r="A1265" s="12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</row>
    <row r="1266" spans="1:60" ht="15.75" x14ac:dyDescent="0.25">
      <c r="A1266" s="12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</row>
    <row r="1267" spans="1:60" ht="15.75" x14ac:dyDescent="0.25">
      <c r="A1267" s="12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</row>
    <row r="1268" spans="1:60" ht="15.75" x14ac:dyDescent="0.25">
      <c r="A1268" s="12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</row>
    <row r="1269" spans="1:60" ht="15.75" x14ac:dyDescent="0.25">
      <c r="A1269" s="12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</row>
    <row r="1270" spans="1:60" ht="15.75" x14ac:dyDescent="0.25">
      <c r="A1270" s="12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</row>
    <row r="1271" spans="1:60" ht="15.75" x14ac:dyDescent="0.25">
      <c r="A1271" s="12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</row>
    <row r="1272" spans="1:60" ht="15.75" x14ac:dyDescent="0.25">
      <c r="A1272" s="12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</row>
    <row r="1273" spans="1:60" ht="15.75" x14ac:dyDescent="0.25">
      <c r="A1273" s="12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</row>
    <row r="1274" spans="1:60" ht="15.75" x14ac:dyDescent="0.25">
      <c r="A1274" s="12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</row>
    <row r="1275" spans="1:60" ht="15.75" x14ac:dyDescent="0.25">
      <c r="A1275" s="12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</row>
    <row r="1276" spans="1:60" ht="15.75" x14ac:dyDescent="0.25">
      <c r="A1276" s="12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</row>
    <row r="1277" spans="1:60" ht="15.75" x14ac:dyDescent="0.25">
      <c r="A1277" s="12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</row>
    <row r="1278" spans="1:60" ht="15.75" x14ac:dyDescent="0.25">
      <c r="A1278" s="12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</row>
    <row r="1279" spans="1:60" ht="15.75" x14ac:dyDescent="0.25">
      <c r="A1279" s="12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</row>
    <row r="1280" spans="1:60" ht="15.75" x14ac:dyDescent="0.25">
      <c r="A1280" s="12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</row>
    <row r="1281" spans="1:60" ht="15.75" x14ac:dyDescent="0.25">
      <c r="A1281" s="12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</row>
    <row r="1282" spans="1:60" ht="15.75" x14ac:dyDescent="0.25">
      <c r="A1282" s="12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</row>
    <row r="1283" spans="1:60" ht="15.75" x14ac:dyDescent="0.25">
      <c r="A1283" s="12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</row>
    <row r="1284" spans="1:60" ht="15.75" x14ac:dyDescent="0.25">
      <c r="A1284" s="12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</row>
    <row r="1285" spans="1:60" ht="15.75" x14ac:dyDescent="0.25">
      <c r="A1285" s="12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</row>
    <row r="1286" spans="1:60" ht="15.75" x14ac:dyDescent="0.25">
      <c r="A1286" s="12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</row>
    <row r="1287" spans="1:60" ht="15.75" x14ac:dyDescent="0.25">
      <c r="A1287" s="12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</row>
    <row r="1288" spans="1:60" ht="15.75" x14ac:dyDescent="0.25">
      <c r="A1288" s="12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</row>
    <row r="1289" spans="1:60" ht="15.75" x14ac:dyDescent="0.25">
      <c r="A1289" s="12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</row>
    <row r="1290" spans="1:60" ht="15.75" x14ac:dyDescent="0.25">
      <c r="A1290" s="12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</row>
    <row r="1291" spans="1:60" ht="15.75" x14ac:dyDescent="0.25">
      <c r="A1291" s="12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</row>
    <row r="1292" spans="1:60" ht="15.75" x14ac:dyDescent="0.25">
      <c r="A1292" s="12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</row>
    <row r="1293" spans="1:60" ht="15.75" x14ac:dyDescent="0.25">
      <c r="A1293" s="12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</row>
    <row r="1294" spans="1:60" ht="15.75" x14ac:dyDescent="0.25">
      <c r="A1294" s="12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</row>
    <row r="1295" spans="1:60" ht="15.75" x14ac:dyDescent="0.25">
      <c r="A1295" s="12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</row>
    <row r="1296" spans="1:60" ht="15.75" x14ac:dyDescent="0.25">
      <c r="A1296" s="12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</row>
    <row r="1297" spans="1:60" ht="15.75" x14ac:dyDescent="0.25">
      <c r="A1297" s="12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</row>
    <row r="1298" spans="1:60" ht="15.75" x14ac:dyDescent="0.25">
      <c r="A1298" s="12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</row>
    <row r="1299" spans="1:60" ht="15.75" x14ac:dyDescent="0.25">
      <c r="A1299" s="12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</row>
    <row r="1300" spans="1:60" ht="15.75" x14ac:dyDescent="0.25">
      <c r="A1300" s="12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</row>
    <row r="1301" spans="1:60" ht="15.75" x14ac:dyDescent="0.25">
      <c r="A1301" s="12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</row>
    <row r="1302" spans="1:60" ht="15.75" x14ac:dyDescent="0.25">
      <c r="A1302" s="12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</row>
    <row r="1303" spans="1:60" ht="15.75" x14ac:dyDescent="0.25">
      <c r="A1303" s="12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</row>
    <row r="1304" spans="1:60" ht="15.75" x14ac:dyDescent="0.25">
      <c r="A1304" s="12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</row>
    <row r="1305" spans="1:60" ht="15.75" x14ac:dyDescent="0.25">
      <c r="A1305" s="12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</row>
    <row r="1306" spans="1:60" ht="15.75" x14ac:dyDescent="0.25">
      <c r="A1306" s="12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</row>
    <row r="1307" spans="1:60" ht="15.75" x14ac:dyDescent="0.25">
      <c r="A1307" s="12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</row>
    <row r="1308" spans="1:60" ht="15.75" x14ac:dyDescent="0.25">
      <c r="A1308" s="12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</row>
    <row r="1309" spans="1:60" ht="15.75" x14ac:dyDescent="0.25">
      <c r="A1309" s="12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</row>
    <row r="1310" spans="1:60" ht="15.75" x14ac:dyDescent="0.25">
      <c r="A1310" s="12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</row>
    <row r="1311" spans="1:60" ht="15.75" x14ac:dyDescent="0.25">
      <c r="A1311" s="12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</row>
    <row r="1312" spans="1:60" ht="15.75" x14ac:dyDescent="0.25">
      <c r="A1312" s="12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</row>
    <row r="1313" spans="1:60" ht="15.75" x14ac:dyDescent="0.25">
      <c r="A1313" s="12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</row>
    <row r="1314" spans="1:60" ht="15.75" x14ac:dyDescent="0.25">
      <c r="A1314" s="12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</row>
    <row r="1315" spans="1:60" ht="15.75" x14ac:dyDescent="0.25">
      <c r="A1315" s="12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</row>
    <row r="1316" spans="1:60" ht="15.75" x14ac:dyDescent="0.25">
      <c r="A1316" s="12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</row>
    <row r="1317" spans="1:60" ht="15.75" x14ac:dyDescent="0.25">
      <c r="A1317" s="12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</row>
    <row r="1318" spans="1:60" ht="15.75" x14ac:dyDescent="0.25">
      <c r="A1318" s="12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</row>
    <row r="1319" spans="1:60" ht="15.75" x14ac:dyDescent="0.25">
      <c r="A1319" s="12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</row>
    <row r="1320" spans="1:60" ht="15.75" x14ac:dyDescent="0.25">
      <c r="A1320" s="12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</row>
    <row r="1321" spans="1:60" ht="15.75" x14ac:dyDescent="0.25">
      <c r="A1321" s="12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</row>
    <row r="1322" spans="1:60" ht="15.75" x14ac:dyDescent="0.25">
      <c r="A1322" s="12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</row>
    <row r="1323" spans="1:60" ht="15.75" x14ac:dyDescent="0.25">
      <c r="A1323" s="12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</row>
    <row r="1324" spans="1:60" ht="15.75" x14ac:dyDescent="0.25">
      <c r="A1324" s="12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</row>
    <row r="1325" spans="1:60" ht="15.75" x14ac:dyDescent="0.25">
      <c r="A1325" s="12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</row>
    <row r="1326" spans="1:60" ht="15.75" x14ac:dyDescent="0.25">
      <c r="A1326" s="12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</row>
    <row r="1327" spans="1:60" ht="15.75" x14ac:dyDescent="0.25">
      <c r="A1327" s="12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</row>
    <row r="1328" spans="1:60" ht="15.75" x14ac:dyDescent="0.25">
      <c r="A1328" s="12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</row>
    <row r="1329" spans="1:60" ht="15.75" x14ac:dyDescent="0.25">
      <c r="A1329" s="12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</row>
    <row r="1330" spans="1:60" ht="15.75" x14ac:dyDescent="0.25">
      <c r="A1330" s="12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</row>
    <row r="1331" spans="1:60" ht="15.75" x14ac:dyDescent="0.25">
      <c r="A1331" s="12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</row>
    <row r="1332" spans="1:60" ht="15.75" x14ac:dyDescent="0.25">
      <c r="A1332" s="12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</row>
    <row r="1333" spans="1:60" ht="15.75" x14ac:dyDescent="0.25">
      <c r="A1333" s="12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</row>
    <row r="1334" spans="1:60" ht="15.75" x14ac:dyDescent="0.25">
      <c r="A1334" s="12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</row>
    <row r="1335" spans="1:60" ht="15.75" x14ac:dyDescent="0.25">
      <c r="A1335" s="12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</row>
    <row r="1336" spans="1:60" ht="15.75" x14ac:dyDescent="0.25">
      <c r="A1336" s="12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</row>
    <row r="1337" spans="1:60" ht="15.75" x14ac:dyDescent="0.25">
      <c r="A1337" s="12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</row>
    <row r="1338" spans="1:60" ht="15.75" x14ac:dyDescent="0.25">
      <c r="A1338" s="12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</row>
    <row r="1339" spans="1:60" ht="15.75" x14ac:dyDescent="0.25">
      <c r="A1339" s="12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</row>
    <row r="1340" spans="1:60" ht="15.75" x14ac:dyDescent="0.25">
      <c r="A1340" s="12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</row>
    <row r="1341" spans="1:60" ht="15.75" x14ac:dyDescent="0.25">
      <c r="A1341" s="12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</row>
    <row r="1342" spans="1:60" ht="15.75" x14ac:dyDescent="0.25">
      <c r="A1342" s="12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</row>
    <row r="1343" spans="1:60" ht="15.75" x14ac:dyDescent="0.25">
      <c r="A1343" s="12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</row>
    <row r="1344" spans="1:60" ht="15.75" x14ac:dyDescent="0.25">
      <c r="A1344" s="12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</row>
    <row r="1345" spans="1:60" ht="15.75" x14ac:dyDescent="0.25">
      <c r="A1345" s="12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</row>
    <row r="1346" spans="1:60" ht="15.75" x14ac:dyDescent="0.25">
      <c r="A1346" s="12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</row>
    <row r="1347" spans="1:60" ht="15.75" x14ac:dyDescent="0.25">
      <c r="A1347" s="12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</row>
    <row r="1348" spans="1:60" ht="15.75" x14ac:dyDescent="0.25">
      <c r="A1348" s="12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</row>
    <row r="1349" spans="1:60" ht="15.75" x14ac:dyDescent="0.25">
      <c r="A1349" s="12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</row>
    <row r="1350" spans="1:60" ht="15.75" x14ac:dyDescent="0.25">
      <c r="A1350" s="12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</row>
    <row r="1351" spans="1:60" ht="15.75" x14ac:dyDescent="0.25">
      <c r="A1351" s="12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</row>
    <row r="1352" spans="1:60" ht="15.75" x14ac:dyDescent="0.25">
      <c r="A1352" s="12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</row>
    <row r="1353" spans="1:60" ht="15.75" x14ac:dyDescent="0.25">
      <c r="A1353" s="12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</row>
    <row r="1354" spans="1:60" ht="15.75" x14ac:dyDescent="0.25">
      <c r="A1354" s="12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</row>
    <row r="1355" spans="1:60" ht="15.75" x14ac:dyDescent="0.25">
      <c r="A1355" s="12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</row>
    <row r="1356" spans="1:60" ht="15.75" x14ac:dyDescent="0.25">
      <c r="A1356" s="12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</row>
    <row r="1357" spans="1:60" ht="15.75" x14ac:dyDescent="0.25">
      <c r="A1357" s="12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</row>
    <row r="1358" spans="1:60" ht="15.75" x14ac:dyDescent="0.25">
      <c r="A1358" s="12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</row>
    <row r="1359" spans="1:60" ht="15.75" x14ac:dyDescent="0.25">
      <c r="A1359" s="12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</row>
    <row r="1360" spans="1:60" ht="15.75" x14ac:dyDescent="0.25">
      <c r="A1360" s="12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</row>
    <row r="1361" spans="1:60" ht="15.75" x14ac:dyDescent="0.25">
      <c r="A1361" s="12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</row>
    <row r="1362" spans="1:60" ht="15.75" x14ac:dyDescent="0.25">
      <c r="A1362" s="12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</row>
    <row r="1363" spans="1:60" ht="15.75" x14ac:dyDescent="0.25">
      <c r="A1363" s="12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</row>
    <row r="1364" spans="1:60" ht="15.75" x14ac:dyDescent="0.25">
      <c r="A1364" s="12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</row>
    <row r="1365" spans="1:60" ht="15.75" x14ac:dyDescent="0.25">
      <c r="A1365" s="12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</row>
    <row r="1366" spans="1:60" ht="15.75" x14ac:dyDescent="0.25">
      <c r="A1366" s="12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</row>
    <row r="1367" spans="1:60" ht="15.75" x14ac:dyDescent="0.25">
      <c r="A1367" s="12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</row>
    <row r="1368" spans="1:60" ht="15.75" x14ac:dyDescent="0.25">
      <c r="A1368" s="12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</row>
    <row r="1369" spans="1:60" ht="15.75" x14ac:dyDescent="0.25">
      <c r="A1369" s="12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</row>
    <row r="1370" spans="1:60" ht="15.75" x14ac:dyDescent="0.25">
      <c r="A1370" s="12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</row>
    <row r="1371" spans="1:60" ht="15.75" x14ac:dyDescent="0.25">
      <c r="A1371" s="12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</row>
    <row r="1372" spans="1:60" ht="15.75" x14ac:dyDescent="0.25">
      <c r="A1372" s="12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</row>
    <row r="1373" spans="1:60" ht="15.75" x14ac:dyDescent="0.25">
      <c r="A1373" s="12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</row>
    <row r="1374" spans="1:60" ht="15.75" x14ac:dyDescent="0.25">
      <c r="A1374" s="12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</row>
    <row r="1375" spans="1:60" ht="15.75" x14ac:dyDescent="0.25">
      <c r="A1375" s="12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</row>
    <row r="1376" spans="1:60" ht="15.75" x14ac:dyDescent="0.25">
      <c r="A1376" s="12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</row>
    <row r="1377" spans="1:60" ht="15.75" x14ac:dyDescent="0.25">
      <c r="A1377" s="12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</row>
    <row r="1378" spans="1:60" ht="15.75" x14ac:dyDescent="0.25">
      <c r="A1378" s="12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</row>
    <row r="1379" spans="1:60" ht="15.75" x14ac:dyDescent="0.25">
      <c r="A1379" s="12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</row>
    <row r="1380" spans="1:60" ht="15.75" x14ac:dyDescent="0.25">
      <c r="A1380" s="12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</row>
    <row r="1381" spans="1:60" ht="15.75" x14ac:dyDescent="0.25">
      <c r="A1381" s="12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</row>
    <row r="1382" spans="1:60" ht="15.75" x14ac:dyDescent="0.25">
      <c r="A1382" s="12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</row>
    <row r="1383" spans="1:60" ht="15.75" x14ac:dyDescent="0.25">
      <c r="A1383" s="12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</row>
    <row r="1384" spans="1:60" ht="15.75" x14ac:dyDescent="0.25">
      <c r="A1384" s="12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</row>
    <row r="1385" spans="1:60" ht="15.75" x14ac:dyDescent="0.25">
      <c r="A1385" s="12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</row>
    <row r="1386" spans="1:60" ht="15.75" x14ac:dyDescent="0.25">
      <c r="A1386" s="12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</row>
    <row r="1387" spans="1:60" ht="15.75" x14ac:dyDescent="0.25">
      <c r="A1387" s="12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</row>
    <row r="1388" spans="1:60" ht="15.75" x14ac:dyDescent="0.25">
      <c r="A1388" s="12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</row>
    <row r="1389" spans="1:60" ht="15.75" x14ac:dyDescent="0.25">
      <c r="A1389" s="12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</row>
    <row r="1390" spans="1:60" ht="15.75" x14ac:dyDescent="0.25">
      <c r="A1390" s="12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</row>
    <row r="1391" spans="1:60" ht="15.75" x14ac:dyDescent="0.25">
      <c r="A1391" s="12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</row>
    <row r="1392" spans="1:60" ht="15.75" x14ac:dyDescent="0.25">
      <c r="A1392" s="12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</row>
    <row r="1393" spans="1:60" ht="15.75" x14ac:dyDescent="0.25">
      <c r="A1393" s="12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</row>
    <row r="1394" spans="1:60" ht="15.75" x14ac:dyDescent="0.25">
      <c r="A1394" s="12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</row>
    <row r="1395" spans="1:60" ht="15.75" x14ac:dyDescent="0.25">
      <c r="A1395" s="12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</row>
    <row r="1396" spans="1:60" ht="15.75" x14ac:dyDescent="0.25">
      <c r="A1396" s="12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</row>
    <row r="1397" spans="1:60" ht="15.75" x14ac:dyDescent="0.25">
      <c r="A1397" s="12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</row>
    <row r="1398" spans="1:60" ht="15.75" x14ac:dyDescent="0.25">
      <c r="A1398" s="12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</row>
    <row r="1399" spans="1:60" ht="15.75" x14ac:dyDescent="0.25">
      <c r="A1399" s="12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</row>
    <row r="1400" spans="1:60" ht="15.75" x14ac:dyDescent="0.25">
      <c r="A1400" s="12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</row>
    <row r="1401" spans="1:60" ht="15.75" x14ac:dyDescent="0.25">
      <c r="A1401" s="12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</row>
    <row r="1402" spans="1:60" ht="15.75" x14ac:dyDescent="0.25">
      <c r="A1402" s="12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</row>
    <row r="1403" spans="1:60" ht="15.75" x14ac:dyDescent="0.25">
      <c r="A1403" s="12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</row>
    <row r="1404" spans="1:60" ht="15.75" x14ac:dyDescent="0.25">
      <c r="A1404" s="12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</row>
    <row r="1405" spans="1:60" ht="15.75" x14ac:dyDescent="0.25">
      <c r="A1405" s="12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</row>
    <row r="1406" spans="1:60" ht="15.75" x14ac:dyDescent="0.25">
      <c r="A1406" s="12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</row>
    <row r="1407" spans="1:60" ht="15.75" x14ac:dyDescent="0.25">
      <c r="A1407" s="12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</row>
    <row r="1408" spans="1:60" ht="15.75" x14ac:dyDescent="0.25">
      <c r="A1408" s="12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</row>
    <row r="1409" spans="1:60" ht="15.75" x14ac:dyDescent="0.25">
      <c r="A1409" s="12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</row>
    <row r="1410" spans="1:60" ht="15.75" x14ac:dyDescent="0.25">
      <c r="A1410" s="12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</row>
    <row r="1411" spans="1:60" ht="15.75" x14ac:dyDescent="0.25">
      <c r="A1411" s="12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</row>
    <row r="1412" spans="1:60" ht="15.75" x14ac:dyDescent="0.25">
      <c r="A1412" s="12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</row>
    <row r="1413" spans="1:60" ht="15.75" x14ac:dyDescent="0.25">
      <c r="A1413" s="12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</row>
    <row r="1414" spans="1:60" ht="15.75" x14ac:dyDescent="0.25">
      <c r="A1414" s="12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</row>
    <row r="1415" spans="1:60" ht="15.75" x14ac:dyDescent="0.25">
      <c r="A1415" s="12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</row>
    <row r="1416" spans="1:60" ht="15.75" x14ac:dyDescent="0.25">
      <c r="A1416" s="12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</row>
    <row r="1417" spans="1:60" ht="15.75" x14ac:dyDescent="0.25">
      <c r="A1417" s="12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</row>
    <row r="1418" spans="1:60" ht="15.75" x14ac:dyDescent="0.25">
      <c r="A1418" s="12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</row>
    <row r="1419" spans="1:60" ht="15.75" x14ac:dyDescent="0.25">
      <c r="A1419" s="12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</row>
    <row r="1420" spans="1:60" ht="15.75" x14ac:dyDescent="0.25">
      <c r="A1420" s="12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</row>
    <row r="1421" spans="1:60" ht="15.75" x14ac:dyDescent="0.25">
      <c r="A1421" s="12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</row>
    <row r="1422" spans="1:60" ht="15.75" x14ac:dyDescent="0.25">
      <c r="A1422" s="12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</row>
    <row r="1423" spans="1:60" ht="15.75" x14ac:dyDescent="0.25">
      <c r="A1423" s="12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</row>
    <row r="1424" spans="1:60" ht="15.75" x14ac:dyDescent="0.25">
      <c r="A1424" s="12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</row>
    <row r="1425" spans="1:60" ht="15.75" x14ac:dyDescent="0.25">
      <c r="A1425" s="12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</row>
    <row r="1426" spans="1:60" ht="15.75" x14ac:dyDescent="0.25">
      <c r="A1426" s="12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</row>
    <row r="1427" spans="1:60" ht="15.75" x14ac:dyDescent="0.25">
      <c r="A1427" s="12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</row>
    <row r="1428" spans="1:60" ht="15.75" x14ac:dyDescent="0.25">
      <c r="A1428" s="12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</row>
    <row r="1429" spans="1:60" ht="15.75" x14ac:dyDescent="0.25">
      <c r="A1429" s="12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</row>
    <row r="1430" spans="1:60" ht="15.75" x14ac:dyDescent="0.25">
      <c r="A1430" s="12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</row>
    <row r="1431" spans="1:60" ht="15.75" x14ac:dyDescent="0.25">
      <c r="A1431" s="12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</row>
    <row r="1432" spans="1:60" ht="15.75" x14ac:dyDescent="0.25">
      <c r="A1432" s="12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</row>
    <row r="1433" spans="1:60" ht="15.75" x14ac:dyDescent="0.25">
      <c r="A1433" s="12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</row>
    <row r="1434" spans="1:60" ht="15.75" x14ac:dyDescent="0.25">
      <c r="A1434" s="12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</row>
    <row r="1435" spans="1:60" ht="15.75" x14ac:dyDescent="0.25">
      <c r="A1435" s="12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</row>
    <row r="1436" spans="1:60" ht="15.75" x14ac:dyDescent="0.25">
      <c r="A1436" s="12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</row>
    <row r="1437" spans="1:60" ht="15.75" x14ac:dyDescent="0.25">
      <c r="A1437" s="12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</row>
    <row r="1438" spans="1:60" ht="15.75" x14ac:dyDescent="0.25">
      <c r="A1438" s="12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</row>
    <row r="1439" spans="1:60" ht="15.75" x14ac:dyDescent="0.25">
      <c r="A1439" s="12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</row>
    <row r="1440" spans="1:60" ht="15.75" x14ac:dyDescent="0.25">
      <c r="A1440" s="12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</row>
    <row r="1441" spans="1:60" ht="15.75" x14ac:dyDescent="0.25">
      <c r="A1441" s="12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</row>
    <row r="1442" spans="1:60" ht="15.75" x14ac:dyDescent="0.25">
      <c r="A1442" s="12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</row>
    <row r="1443" spans="1:60" ht="15.75" x14ac:dyDescent="0.25">
      <c r="A1443" s="12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</row>
    <row r="1444" spans="1:60" ht="15.75" x14ac:dyDescent="0.25">
      <c r="A1444" s="12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</row>
    <row r="1445" spans="1:60" ht="15.75" x14ac:dyDescent="0.25">
      <c r="A1445" s="12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</row>
    <row r="1446" spans="1:60" ht="15.75" x14ac:dyDescent="0.25">
      <c r="A1446" s="12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</row>
    <row r="1447" spans="1:60" ht="15.75" x14ac:dyDescent="0.25">
      <c r="A1447" s="12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</row>
    <row r="1448" spans="1:60" ht="15.75" x14ac:dyDescent="0.25">
      <c r="A1448" s="12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</row>
    <row r="1449" spans="1:60" ht="15.75" x14ac:dyDescent="0.25">
      <c r="A1449" s="12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</row>
    <row r="1450" spans="1:60" ht="15.75" x14ac:dyDescent="0.25">
      <c r="A1450" s="12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</row>
    <row r="1451" spans="1:60" ht="15.75" x14ac:dyDescent="0.25">
      <c r="A1451" s="12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</row>
    <row r="1452" spans="1:60" ht="15.75" x14ac:dyDescent="0.25">
      <c r="A1452" s="12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</row>
    <row r="1453" spans="1:60" ht="15.75" x14ac:dyDescent="0.25">
      <c r="A1453" s="12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</row>
    <row r="1454" spans="1:60" ht="15.75" x14ac:dyDescent="0.25">
      <c r="A1454" s="12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</row>
    <row r="1455" spans="1:60" ht="15.75" x14ac:dyDescent="0.25">
      <c r="A1455" s="12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</row>
    <row r="1456" spans="1:60" ht="15.75" x14ac:dyDescent="0.25">
      <c r="A1456" s="12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</row>
    <row r="1457" spans="1:60" ht="15.75" x14ac:dyDescent="0.25">
      <c r="A1457" s="12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</row>
    <row r="1458" spans="1:60" ht="15.75" x14ac:dyDescent="0.25">
      <c r="A1458" s="12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</row>
    <row r="1459" spans="1:60" ht="15.75" x14ac:dyDescent="0.25">
      <c r="A1459" s="12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</row>
    <row r="1460" spans="1:60" ht="15.75" x14ac:dyDescent="0.25">
      <c r="A1460" s="12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</row>
    <row r="1461" spans="1:60" ht="15.75" x14ac:dyDescent="0.25">
      <c r="A1461" s="12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</row>
    <row r="1462" spans="1:60" ht="15.75" x14ac:dyDescent="0.25">
      <c r="A1462" s="12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</row>
    <row r="1463" spans="1:60" ht="15.75" x14ac:dyDescent="0.25">
      <c r="A1463" s="12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</row>
    <row r="1464" spans="1:60" ht="15.75" x14ac:dyDescent="0.25">
      <c r="A1464" s="12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</row>
    <row r="1465" spans="1:60" ht="15.75" x14ac:dyDescent="0.25">
      <c r="A1465" s="12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</row>
    <row r="1466" spans="1:60" ht="15.75" x14ac:dyDescent="0.25">
      <c r="A1466" s="12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</row>
    <row r="1467" spans="1:60" ht="15.75" x14ac:dyDescent="0.25">
      <c r="A1467" s="12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</row>
    <row r="1468" spans="1:60" ht="15.75" x14ac:dyDescent="0.25">
      <c r="A1468" s="12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</row>
    <row r="1469" spans="1:60" ht="15.75" x14ac:dyDescent="0.25">
      <c r="A1469" s="12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</row>
    <row r="1470" spans="1:60" ht="15.75" x14ac:dyDescent="0.25">
      <c r="A1470" s="12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</row>
    <row r="1471" spans="1:60" ht="15.75" x14ac:dyDescent="0.25">
      <c r="A1471" s="12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</row>
    <row r="1472" spans="1:60" ht="15.75" x14ac:dyDescent="0.25">
      <c r="A1472" s="12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</row>
    <row r="1473" spans="1:60" ht="15.75" x14ac:dyDescent="0.25">
      <c r="A1473" s="12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</row>
    <row r="1474" spans="1:60" ht="15.75" x14ac:dyDescent="0.25">
      <c r="A1474" s="12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</row>
    <row r="1475" spans="1:60" ht="15.75" x14ac:dyDescent="0.25">
      <c r="A1475" s="12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</row>
    <row r="1476" spans="1:60" ht="15.75" x14ac:dyDescent="0.25">
      <c r="A1476" s="12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</row>
    <row r="1477" spans="1:60" ht="15.75" x14ac:dyDescent="0.25">
      <c r="A1477" s="12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</row>
    <row r="1478" spans="1:60" ht="15.75" x14ac:dyDescent="0.25">
      <c r="A1478" s="12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</row>
    <row r="1479" spans="1:60" ht="15.75" x14ac:dyDescent="0.25">
      <c r="A1479" s="12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</row>
    <row r="1480" spans="1:60" ht="15.75" x14ac:dyDescent="0.25">
      <c r="A1480" s="12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</row>
    <row r="1481" spans="1:60" ht="15.75" x14ac:dyDescent="0.25">
      <c r="A1481" s="12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</row>
    <row r="1482" spans="1:60" ht="15.75" x14ac:dyDescent="0.25">
      <c r="A1482" s="12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</row>
    <row r="1483" spans="1:60" ht="15.75" x14ac:dyDescent="0.25">
      <c r="A1483" s="12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</row>
    <row r="1484" spans="1:60" ht="15.75" x14ac:dyDescent="0.25">
      <c r="A1484" s="12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</row>
    <row r="1485" spans="1:60" ht="15.75" x14ac:dyDescent="0.25">
      <c r="A1485" s="12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</row>
    <row r="1486" spans="1:60" ht="15.75" x14ac:dyDescent="0.25">
      <c r="A1486" s="12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</row>
    <row r="1487" spans="1:60" ht="15.75" x14ac:dyDescent="0.25">
      <c r="A1487" s="12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</row>
    <row r="1488" spans="1:60" ht="15.75" x14ac:dyDescent="0.25">
      <c r="A1488" s="12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</row>
    <row r="1489" spans="1:60" ht="15.75" x14ac:dyDescent="0.25">
      <c r="A1489" s="12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</row>
    <row r="1490" spans="1:60" ht="15.75" x14ac:dyDescent="0.25">
      <c r="A1490" s="12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</row>
    <row r="1491" spans="1:60" ht="15.75" x14ac:dyDescent="0.25">
      <c r="A1491" s="12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</row>
    <row r="1492" spans="1:60" ht="15.75" x14ac:dyDescent="0.25">
      <c r="A1492" s="12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</row>
    <row r="1493" spans="1:60" ht="15.75" x14ac:dyDescent="0.25">
      <c r="A1493" s="12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</row>
    <row r="1494" spans="1:60" ht="15.75" x14ac:dyDescent="0.25">
      <c r="A1494" s="12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</row>
    <row r="1495" spans="1:60" ht="15.75" x14ac:dyDescent="0.25">
      <c r="A1495" s="12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</row>
    <row r="1496" spans="1:60" ht="15.75" x14ac:dyDescent="0.25">
      <c r="A1496" s="12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</row>
    <row r="1497" spans="1:60" ht="15.75" x14ac:dyDescent="0.25">
      <c r="A1497" s="12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</row>
    <row r="1498" spans="1:60" ht="15.75" x14ac:dyDescent="0.25">
      <c r="A1498" s="12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</row>
    <row r="1499" spans="1:60" ht="15.75" x14ac:dyDescent="0.25">
      <c r="A1499" s="12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</row>
    <row r="1500" spans="1:60" ht="15.75" x14ac:dyDescent="0.25">
      <c r="A1500" s="12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</row>
    <row r="1501" spans="1:60" ht="15.75" x14ac:dyDescent="0.25">
      <c r="A1501" s="12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</row>
    <row r="1502" spans="1:60" ht="15.75" x14ac:dyDescent="0.25">
      <c r="A1502" s="12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</row>
    <row r="1503" spans="1:60" ht="15.75" x14ac:dyDescent="0.25">
      <c r="A1503" s="12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</row>
    <row r="1504" spans="1:60" ht="15.75" x14ac:dyDescent="0.25">
      <c r="A1504" s="12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</row>
    <row r="1505" spans="1:60" ht="15.75" x14ac:dyDescent="0.25">
      <c r="A1505" s="12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</row>
    <row r="1506" spans="1:60" ht="15.75" x14ac:dyDescent="0.25">
      <c r="A1506" s="12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</row>
    <row r="1507" spans="1:60" ht="15.75" x14ac:dyDescent="0.25">
      <c r="A1507" s="12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</row>
    <row r="1508" spans="1:60" ht="15.75" x14ac:dyDescent="0.25">
      <c r="A1508" s="12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</row>
    <row r="1509" spans="1:60" ht="15.75" x14ac:dyDescent="0.25">
      <c r="A1509" s="12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</row>
    <row r="1510" spans="1:60" ht="15.75" x14ac:dyDescent="0.25">
      <c r="A1510" s="12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</row>
    <row r="1511" spans="1:60" ht="15.75" x14ac:dyDescent="0.25">
      <c r="A1511" s="12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</row>
    <row r="1512" spans="1:60" ht="15.75" x14ac:dyDescent="0.25">
      <c r="A1512" s="12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</row>
    <row r="1513" spans="1:60" ht="15.75" x14ac:dyDescent="0.25">
      <c r="A1513" s="12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</row>
    <row r="1514" spans="1:60" ht="15.75" x14ac:dyDescent="0.25">
      <c r="A1514" s="12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</row>
    <row r="1515" spans="1:60" ht="15.75" x14ac:dyDescent="0.25">
      <c r="A1515" s="12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</row>
    <row r="1516" spans="1:60" ht="15.75" x14ac:dyDescent="0.25">
      <c r="A1516" s="12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</row>
    <row r="1517" spans="1:60" ht="15.75" x14ac:dyDescent="0.25">
      <c r="A1517" s="12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</row>
    <row r="1518" spans="1:60" ht="15.75" x14ac:dyDescent="0.25">
      <c r="A1518" s="12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</row>
    <row r="1519" spans="1:60" ht="15.75" x14ac:dyDescent="0.25">
      <c r="A1519" s="12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</row>
    <row r="1520" spans="1:60" ht="15.75" x14ac:dyDescent="0.25">
      <c r="A1520" s="12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</row>
    <row r="1521" spans="1:60" ht="15.75" x14ac:dyDescent="0.25">
      <c r="A1521" s="12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</row>
    <row r="1522" spans="1:60" ht="15.75" x14ac:dyDescent="0.25">
      <c r="A1522" s="12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</row>
    <row r="1523" spans="1:60" ht="15.75" x14ac:dyDescent="0.25">
      <c r="A1523" s="12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</row>
    <row r="1524" spans="1:60" ht="15.75" x14ac:dyDescent="0.25">
      <c r="A1524" s="12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</row>
    <row r="1525" spans="1:60" ht="15.75" x14ac:dyDescent="0.25">
      <c r="A1525" s="12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</row>
    <row r="1526" spans="1:60" ht="15.75" x14ac:dyDescent="0.25">
      <c r="A1526" s="12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</row>
    <row r="1527" spans="1:60" ht="15.75" x14ac:dyDescent="0.25">
      <c r="A1527" s="12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</row>
    <row r="1528" spans="1:60" ht="15.75" x14ac:dyDescent="0.25">
      <c r="A1528" s="12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</row>
    <row r="1529" spans="1:60" ht="15.75" x14ac:dyDescent="0.25">
      <c r="A1529" s="12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</row>
    <row r="1530" spans="1:60" ht="15.75" x14ac:dyDescent="0.25">
      <c r="A1530" s="12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</row>
    <row r="1531" spans="1:60" ht="15.75" x14ac:dyDescent="0.25">
      <c r="A1531" s="12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</row>
    <row r="1532" spans="1:60" ht="15.75" x14ac:dyDescent="0.25">
      <c r="A1532" s="12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</row>
    <row r="1533" spans="1:60" ht="15.75" x14ac:dyDescent="0.25">
      <c r="A1533" s="12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</row>
    <row r="1534" spans="1:60" ht="15.75" x14ac:dyDescent="0.25">
      <c r="A1534" s="12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</row>
    <row r="1535" spans="1:60" ht="15.75" x14ac:dyDescent="0.25">
      <c r="A1535" s="12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</row>
    <row r="1536" spans="1:60" ht="15.75" x14ac:dyDescent="0.25">
      <c r="A1536" s="12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</row>
    <row r="1537" spans="1:60" ht="15.75" x14ac:dyDescent="0.25">
      <c r="A1537" s="12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</row>
    <row r="1538" spans="1:60" ht="15.75" x14ac:dyDescent="0.25">
      <c r="A1538" s="12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</row>
    <row r="1539" spans="1:60" ht="15.75" x14ac:dyDescent="0.25">
      <c r="A1539" s="12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</row>
    <row r="1540" spans="1:60" ht="15.75" x14ac:dyDescent="0.25">
      <c r="A1540" s="12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</row>
    <row r="1541" spans="1:60" ht="15.75" x14ac:dyDescent="0.25">
      <c r="A1541" s="12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</row>
    <row r="1542" spans="1:60" ht="15.75" x14ac:dyDescent="0.25">
      <c r="A1542" s="12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</row>
    <row r="1543" spans="1:60" ht="15.75" x14ac:dyDescent="0.25">
      <c r="A1543" s="12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</row>
    <row r="1544" spans="1:60" ht="15.75" x14ac:dyDescent="0.25">
      <c r="A1544" s="12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</row>
    <row r="1545" spans="1:60" ht="15.75" x14ac:dyDescent="0.25">
      <c r="A1545" s="12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</row>
    <row r="1546" spans="1:60" ht="15.75" x14ac:dyDescent="0.25">
      <c r="A1546" s="12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</row>
    <row r="1547" spans="1:60" ht="15.75" x14ac:dyDescent="0.25">
      <c r="A1547" s="12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</row>
    <row r="1548" spans="1:60" ht="15.75" x14ac:dyDescent="0.25">
      <c r="A1548" s="12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</row>
    <row r="1549" spans="1:60" ht="15.75" x14ac:dyDescent="0.25">
      <c r="A1549" s="12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</row>
    <row r="1550" spans="1:60" ht="15.75" x14ac:dyDescent="0.25">
      <c r="A1550" s="12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</row>
    <row r="1551" spans="1:60" ht="15.75" x14ac:dyDescent="0.25">
      <c r="A1551" s="12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</row>
    <row r="1552" spans="1:60" ht="15.75" x14ac:dyDescent="0.25">
      <c r="A1552" s="12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</row>
    <row r="1553" spans="1:60" ht="15.75" x14ac:dyDescent="0.25">
      <c r="A1553" s="12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</row>
    <row r="1554" spans="1:60" ht="15.75" x14ac:dyDescent="0.25">
      <c r="A1554" s="12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</row>
    <row r="1555" spans="1:60" ht="15.75" x14ac:dyDescent="0.25">
      <c r="A1555" s="12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</row>
    <row r="1556" spans="1:60" ht="15.75" x14ac:dyDescent="0.25">
      <c r="A1556" s="12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</row>
    <row r="1557" spans="1:60" ht="15.75" x14ac:dyDescent="0.25">
      <c r="A1557" s="12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</row>
    <row r="1558" spans="1:60" ht="15.75" x14ac:dyDescent="0.25">
      <c r="A1558" s="12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</row>
    <row r="1559" spans="1:60" ht="15.75" x14ac:dyDescent="0.25">
      <c r="A1559" s="12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</row>
    <row r="1560" spans="1:60" ht="15.75" x14ac:dyDescent="0.25">
      <c r="A1560" s="12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</row>
    <row r="1561" spans="1:60" ht="15.75" x14ac:dyDescent="0.25">
      <c r="A1561" s="12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</row>
    <row r="1562" spans="1:60" ht="15.75" x14ac:dyDescent="0.25">
      <c r="A1562" s="12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</row>
    <row r="1563" spans="1:60" ht="15.75" x14ac:dyDescent="0.25">
      <c r="A1563" s="12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</row>
    <row r="1564" spans="1:60" ht="15.75" x14ac:dyDescent="0.25">
      <c r="A1564" s="12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</row>
    <row r="1565" spans="1:60" ht="15.75" x14ac:dyDescent="0.25">
      <c r="A1565" s="12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</row>
    <row r="1566" spans="1:60" ht="15.75" x14ac:dyDescent="0.25">
      <c r="A1566" s="12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</row>
    <row r="1567" spans="1:60" ht="15.75" x14ac:dyDescent="0.25">
      <c r="A1567" s="12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</row>
    <row r="1568" spans="1:60" ht="15.75" x14ac:dyDescent="0.25">
      <c r="A1568" s="12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</row>
    <row r="1569" spans="1:60" ht="15.75" x14ac:dyDescent="0.25">
      <c r="A1569" s="12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</row>
    <row r="1570" spans="1:60" ht="15.75" x14ac:dyDescent="0.25">
      <c r="A1570" s="12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</row>
    <row r="1571" spans="1:60" ht="15.75" x14ac:dyDescent="0.25">
      <c r="A1571" s="12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</row>
    <row r="1572" spans="1:60" ht="15.75" x14ac:dyDescent="0.25">
      <c r="A1572" s="12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</row>
    <row r="1573" spans="1:60" ht="15.75" x14ac:dyDescent="0.25">
      <c r="A1573" s="12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</row>
    <row r="1574" spans="1:60" ht="15.75" x14ac:dyDescent="0.25">
      <c r="A1574" s="12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</row>
    <row r="1575" spans="1:60" ht="15.75" x14ac:dyDescent="0.25">
      <c r="A1575" s="12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</row>
    <row r="1576" spans="1:60" ht="15.75" x14ac:dyDescent="0.25">
      <c r="A1576" s="12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</row>
    <row r="1577" spans="1:60" ht="15.75" x14ac:dyDescent="0.25">
      <c r="A1577" s="12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</row>
    <row r="1578" spans="1:60" ht="15.75" x14ac:dyDescent="0.25">
      <c r="A1578" s="12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</row>
    <row r="1579" spans="1:60" ht="15.75" x14ac:dyDescent="0.25">
      <c r="A1579" s="12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</row>
    <row r="1580" spans="1:60" ht="15.75" x14ac:dyDescent="0.25">
      <c r="A1580" s="12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</row>
    <row r="1581" spans="1:60" ht="15.75" x14ac:dyDescent="0.25">
      <c r="A1581" s="12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</row>
    <row r="1582" spans="1:60" ht="15.75" x14ac:dyDescent="0.25">
      <c r="A1582" s="12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</row>
    <row r="1583" spans="1:60" ht="15.75" x14ac:dyDescent="0.25">
      <c r="A1583" s="12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</row>
    <row r="1584" spans="1:60" ht="15.75" x14ac:dyDescent="0.25">
      <c r="A1584" s="12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</row>
    <row r="1585" spans="1:60" ht="15.75" x14ac:dyDescent="0.25">
      <c r="A1585" s="12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</row>
    <row r="1586" spans="1:60" ht="15.75" x14ac:dyDescent="0.25">
      <c r="A1586" s="12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</row>
    <row r="1587" spans="1:60" ht="15.75" x14ac:dyDescent="0.25">
      <c r="A1587" s="12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</row>
    <row r="1588" spans="1:60" ht="15.75" x14ac:dyDescent="0.25">
      <c r="A1588" s="12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</row>
    <row r="1589" spans="1:60" ht="15.75" x14ac:dyDescent="0.25">
      <c r="A1589" s="12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</row>
    <row r="1590" spans="1:60" ht="15.75" x14ac:dyDescent="0.25">
      <c r="A1590" s="12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</row>
    <row r="1591" spans="1:60" ht="15.75" x14ac:dyDescent="0.25">
      <c r="A1591" s="12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</row>
    <row r="1592" spans="1:60" ht="15.75" x14ac:dyDescent="0.25">
      <c r="A1592" s="12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</row>
    <row r="1593" spans="1:60" ht="15.75" x14ac:dyDescent="0.25">
      <c r="A1593" s="12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</row>
    <row r="1594" spans="1:60" ht="15.75" x14ac:dyDescent="0.25">
      <c r="A1594" s="12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</row>
    <row r="1595" spans="1:60" ht="15.75" x14ac:dyDescent="0.25">
      <c r="A1595" s="12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</row>
    <row r="1596" spans="1:60" ht="15.75" x14ac:dyDescent="0.25">
      <c r="A1596" s="12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</row>
    <row r="1597" spans="1:60" ht="15.75" x14ac:dyDescent="0.25">
      <c r="A1597" s="12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</row>
    <row r="1598" spans="1:60" ht="15.75" x14ac:dyDescent="0.25">
      <c r="A1598" s="12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</row>
    <row r="1599" spans="1:60" ht="15.75" x14ac:dyDescent="0.25">
      <c r="A1599" s="12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</row>
    <row r="1600" spans="1:60" ht="15.75" x14ac:dyDescent="0.25">
      <c r="A1600" s="12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</row>
    <row r="1601" spans="1:60" ht="15.75" x14ac:dyDescent="0.25">
      <c r="A1601" s="12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</row>
    <row r="1602" spans="1:60" ht="15.75" x14ac:dyDescent="0.25">
      <c r="A1602" s="12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</row>
    <row r="1603" spans="1:60" ht="15.75" x14ac:dyDescent="0.25">
      <c r="A1603" s="12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</row>
    <row r="1604" spans="1:60" ht="15.75" x14ac:dyDescent="0.25">
      <c r="A1604" s="12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</row>
    <row r="1605" spans="1:60" ht="15.75" x14ac:dyDescent="0.25">
      <c r="A1605" s="12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</row>
    <row r="1606" spans="1:60" ht="15.75" x14ac:dyDescent="0.25">
      <c r="A1606" s="12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</row>
    <row r="1607" spans="1:60" ht="15.75" x14ac:dyDescent="0.25">
      <c r="A1607" s="12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</row>
    <row r="1608" spans="1:60" ht="15.75" x14ac:dyDescent="0.25">
      <c r="A1608" s="12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</row>
    <row r="1609" spans="1:60" ht="15.75" x14ac:dyDescent="0.25">
      <c r="A1609" s="12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</row>
    <row r="1610" spans="1:60" ht="15.75" x14ac:dyDescent="0.25">
      <c r="A1610" s="12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</row>
    <row r="1611" spans="1:60" ht="15.75" x14ac:dyDescent="0.25">
      <c r="A1611" s="12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</row>
    <row r="1612" spans="1:60" ht="15.75" x14ac:dyDescent="0.25">
      <c r="A1612" s="12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</row>
    <row r="1613" spans="1:60" ht="15.75" x14ac:dyDescent="0.25">
      <c r="A1613" s="12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</row>
    <row r="1614" spans="1:60" ht="15.75" x14ac:dyDescent="0.25">
      <c r="A1614" s="12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</row>
    <row r="1615" spans="1:60" ht="15.75" x14ac:dyDescent="0.25">
      <c r="A1615" s="12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</row>
    <row r="1616" spans="1:60" ht="15.75" x14ac:dyDescent="0.25">
      <c r="A1616" s="12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</row>
    <row r="1617" spans="1:60" ht="15.75" x14ac:dyDescent="0.25">
      <c r="A1617" s="12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</row>
    <row r="1618" spans="1:60" ht="15.75" x14ac:dyDescent="0.25">
      <c r="A1618" s="12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</row>
    <row r="1619" spans="1:60" ht="15.75" x14ac:dyDescent="0.25">
      <c r="A1619" s="12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</row>
    <row r="1620" spans="1:60" ht="15.75" x14ac:dyDescent="0.25">
      <c r="A1620" s="12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</row>
    <row r="1621" spans="1:60" ht="15.75" x14ac:dyDescent="0.25">
      <c r="A1621" s="12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</row>
    <row r="1622" spans="1:60" ht="15.75" x14ac:dyDescent="0.25">
      <c r="A1622" s="12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</row>
    <row r="1623" spans="1:60" ht="15.75" x14ac:dyDescent="0.25">
      <c r="A1623" s="12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</row>
    <row r="1624" spans="1:60" ht="15.75" x14ac:dyDescent="0.25">
      <c r="A1624" s="12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</row>
    <row r="1625" spans="1:60" ht="15.75" x14ac:dyDescent="0.25">
      <c r="A1625" s="12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</row>
    <row r="1626" spans="1:60" ht="15.75" x14ac:dyDescent="0.25">
      <c r="A1626" s="12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</row>
    <row r="1627" spans="1:60" ht="15.75" x14ac:dyDescent="0.25">
      <c r="A1627" s="12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</row>
    <row r="1628" spans="1:60" ht="15.75" x14ac:dyDescent="0.25">
      <c r="A1628" s="12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</row>
    <row r="1629" spans="1:60" ht="15.75" x14ac:dyDescent="0.25">
      <c r="A1629" s="12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</row>
    <row r="1630" spans="1:60" ht="15.75" x14ac:dyDescent="0.25">
      <c r="A1630" s="12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</row>
    <row r="1631" spans="1:60" ht="15.75" x14ac:dyDescent="0.25">
      <c r="A1631" s="12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</row>
    <row r="1632" spans="1:60" ht="15.75" x14ac:dyDescent="0.25">
      <c r="A1632" s="12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</row>
    <row r="1633" spans="1:60" ht="15.75" x14ac:dyDescent="0.25">
      <c r="A1633" s="12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</row>
    <row r="1634" spans="1:60" ht="15.75" x14ac:dyDescent="0.25">
      <c r="A1634" s="12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</row>
    <row r="1635" spans="1:60" ht="15.75" x14ac:dyDescent="0.25">
      <c r="A1635" s="12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</row>
    <row r="1636" spans="1:60" ht="15.75" x14ac:dyDescent="0.25">
      <c r="A1636" s="12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</row>
    <row r="1637" spans="1:60" ht="15.75" x14ac:dyDescent="0.25">
      <c r="A1637" s="12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</row>
    <row r="1638" spans="1:60" ht="15.75" x14ac:dyDescent="0.25">
      <c r="A1638" s="12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</row>
    <row r="1639" spans="1:60" ht="15.75" x14ac:dyDescent="0.25">
      <c r="A1639" s="12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</row>
    <row r="1640" spans="1:60" ht="15.75" x14ac:dyDescent="0.25">
      <c r="A1640" s="12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</row>
    <row r="1641" spans="1:60" ht="15.75" x14ac:dyDescent="0.25">
      <c r="A1641" s="12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</row>
    <row r="1642" spans="1:60" ht="15.75" x14ac:dyDescent="0.25">
      <c r="A1642" s="12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</row>
    <row r="1643" spans="1:60" ht="15.75" x14ac:dyDescent="0.25">
      <c r="A1643" s="12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</row>
    <row r="1644" spans="1:60" ht="15.75" x14ac:dyDescent="0.25">
      <c r="A1644" s="12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</row>
    <row r="1645" spans="1:60" ht="15.75" x14ac:dyDescent="0.25">
      <c r="A1645" s="12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</row>
    <row r="1646" spans="1:60" ht="15.75" x14ac:dyDescent="0.25">
      <c r="A1646" s="12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</row>
    <row r="1647" spans="1:60" ht="15.75" x14ac:dyDescent="0.25">
      <c r="A1647" s="12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</row>
    <row r="1648" spans="1:60" ht="15.75" x14ac:dyDescent="0.25">
      <c r="A1648" s="12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</row>
    <row r="1649" spans="1:60" ht="15.75" x14ac:dyDescent="0.25">
      <c r="A1649" s="12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</row>
    <row r="1650" spans="1:60" ht="15.75" x14ac:dyDescent="0.25">
      <c r="A1650" s="12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</row>
    <row r="1651" spans="1:60" ht="15.75" x14ac:dyDescent="0.25">
      <c r="A1651" s="12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</row>
    <row r="1652" spans="1:60" ht="15.75" x14ac:dyDescent="0.25">
      <c r="A1652" s="12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</row>
    <row r="1653" spans="1:60" ht="15.75" x14ac:dyDescent="0.25">
      <c r="A1653" s="12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</row>
    <row r="1654" spans="1:60" ht="15.75" x14ac:dyDescent="0.25">
      <c r="A1654" s="12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</row>
    <row r="1655" spans="1:60" ht="15.75" x14ac:dyDescent="0.25">
      <c r="A1655" s="12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</row>
    <row r="1656" spans="1:60" ht="15.75" x14ac:dyDescent="0.25">
      <c r="A1656" s="12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</row>
    <row r="1657" spans="1:60" ht="15.75" x14ac:dyDescent="0.25">
      <c r="A1657" s="12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</row>
    <row r="1658" spans="1:60" ht="15.75" x14ac:dyDescent="0.25">
      <c r="A1658" s="12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</row>
    <row r="1659" spans="1:60" ht="15.75" x14ac:dyDescent="0.25">
      <c r="A1659" s="12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</row>
    <row r="1660" spans="1:60" ht="15.75" x14ac:dyDescent="0.25">
      <c r="A1660" s="12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</row>
    <row r="1661" spans="1:60" ht="15.75" x14ac:dyDescent="0.25">
      <c r="A1661" s="12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</row>
    <row r="1662" spans="1:60" ht="15.75" x14ac:dyDescent="0.25">
      <c r="A1662" s="12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</row>
    <row r="1663" spans="1:60" ht="15.75" x14ac:dyDescent="0.25">
      <c r="A1663" s="12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</row>
    <row r="1664" spans="1:60" ht="15.75" x14ac:dyDescent="0.25">
      <c r="A1664" s="12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</row>
    <row r="1665" spans="1:60" ht="15.75" x14ac:dyDescent="0.25">
      <c r="A1665" s="12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</row>
    <row r="1666" spans="1:60" ht="15.75" x14ac:dyDescent="0.25">
      <c r="A1666" s="12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</row>
    <row r="1667" spans="1:60" ht="15.75" x14ac:dyDescent="0.25">
      <c r="A1667" s="12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</row>
    <row r="1668" spans="1:60" ht="15.75" x14ac:dyDescent="0.25">
      <c r="A1668" s="12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</row>
    <row r="1669" spans="1:60" ht="15.75" x14ac:dyDescent="0.25">
      <c r="A1669" s="12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</row>
    <row r="1670" spans="1:60" ht="15.75" x14ac:dyDescent="0.25">
      <c r="A1670" s="12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</row>
    <row r="1671" spans="1:60" ht="15.75" x14ac:dyDescent="0.25">
      <c r="A1671" s="12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</row>
    <row r="1672" spans="1:60" ht="15.75" x14ac:dyDescent="0.25">
      <c r="A1672" s="12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</row>
    <row r="1673" spans="1:60" ht="15.75" x14ac:dyDescent="0.25">
      <c r="A1673" s="12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</row>
    <row r="1674" spans="1:60" ht="15.75" x14ac:dyDescent="0.25">
      <c r="A1674" s="12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</row>
    <row r="1675" spans="1:60" ht="15.75" x14ac:dyDescent="0.25">
      <c r="A1675" s="12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</row>
    <row r="1676" spans="1:60" ht="15.75" x14ac:dyDescent="0.25">
      <c r="A1676" s="12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</row>
    <row r="1677" spans="1:60" ht="15.75" x14ac:dyDescent="0.25">
      <c r="A1677" s="12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</row>
    <row r="1678" spans="1:60" ht="15.75" x14ac:dyDescent="0.25">
      <c r="A1678" s="12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</row>
    <row r="1679" spans="1:60" ht="15.75" x14ac:dyDescent="0.25">
      <c r="A1679" s="12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</row>
    <row r="1680" spans="1:60" ht="15.75" x14ac:dyDescent="0.25">
      <c r="A1680" s="12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</row>
    <row r="1681" spans="1:60" ht="15.75" x14ac:dyDescent="0.25">
      <c r="A1681" s="12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</row>
    <row r="1682" spans="1:60" ht="15.75" x14ac:dyDescent="0.25">
      <c r="A1682" s="12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</row>
    <row r="1683" spans="1:60" ht="15.75" x14ac:dyDescent="0.25">
      <c r="A1683" s="12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</row>
    <row r="1684" spans="1:60" ht="15.75" x14ac:dyDescent="0.25">
      <c r="A1684" s="12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</row>
    <row r="1685" spans="1:60" ht="15.75" x14ac:dyDescent="0.25">
      <c r="A1685" s="12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</row>
    <row r="1686" spans="1:60" ht="15.75" x14ac:dyDescent="0.25">
      <c r="A1686" s="12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</row>
    <row r="1687" spans="1:60" ht="15.75" x14ac:dyDescent="0.25">
      <c r="A1687" s="12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</row>
    <row r="1688" spans="1:60" ht="15.75" x14ac:dyDescent="0.25">
      <c r="A1688" s="12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</row>
    <row r="1689" spans="1:60" ht="15.75" x14ac:dyDescent="0.25">
      <c r="A1689" s="12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</row>
    <row r="1690" spans="1:60" ht="15.75" x14ac:dyDescent="0.25">
      <c r="A1690" s="12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</row>
    <row r="1691" spans="1:60" ht="15.75" x14ac:dyDescent="0.25">
      <c r="A1691" s="12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</row>
    <row r="1692" spans="1:60" ht="15.75" x14ac:dyDescent="0.25">
      <c r="A1692" s="12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</row>
    <row r="1693" spans="1:60" ht="15.75" x14ac:dyDescent="0.25">
      <c r="A1693" s="12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</row>
    <row r="1694" spans="1:60" ht="15.75" x14ac:dyDescent="0.25">
      <c r="A1694" s="12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</row>
    <row r="1695" spans="1:60" ht="15.75" x14ac:dyDescent="0.25">
      <c r="A1695" s="12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</row>
    <row r="1696" spans="1:60" ht="15.75" x14ac:dyDescent="0.25">
      <c r="A1696" s="12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</row>
    <row r="1697" spans="1:60" ht="15.75" x14ac:dyDescent="0.25">
      <c r="A1697" s="12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</row>
    <row r="1698" spans="1:60" ht="15.75" x14ac:dyDescent="0.25">
      <c r="A1698" s="12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</row>
    <row r="1699" spans="1:60" ht="15.75" x14ac:dyDescent="0.25">
      <c r="A1699" s="12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</row>
    <row r="1700" spans="1:60" ht="15.75" x14ac:dyDescent="0.25">
      <c r="A1700" s="12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</row>
    <row r="1701" spans="1:60" ht="15.75" x14ac:dyDescent="0.25">
      <c r="A1701" s="12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</row>
    <row r="1702" spans="1:60" ht="15.75" x14ac:dyDescent="0.25">
      <c r="A1702" s="12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</row>
    <row r="1703" spans="1:60" ht="15.75" x14ac:dyDescent="0.25">
      <c r="A1703" s="12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</row>
    <row r="1704" spans="1:60" ht="15.75" x14ac:dyDescent="0.25">
      <c r="A1704" s="12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</row>
    <row r="1705" spans="1:60" ht="15.75" x14ac:dyDescent="0.25">
      <c r="A1705" s="12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</row>
    <row r="1706" spans="1:60" ht="15.75" x14ac:dyDescent="0.25">
      <c r="A1706" s="12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</row>
    <row r="1707" spans="1:60" ht="15.75" x14ac:dyDescent="0.25">
      <c r="A1707" s="12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</row>
    <row r="1708" spans="1:60" ht="15.75" x14ac:dyDescent="0.25">
      <c r="A1708" s="12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</row>
    <row r="1709" spans="1:60" ht="15.75" x14ac:dyDescent="0.25">
      <c r="A1709" s="12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</row>
    <row r="1710" spans="1:60" ht="15.75" x14ac:dyDescent="0.25">
      <c r="A1710" s="12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</row>
    <row r="1711" spans="1:60" ht="15.75" x14ac:dyDescent="0.25">
      <c r="A1711" s="12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</row>
    <row r="1712" spans="1:60" ht="15.75" x14ac:dyDescent="0.25">
      <c r="A1712" s="12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</row>
    <row r="1713" spans="1:60" ht="15.75" x14ac:dyDescent="0.25">
      <c r="A1713" s="12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</row>
    <row r="1714" spans="1:60" ht="15.75" x14ac:dyDescent="0.25">
      <c r="A1714" s="12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</row>
    <row r="1715" spans="1:60" ht="15.75" x14ac:dyDescent="0.25">
      <c r="A1715" s="12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</row>
    <row r="1716" spans="1:60" ht="15.75" x14ac:dyDescent="0.25">
      <c r="A1716" s="12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</row>
    <row r="1717" spans="1:60" ht="15.75" x14ac:dyDescent="0.25">
      <c r="A1717" s="12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</row>
    <row r="1718" spans="1:60" ht="15.75" x14ac:dyDescent="0.25">
      <c r="A1718" s="12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</row>
    <row r="1719" spans="1:60" ht="15.75" x14ac:dyDescent="0.25">
      <c r="A1719" s="12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</row>
    <row r="1720" spans="1:60" ht="15.75" x14ac:dyDescent="0.25">
      <c r="A1720" s="12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</row>
    <row r="1721" spans="1:60" ht="15.75" x14ac:dyDescent="0.25">
      <c r="A1721" s="12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</row>
    <row r="1722" spans="1:60" ht="15.75" x14ac:dyDescent="0.25">
      <c r="A1722" s="12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</row>
    <row r="1723" spans="1:60" ht="15.75" x14ac:dyDescent="0.25">
      <c r="A1723" s="12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</row>
    <row r="1724" spans="1:60" ht="15.75" x14ac:dyDescent="0.25">
      <c r="A1724" s="12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</row>
    <row r="1725" spans="1:60" ht="15.75" x14ac:dyDescent="0.25">
      <c r="A1725" s="12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</row>
    <row r="1726" spans="1:60" ht="15.75" x14ac:dyDescent="0.25">
      <c r="A1726" s="12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</row>
    <row r="1727" spans="1:60" ht="15.75" x14ac:dyDescent="0.25">
      <c r="A1727" s="12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</row>
    <row r="1728" spans="1:60" ht="15.75" x14ac:dyDescent="0.25">
      <c r="A1728" s="12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</row>
    <row r="1729" spans="1:60" ht="15.75" x14ac:dyDescent="0.25">
      <c r="A1729" s="12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</row>
    <row r="1730" spans="1:60" ht="15.75" x14ac:dyDescent="0.25">
      <c r="A1730" s="12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</row>
    <row r="1731" spans="1:60" ht="15.75" x14ac:dyDescent="0.25">
      <c r="A1731" s="12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</row>
    <row r="1732" spans="1:60" ht="15.75" x14ac:dyDescent="0.25">
      <c r="A1732" s="12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</row>
    <row r="1733" spans="1:60" ht="15.75" x14ac:dyDescent="0.25">
      <c r="A1733" s="12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</row>
    <row r="1734" spans="1:60" ht="15.75" x14ac:dyDescent="0.25">
      <c r="A1734" s="12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</row>
    <row r="1735" spans="1:60" ht="15.75" x14ac:dyDescent="0.25">
      <c r="A1735" s="12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</row>
    <row r="1736" spans="1:60" ht="15.75" x14ac:dyDescent="0.25">
      <c r="A1736" s="12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</row>
    <row r="1737" spans="1:60" ht="15.75" x14ac:dyDescent="0.25">
      <c r="A1737" s="12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</row>
    <row r="1738" spans="1:60" ht="15.75" x14ac:dyDescent="0.25">
      <c r="A1738" s="12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</row>
    <row r="1739" spans="1:60" ht="15.75" x14ac:dyDescent="0.25">
      <c r="A1739" s="12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</row>
    <row r="1740" spans="1:60" ht="15.75" x14ac:dyDescent="0.25">
      <c r="A1740" s="12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</row>
    <row r="1741" spans="1:60" ht="15.75" x14ac:dyDescent="0.25">
      <c r="A1741" s="12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</row>
    <row r="1742" spans="1:60" ht="15.75" x14ac:dyDescent="0.25">
      <c r="A1742" s="12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</row>
    <row r="1743" spans="1:60" ht="15.75" x14ac:dyDescent="0.25">
      <c r="A1743" s="12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</row>
    <row r="1744" spans="1:60" ht="15.75" x14ac:dyDescent="0.25">
      <c r="A1744" s="12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</row>
    <row r="1745" spans="1:60" ht="15.75" x14ac:dyDescent="0.25">
      <c r="A1745" s="12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</row>
    <row r="1746" spans="1:60" ht="15.75" x14ac:dyDescent="0.25">
      <c r="A1746" s="12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</row>
    <row r="1747" spans="1:60" ht="15.75" x14ac:dyDescent="0.25">
      <c r="A1747" s="12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</row>
    <row r="1748" spans="1:60" ht="15.75" x14ac:dyDescent="0.25">
      <c r="A1748" s="12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</row>
    <row r="1749" spans="1:60" ht="15.75" x14ac:dyDescent="0.25">
      <c r="A1749" s="12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</row>
    <row r="1750" spans="1:60" ht="15.75" x14ac:dyDescent="0.25">
      <c r="A1750" s="12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</row>
    <row r="1751" spans="1:60" ht="15.75" x14ac:dyDescent="0.25">
      <c r="A1751" s="12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</row>
    <row r="1752" spans="1:60" ht="15.75" x14ac:dyDescent="0.25">
      <c r="A1752" s="12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</row>
    <row r="1753" spans="1:60" ht="15.75" x14ac:dyDescent="0.25">
      <c r="A1753" s="12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</row>
    <row r="1754" spans="1:60" ht="15.75" x14ac:dyDescent="0.25">
      <c r="A1754" s="12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</row>
    <row r="1755" spans="1:60" ht="15.75" x14ac:dyDescent="0.25">
      <c r="A1755" s="12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</row>
    <row r="1756" spans="1:60" ht="15.75" x14ac:dyDescent="0.25">
      <c r="A1756" s="12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</row>
    <row r="1757" spans="1:60" ht="15.75" x14ac:dyDescent="0.25">
      <c r="A1757" s="12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</row>
    <row r="1758" spans="1:60" ht="15.75" x14ac:dyDescent="0.25">
      <c r="A1758" s="12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</row>
    <row r="1759" spans="1:60" ht="15.75" x14ac:dyDescent="0.25">
      <c r="A1759" s="12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</row>
    <row r="1760" spans="1:60" ht="15.75" x14ac:dyDescent="0.25">
      <c r="A1760" s="12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</row>
    <row r="1761" spans="1:60" ht="15.75" x14ac:dyDescent="0.25">
      <c r="A1761" s="12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</row>
    <row r="1762" spans="1:60" ht="15.75" x14ac:dyDescent="0.25">
      <c r="A1762" s="12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</row>
    <row r="1763" spans="1:60" ht="15.75" x14ac:dyDescent="0.25">
      <c r="A1763" s="12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</row>
    <row r="1764" spans="1:60" ht="15.75" x14ac:dyDescent="0.25">
      <c r="A1764" s="12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</row>
    <row r="1765" spans="1:60" ht="15.75" x14ac:dyDescent="0.25">
      <c r="A1765" s="12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</row>
    <row r="1766" spans="1:60" ht="15.75" x14ac:dyDescent="0.25">
      <c r="A1766" s="12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</row>
    <row r="1767" spans="1:60" ht="15.75" x14ac:dyDescent="0.25">
      <c r="A1767" s="12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</row>
    <row r="1768" spans="1:60" ht="15.75" x14ac:dyDescent="0.25">
      <c r="A1768" s="12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</row>
    <row r="1769" spans="1:60" ht="15.75" x14ac:dyDescent="0.25">
      <c r="A1769" s="12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</row>
    <row r="1770" spans="1:60" ht="15.75" x14ac:dyDescent="0.25">
      <c r="A1770" s="12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</row>
    <row r="1771" spans="1:60" ht="15.75" x14ac:dyDescent="0.25">
      <c r="A1771" s="12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</row>
    <row r="1772" spans="1:60" ht="15.75" x14ac:dyDescent="0.25">
      <c r="A1772" s="12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</row>
    <row r="1773" spans="1:60" ht="15.75" x14ac:dyDescent="0.25">
      <c r="A1773" s="12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</row>
    <row r="1774" spans="1:60" ht="15.75" x14ac:dyDescent="0.25">
      <c r="A1774" s="12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</row>
    <row r="1775" spans="1:60" ht="15.75" x14ac:dyDescent="0.25">
      <c r="A1775" s="12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</row>
    <row r="1776" spans="1:60" ht="15.75" x14ac:dyDescent="0.25">
      <c r="A1776" s="12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</row>
    <row r="1777" spans="1:60" ht="15.75" x14ac:dyDescent="0.25">
      <c r="A1777" s="12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</row>
    <row r="1778" spans="1:60" ht="15.75" x14ac:dyDescent="0.25">
      <c r="A1778" s="12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</row>
    <row r="1779" spans="1:60" ht="15.75" x14ac:dyDescent="0.25">
      <c r="A1779" s="12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</row>
    <row r="1780" spans="1:60" ht="15.75" x14ac:dyDescent="0.25">
      <c r="A1780" s="12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</row>
    <row r="1781" spans="1:60" ht="15.75" x14ac:dyDescent="0.25">
      <c r="A1781" s="12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</row>
    <row r="1782" spans="1:60" ht="15.75" x14ac:dyDescent="0.25">
      <c r="A1782" s="12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</row>
    <row r="1783" spans="1:60" ht="15.75" x14ac:dyDescent="0.25">
      <c r="A1783" s="12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</row>
    <row r="1784" spans="1:60" ht="15.75" x14ac:dyDescent="0.25">
      <c r="A1784" s="12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</row>
    <row r="1785" spans="1:60" ht="15.75" x14ac:dyDescent="0.25">
      <c r="A1785" s="12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</row>
    <row r="1786" spans="1:60" ht="15.75" x14ac:dyDescent="0.25">
      <c r="A1786" s="12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</row>
    <row r="1787" spans="1:60" ht="15.75" x14ac:dyDescent="0.25">
      <c r="A1787" s="12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</row>
    <row r="1788" spans="1:60" ht="15.75" x14ac:dyDescent="0.25">
      <c r="A1788" s="12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</row>
    <row r="1789" spans="1:60" ht="15.75" x14ac:dyDescent="0.25">
      <c r="A1789" s="12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</row>
    <row r="1790" spans="1:60" ht="15.75" x14ac:dyDescent="0.25">
      <c r="A1790" s="12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</row>
    <row r="1791" spans="1:60" ht="15.75" x14ac:dyDescent="0.25">
      <c r="A1791" s="12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</row>
    <row r="1792" spans="1:60" ht="15.75" x14ac:dyDescent="0.25">
      <c r="A1792" s="12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</row>
    <row r="1793" spans="1:60" ht="15.75" x14ac:dyDescent="0.25">
      <c r="A1793" s="12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</row>
    <row r="1794" spans="1:60" ht="15.75" x14ac:dyDescent="0.25">
      <c r="A1794" s="12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</row>
    <row r="1795" spans="1:60" ht="15.75" x14ac:dyDescent="0.25">
      <c r="A1795" s="12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</row>
    <row r="1796" spans="1:60" ht="15.75" x14ac:dyDescent="0.25">
      <c r="A1796" s="12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</row>
    <row r="1797" spans="1:60" ht="15.75" x14ac:dyDescent="0.25">
      <c r="A1797" s="12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</row>
    <row r="1798" spans="1:60" ht="15.75" x14ac:dyDescent="0.25">
      <c r="A1798" s="12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</row>
    <row r="1799" spans="1:60" ht="15.75" x14ac:dyDescent="0.25">
      <c r="A1799" s="12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</row>
    <row r="1800" spans="1:60" ht="15.75" x14ac:dyDescent="0.25">
      <c r="A1800" s="12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</row>
    <row r="1801" spans="1:60" ht="15.75" x14ac:dyDescent="0.25">
      <c r="A1801" s="12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</row>
    <row r="1802" spans="1:60" ht="15.75" x14ac:dyDescent="0.25">
      <c r="A1802" s="12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</row>
    <row r="1803" spans="1:60" ht="15.75" x14ac:dyDescent="0.25">
      <c r="A1803" s="12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</row>
    <row r="1804" spans="1:60" ht="15.75" x14ac:dyDescent="0.25">
      <c r="A1804" s="12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</row>
    <row r="1805" spans="1:60" ht="15.75" x14ac:dyDescent="0.25">
      <c r="A1805" s="12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</row>
    <row r="1806" spans="1:60" ht="15.75" x14ac:dyDescent="0.25">
      <c r="A1806" s="12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</row>
    <row r="1807" spans="1:60" ht="15.75" x14ac:dyDescent="0.25">
      <c r="A1807" s="12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</row>
    <row r="1808" spans="1:60" ht="15.75" x14ac:dyDescent="0.25">
      <c r="A1808" s="12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</row>
    <row r="1809" spans="1:60" ht="15.75" x14ac:dyDescent="0.25">
      <c r="A1809" s="12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</row>
    <row r="1810" spans="1:60" ht="15.75" x14ac:dyDescent="0.25">
      <c r="A1810" s="12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</row>
    <row r="1811" spans="1:60" ht="15.75" x14ac:dyDescent="0.25">
      <c r="A1811" s="12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</row>
    <row r="1812" spans="1:60" ht="15.75" x14ac:dyDescent="0.25">
      <c r="A1812" s="12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</row>
    <row r="1813" spans="1:60" ht="15.75" x14ac:dyDescent="0.25">
      <c r="A1813" s="12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</row>
    <row r="1814" spans="1:60" ht="15.75" x14ac:dyDescent="0.25">
      <c r="A1814" s="12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</row>
    <row r="1815" spans="1:60" ht="15.75" x14ac:dyDescent="0.25">
      <c r="A1815" s="12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</row>
    <row r="1816" spans="1:60" ht="15.75" x14ac:dyDescent="0.25">
      <c r="A1816" s="12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</row>
    <row r="1817" spans="1:60" ht="15.75" x14ac:dyDescent="0.25">
      <c r="A1817" s="12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</row>
    <row r="1818" spans="1:60" ht="15.75" x14ac:dyDescent="0.25">
      <c r="A1818" s="12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</row>
    <row r="1819" spans="1:60" ht="15.75" x14ac:dyDescent="0.25">
      <c r="A1819" s="12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</row>
    <row r="1820" spans="1:60" ht="15.75" x14ac:dyDescent="0.25">
      <c r="A1820" s="12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</row>
    <row r="1821" spans="1:60" ht="15.75" x14ac:dyDescent="0.25">
      <c r="A1821" s="12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</row>
    <row r="1822" spans="1:60" ht="15.75" x14ac:dyDescent="0.25">
      <c r="A1822" s="12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</row>
    <row r="1823" spans="1:60" ht="15.75" x14ac:dyDescent="0.25">
      <c r="A1823" s="12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</row>
    <row r="1824" spans="1:60" ht="15.75" x14ac:dyDescent="0.25">
      <c r="A1824" s="12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</row>
    <row r="1825" spans="1:60" ht="15.75" x14ac:dyDescent="0.25">
      <c r="A1825" s="12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</row>
    <row r="1826" spans="1:60" ht="15.75" x14ac:dyDescent="0.25">
      <c r="A1826" s="12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</row>
    <row r="1827" spans="1:60" ht="15.75" x14ac:dyDescent="0.25">
      <c r="A1827" s="12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</row>
    <row r="1828" spans="1:60" ht="15.75" x14ac:dyDescent="0.25">
      <c r="A1828" s="12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</row>
    <row r="1829" spans="1:60" ht="15.75" x14ac:dyDescent="0.25">
      <c r="A1829" s="12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</row>
    <row r="1830" spans="1:60" ht="15.75" x14ac:dyDescent="0.25">
      <c r="A1830" s="12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</row>
    <row r="1831" spans="1:60" ht="15.75" x14ac:dyDescent="0.25">
      <c r="A1831" s="12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</row>
    <row r="1832" spans="1:60" ht="15.75" x14ac:dyDescent="0.25">
      <c r="A1832" s="12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</row>
    <row r="1833" spans="1:60" ht="15.75" x14ac:dyDescent="0.25">
      <c r="A1833" s="12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</row>
    <row r="1834" spans="1:60" ht="15.75" x14ac:dyDescent="0.25">
      <c r="A1834" s="12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</row>
    <row r="1835" spans="1:60" ht="15.75" x14ac:dyDescent="0.25">
      <c r="A1835" s="12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</row>
    <row r="1836" spans="1:60" ht="15.75" x14ac:dyDescent="0.25">
      <c r="A1836" s="12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</row>
    <row r="1837" spans="1:60" ht="15.75" x14ac:dyDescent="0.25">
      <c r="A1837" s="12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</row>
    <row r="1838" spans="1:60" ht="15.75" x14ac:dyDescent="0.25">
      <c r="A1838" s="12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</row>
    <row r="1839" spans="1:60" ht="15.75" x14ac:dyDescent="0.25">
      <c r="A1839" s="12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11"/>
      <c r="BF1839" s="11"/>
      <c r="BG1839" s="11"/>
      <c r="BH1839" s="11"/>
    </row>
    <row r="1840" spans="1:60" ht="15.75" x14ac:dyDescent="0.25">
      <c r="A1840" s="12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11"/>
      <c r="BF1840" s="11"/>
      <c r="BG1840" s="11"/>
      <c r="BH1840" s="11"/>
    </row>
    <row r="1841" spans="1:60" ht="15.75" x14ac:dyDescent="0.25">
      <c r="A1841" s="12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11"/>
      <c r="BF1841" s="11"/>
      <c r="BG1841" s="11"/>
      <c r="BH1841" s="11"/>
    </row>
    <row r="1842" spans="1:60" ht="15.75" x14ac:dyDescent="0.25">
      <c r="A1842" s="12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</row>
    <row r="1843" spans="1:60" ht="15.75" x14ac:dyDescent="0.25">
      <c r="A1843" s="12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</row>
    <row r="1844" spans="1:60" ht="15.75" x14ac:dyDescent="0.25">
      <c r="A1844" s="12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</row>
    <row r="1845" spans="1:60" ht="15.75" x14ac:dyDescent="0.25">
      <c r="A1845" s="12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</row>
    <row r="1846" spans="1:60" ht="15.75" x14ac:dyDescent="0.25">
      <c r="A1846" s="12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</row>
    <row r="1847" spans="1:60" ht="15.75" x14ac:dyDescent="0.25">
      <c r="A1847" s="12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</row>
    <row r="1848" spans="1:60" ht="15.75" x14ac:dyDescent="0.25">
      <c r="A1848" s="12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</row>
    <row r="1849" spans="1:60" ht="15.75" x14ac:dyDescent="0.25">
      <c r="A1849" s="12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</row>
    <row r="1850" spans="1:60" ht="15.75" x14ac:dyDescent="0.25">
      <c r="A1850" s="12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</row>
    <row r="1851" spans="1:60" ht="15.75" x14ac:dyDescent="0.25">
      <c r="A1851" s="12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</row>
    <row r="1852" spans="1:60" ht="15.75" x14ac:dyDescent="0.25">
      <c r="A1852" s="12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</row>
    <row r="1853" spans="1:60" ht="15.75" x14ac:dyDescent="0.25">
      <c r="A1853" s="12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</row>
    <row r="1854" spans="1:60" ht="15.75" x14ac:dyDescent="0.25">
      <c r="A1854" s="12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</row>
    <row r="1855" spans="1:60" ht="15.75" x14ac:dyDescent="0.25">
      <c r="A1855" s="12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</row>
    <row r="1856" spans="1:60" ht="15.75" x14ac:dyDescent="0.25">
      <c r="A1856" s="12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</row>
    <row r="1857" spans="1:60" ht="15.75" x14ac:dyDescent="0.25">
      <c r="A1857" s="12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</row>
    <row r="1858" spans="1:60" ht="15.75" x14ac:dyDescent="0.25">
      <c r="A1858" s="12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</row>
    <row r="1859" spans="1:60" ht="15.75" x14ac:dyDescent="0.25">
      <c r="A1859" s="12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</row>
    <row r="1860" spans="1:60" ht="15.75" x14ac:dyDescent="0.25">
      <c r="A1860" s="12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</row>
    <row r="1861" spans="1:60" ht="15.75" x14ac:dyDescent="0.25">
      <c r="A1861" s="12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</row>
    <row r="1862" spans="1:60" ht="15.75" x14ac:dyDescent="0.25">
      <c r="A1862" s="12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</row>
    <row r="1863" spans="1:60" ht="15.75" x14ac:dyDescent="0.25">
      <c r="A1863" s="12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</row>
    <row r="1864" spans="1:60" ht="15.75" x14ac:dyDescent="0.25">
      <c r="A1864" s="12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</row>
    <row r="1865" spans="1:60" ht="15.75" x14ac:dyDescent="0.25">
      <c r="A1865" s="12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</row>
    <row r="1866" spans="1:60" ht="15.75" x14ac:dyDescent="0.25">
      <c r="A1866" s="12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</row>
    <row r="1867" spans="1:60" ht="15.75" x14ac:dyDescent="0.25">
      <c r="A1867" s="12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</row>
    <row r="1868" spans="1:60" ht="15.75" x14ac:dyDescent="0.25">
      <c r="A1868" s="12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</row>
    <row r="1869" spans="1:60" ht="15.75" x14ac:dyDescent="0.25">
      <c r="A1869" s="12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</row>
    <row r="1870" spans="1:60" ht="15.75" x14ac:dyDescent="0.25">
      <c r="A1870" s="12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</row>
    <row r="1871" spans="1:60" ht="15.75" x14ac:dyDescent="0.25">
      <c r="A1871" s="12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</row>
    <row r="1872" spans="1:60" ht="15.75" x14ac:dyDescent="0.25">
      <c r="A1872" s="12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</row>
    <row r="1873" spans="1:60" ht="15.75" x14ac:dyDescent="0.25">
      <c r="A1873" s="12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</row>
    <row r="1874" spans="1:60" ht="15.75" x14ac:dyDescent="0.25">
      <c r="A1874" s="12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</row>
    <row r="1875" spans="1:60" ht="15.75" x14ac:dyDescent="0.25">
      <c r="A1875" s="12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</row>
    <row r="1876" spans="1:60" ht="15.75" x14ac:dyDescent="0.25">
      <c r="A1876" s="12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</row>
    <row r="1877" spans="1:60" ht="15.75" x14ac:dyDescent="0.25">
      <c r="A1877" s="12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</row>
    <row r="1878" spans="1:60" ht="15.75" x14ac:dyDescent="0.25">
      <c r="A1878" s="12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</row>
    <row r="1879" spans="1:60" ht="15.75" x14ac:dyDescent="0.25">
      <c r="A1879" s="12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</row>
    <row r="1880" spans="1:60" ht="15.75" x14ac:dyDescent="0.25">
      <c r="A1880" s="12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</row>
    <row r="1881" spans="1:60" ht="15.75" x14ac:dyDescent="0.25">
      <c r="A1881" s="12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</row>
    <row r="1882" spans="1:60" ht="15.75" x14ac:dyDescent="0.25">
      <c r="A1882" s="12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</row>
    <row r="1883" spans="1:60" ht="15.75" x14ac:dyDescent="0.25">
      <c r="A1883" s="12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</row>
    <row r="1884" spans="1:60" ht="15.75" x14ac:dyDescent="0.25">
      <c r="A1884" s="12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</row>
    <row r="1885" spans="1:60" ht="15.75" x14ac:dyDescent="0.25">
      <c r="A1885" s="12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</row>
    <row r="1886" spans="1:60" ht="15.75" x14ac:dyDescent="0.25">
      <c r="A1886" s="12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</row>
    <row r="1887" spans="1:60" ht="15.75" x14ac:dyDescent="0.25">
      <c r="A1887" s="12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</row>
    <row r="1888" spans="1:60" ht="15.75" x14ac:dyDescent="0.25">
      <c r="A1888" s="12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</row>
    <row r="1889" spans="1:60" ht="15.75" x14ac:dyDescent="0.25">
      <c r="A1889" s="12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</row>
    <row r="1890" spans="1:60" ht="15.75" x14ac:dyDescent="0.25">
      <c r="A1890" s="12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</row>
    <row r="1891" spans="1:60" ht="15.75" x14ac:dyDescent="0.25">
      <c r="A1891" s="12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</row>
    <row r="1892" spans="1:60" ht="15.75" x14ac:dyDescent="0.25">
      <c r="A1892" s="12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</row>
    <row r="1893" spans="1:60" ht="15.75" x14ac:dyDescent="0.25">
      <c r="A1893" s="12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</row>
    <row r="1894" spans="1:60" ht="15.75" x14ac:dyDescent="0.25">
      <c r="A1894" s="12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</row>
    <row r="1895" spans="1:60" ht="15.75" x14ac:dyDescent="0.25">
      <c r="A1895" s="12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</row>
    <row r="1896" spans="1:60" ht="15.75" x14ac:dyDescent="0.25">
      <c r="A1896" s="12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</row>
    <row r="1897" spans="1:60" ht="15.75" x14ac:dyDescent="0.25">
      <c r="A1897" s="12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</row>
    <row r="1898" spans="1:60" ht="15.75" x14ac:dyDescent="0.25">
      <c r="A1898" s="12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</row>
    <row r="1899" spans="1:60" ht="15.75" x14ac:dyDescent="0.25">
      <c r="A1899" s="12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</row>
    <row r="1900" spans="1:60" ht="15.75" x14ac:dyDescent="0.25">
      <c r="A1900" s="12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</row>
    <row r="1901" spans="1:60" ht="15.75" x14ac:dyDescent="0.25">
      <c r="A1901" s="12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</row>
    <row r="1902" spans="1:60" ht="15.75" x14ac:dyDescent="0.25">
      <c r="A1902" s="12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</row>
    <row r="1903" spans="1:60" ht="15.75" x14ac:dyDescent="0.25">
      <c r="A1903" s="12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</row>
    <row r="1904" spans="1:60" ht="15.75" x14ac:dyDescent="0.25">
      <c r="A1904" s="12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</row>
    <row r="1905" spans="1:60" ht="15.75" x14ac:dyDescent="0.25">
      <c r="A1905" s="12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</row>
    <row r="1906" spans="1:60" ht="15.75" x14ac:dyDescent="0.25">
      <c r="A1906" s="12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</row>
    <row r="1907" spans="1:60" ht="15.75" x14ac:dyDescent="0.25">
      <c r="A1907" s="12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</row>
    <row r="1908" spans="1:60" ht="15.75" x14ac:dyDescent="0.25">
      <c r="A1908" s="12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</row>
    <row r="1909" spans="1:60" ht="15.75" x14ac:dyDescent="0.25">
      <c r="A1909" s="12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</row>
    <row r="1910" spans="1:60" ht="15.75" x14ac:dyDescent="0.25">
      <c r="A1910" s="12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</row>
    <row r="1911" spans="1:60" ht="15.75" x14ac:dyDescent="0.25">
      <c r="A1911" s="12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</row>
    <row r="1912" spans="1:60" ht="15.75" x14ac:dyDescent="0.25">
      <c r="A1912" s="12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</row>
    <row r="1913" spans="1:60" ht="15.75" x14ac:dyDescent="0.25">
      <c r="A1913" s="12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11"/>
      <c r="BF1913" s="11"/>
      <c r="BG1913" s="11"/>
      <c r="BH1913" s="11"/>
    </row>
    <row r="1914" spans="1:60" ht="15.75" x14ac:dyDescent="0.25">
      <c r="A1914" s="12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</row>
    <row r="1915" spans="1:60" ht="15.75" x14ac:dyDescent="0.25">
      <c r="A1915" s="12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</row>
    <row r="1916" spans="1:60" ht="15.75" x14ac:dyDescent="0.25">
      <c r="A1916" s="12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</row>
    <row r="1917" spans="1:60" ht="15.75" x14ac:dyDescent="0.25">
      <c r="A1917" s="12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</row>
    <row r="1918" spans="1:60" ht="15.75" x14ac:dyDescent="0.25">
      <c r="A1918" s="12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</row>
    <row r="1919" spans="1:60" ht="15.75" x14ac:dyDescent="0.25">
      <c r="A1919" s="12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</row>
    <row r="1920" spans="1:60" ht="15.75" x14ac:dyDescent="0.25">
      <c r="A1920" s="12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11"/>
      <c r="BF1920" s="11"/>
      <c r="BG1920" s="11"/>
      <c r="BH1920" s="11"/>
    </row>
    <row r="1921" spans="1:60" ht="15.75" x14ac:dyDescent="0.25">
      <c r="A1921" s="12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</row>
    <row r="1922" spans="1:60" ht="15.75" x14ac:dyDescent="0.25">
      <c r="A1922" s="12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</row>
    <row r="1923" spans="1:60" ht="15.75" x14ac:dyDescent="0.25">
      <c r="A1923" s="12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</row>
    <row r="1924" spans="1:60" ht="15.75" x14ac:dyDescent="0.25">
      <c r="A1924" s="12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</row>
    <row r="1925" spans="1:60" ht="15.75" x14ac:dyDescent="0.25">
      <c r="A1925" s="12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</row>
    <row r="1926" spans="1:60" ht="15.75" x14ac:dyDescent="0.25">
      <c r="A1926" s="12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</row>
    <row r="1927" spans="1:60" ht="15.75" x14ac:dyDescent="0.25">
      <c r="A1927" s="12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</row>
    <row r="1928" spans="1:60" ht="15.75" x14ac:dyDescent="0.25">
      <c r="A1928" s="12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</row>
    <row r="1929" spans="1:60" ht="15.75" x14ac:dyDescent="0.25">
      <c r="A1929" s="12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</row>
    <row r="1930" spans="1:60" ht="15.75" x14ac:dyDescent="0.25">
      <c r="A1930" s="12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</row>
    <row r="1931" spans="1:60" ht="15.75" x14ac:dyDescent="0.25">
      <c r="A1931" s="12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</row>
    <row r="1932" spans="1:60" ht="15.75" x14ac:dyDescent="0.25">
      <c r="A1932" s="12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11"/>
      <c r="BF1932" s="11"/>
      <c r="BG1932" s="11"/>
      <c r="BH1932" s="11"/>
    </row>
    <row r="1933" spans="1:60" ht="15.75" x14ac:dyDescent="0.25">
      <c r="A1933" s="12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</row>
    <row r="1934" spans="1:60" ht="15.75" x14ac:dyDescent="0.25">
      <c r="A1934" s="12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</row>
    <row r="1935" spans="1:60" ht="15.75" x14ac:dyDescent="0.25">
      <c r="A1935" s="12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</row>
    <row r="1936" spans="1:60" ht="15.75" x14ac:dyDescent="0.25">
      <c r="A1936" s="12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</row>
    <row r="1937" spans="1:60" ht="15.75" x14ac:dyDescent="0.25">
      <c r="A1937" s="12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</row>
    <row r="1938" spans="1:60" ht="15.75" x14ac:dyDescent="0.25">
      <c r="A1938" s="12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</row>
    <row r="1939" spans="1:60" ht="15.75" x14ac:dyDescent="0.25">
      <c r="A1939" s="12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</row>
    <row r="1940" spans="1:60" ht="15.75" x14ac:dyDescent="0.25">
      <c r="A1940" s="12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</row>
    <row r="1941" spans="1:60" ht="15.75" x14ac:dyDescent="0.25">
      <c r="A1941" s="12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11"/>
      <c r="BF1941" s="11"/>
      <c r="BG1941" s="11"/>
      <c r="BH1941" s="11"/>
    </row>
    <row r="1942" spans="1:60" ht="15.75" x14ac:dyDescent="0.25">
      <c r="A1942" s="12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</row>
    <row r="1943" spans="1:60" ht="15.75" x14ac:dyDescent="0.25">
      <c r="A1943" s="12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11"/>
      <c r="BF1943" s="11"/>
      <c r="BG1943" s="11"/>
      <c r="BH1943" s="11"/>
    </row>
    <row r="1944" spans="1:60" ht="15.75" x14ac:dyDescent="0.25">
      <c r="A1944" s="12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</row>
    <row r="1945" spans="1:60" ht="15.75" x14ac:dyDescent="0.25">
      <c r="A1945" s="12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11"/>
      <c r="BF1945" s="11"/>
      <c r="BG1945" s="11"/>
      <c r="BH1945" s="11"/>
    </row>
    <row r="1946" spans="1:60" ht="15.75" x14ac:dyDescent="0.25">
      <c r="A1946" s="12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</row>
    <row r="1947" spans="1:60" ht="15.75" x14ac:dyDescent="0.25">
      <c r="A1947" s="12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11"/>
      <c r="BF1947" s="11"/>
      <c r="BG1947" s="11"/>
      <c r="BH1947" s="11"/>
    </row>
    <row r="1948" spans="1:60" ht="15.75" x14ac:dyDescent="0.25">
      <c r="A1948" s="12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</row>
    <row r="1949" spans="1:60" ht="15.75" x14ac:dyDescent="0.25">
      <c r="A1949" s="12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11"/>
      <c r="BF1949" s="11"/>
      <c r="BG1949" s="11"/>
      <c r="BH1949" s="11"/>
    </row>
    <row r="1950" spans="1:60" ht="15.75" x14ac:dyDescent="0.25">
      <c r="A1950" s="12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</row>
    <row r="1951" spans="1:60" ht="15.75" x14ac:dyDescent="0.25">
      <c r="A1951" s="12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11"/>
      <c r="BF1951" s="11"/>
      <c r="BG1951" s="11"/>
      <c r="BH1951" s="11"/>
    </row>
    <row r="1952" spans="1:60" ht="15.75" x14ac:dyDescent="0.25">
      <c r="A1952" s="12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</row>
    <row r="1953" spans="1:60" ht="15.75" x14ac:dyDescent="0.25">
      <c r="A1953" s="12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11"/>
      <c r="BF1953" s="11"/>
      <c r="BG1953" s="11"/>
      <c r="BH1953" s="11"/>
    </row>
    <row r="1954" spans="1:60" ht="15.75" x14ac:dyDescent="0.25">
      <c r="A1954" s="12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11"/>
      <c r="BF1954" s="11"/>
      <c r="BG1954" s="11"/>
      <c r="BH1954" s="11"/>
    </row>
    <row r="1955" spans="1:60" ht="15.75" x14ac:dyDescent="0.25">
      <c r="A1955" s="12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11"/>
      <c r="BF1955" s="11"/>
      <c r="BG1955" s="11"/>
      <c r="BH1955" s="11"/>
    </row>
    <row r="1956" spans="1:60" ht="15.75" x14ac:dyDescent="0.25">
      <c r="A1956" s="12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11"/>
      <c r="BF1956" s="11"/>
      <c r="BG1956" s="11"/>
      <c r="BH1956" s="11"/>
    </row>
    <row r="1957" spans="1:60" ht="15.75" x14ac:dyDescent="0.25">
      <c r="A1957" s="12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11"/>
      <c r="BF1957" s="11"/>
      <c r="BG1957" s="11"/>
      <c r="BH1957" s="11"/>
    </row>
    <row r="1958" spans="1:60" ht="15.75" x14ac:dyDescent="0.25">
      <c r="A1958" s="12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</row>
    <row r="1959" spans="1:60" ht="15.75" x14ac:dyDescent="0.25">
      <c r="A1959" s="12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11"/>
      <c r="BF1959" s="11"/>
      <c r="BG1959" s="11"/>
      <c r="BH1959" s="11"/>
    </row>
    <row r="1960" spans="1:60" ht="15.75" x14ac:dyDescent="0.25">
      <c r="A1960" s="12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</row>
    <row r="1961" spans="1:60" ht="15.75" x14ac:dyDescent="0.25">
      <c r="A1961" s="12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11"/>
      <c r="BF1961" s="11"/>
      <c r="BG1961" s="11"/>
      <c r="BH1961" s="11"/>
    </row>
    <row r="1962" spans="1:60" ht="15.75" x14ac:dyDescent="0.25">
      <c r="A1962" s="12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</row>
    <row r="1963" spans="1:60" ht="15.75" x14ac:dyDescent="0.25">
      <c r="A1963" s="12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11"/>
      <c r="BF1963" s="11"/>
      <c r="BG1963" s="11"/>
      <c r="BH1963" s="11"/>
    </row>
    <row r="1964" spans="1:60" ht="15.75" x14ac:dyDescent="0.25">
      <c r="A1964" s="12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</row>
    <row r="1965" spans="1:60" ht="15.75" x14ac:dyDescent="0.25">
      <c r="A1965" s="12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</row>
    <row r="1966" spans="1:60" ht="15.75" x14ac:dyDescent="0.25">
      <c r="A1966" s="12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</row>
    <row r="1967" spans="1:60" ht="15.75" x14ac:dyDescent="0.25">
      <c r="A1967" s="12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</row>
    <row r="1968" spans="1:60" ht="15.75" x14ac:dyDescent="0.25">
      <c r="A1968" s="12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</row>
    <row r="1969" spans="1:60" ht="15.75" x14ac:dyDescent="0.25">
      <c r="A1969" s="12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11"/>
      <c r="BF1969" s="11"/>
      <c r="BG1969" s="11"/>
      <c r="BH1969" s="11"/>
    </row>
    <row r="1970" spans="1:60" ht="15.75" x14ac:dyDescent="0.25">
      <c r="A1970" s="12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</row>
    <row r="1971" spans="1:60" ht="15.75" x14ac:dyDescent="0.25">
      <c r="A1971" s="12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11"/>
      <c r="BF1971" s="11"/>
      <c r="BG1971" s="11"/>
      <c r="BH1971" s="11"/>
    </row>
    <row r="1972" spans="1:60" ht="15.75" x14ac:dyDescent="0.25">
      <c r="A1972" s="12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</row>
    <row r="1973" spans="1:60" ht="15.75" x14ac:dyDescent="0.25">
      <c r="A1973" s="12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11"/>
      <c r="BF1973" s="11"/>
      <c r="BG1973" s="11"/>
      <c r="BH1973" s="11"/>
    </row>
    <row r="1974" spans="1:60" ht="15.75" x14ac:dyDescent="0.25">
      <c r="A1974" s="12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</row>
    <row r="1975" spans="1:60" ht="15.75" x14ac:dyDescent="0.25">
      <c r="A1975" s="12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11"/>
      <c r="BF1975" s="11"/>
      <c r="BG1975" s="11"/>
      <c r="BH1975" s="11"/>
    </row>
    <row r="1976" spans="1:60" ht="15.75" x14ac:dyDescent="0.25">
      <c r="A1976" s="12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</row>
    <row r="1977" spans="1:60" ht="15.75" x14ac:dyDescent="0.25">
      <c r="A1977" s="12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</row>
    <row r="1978" spans="1:60" ht="15.75" x14ac:dyDescent="0.25">
      <c r="A1978" s="12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</row>
    <row r="1979" spans="1:60" ht="15.75" x14ac:dyDescent="0.25">
      <c r="A1979" s="12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11"/>
      <c r="BF1979" s="11"/>
      <c r="BG1979" s="11"/>
      <c r="BH1979" s="11"/>
    </row>
    <row r="1980" spans="1:60" ht="15.75" x14ac:dyDescent="0.25">
      <c r="A1980" s="12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</row>
    <row r="1981" spans="1:60" ht="15.75" x14ac:dyDescent="0.25">
      <c r="A1981" s="12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11"/>
      <c r="BF1981" s="11"/>
      <c r="BG1981" s="11"/>
      <c r="BH1981" s="11"/>
    </row>
    <row r="1982" spans="1:60" ht="15.75" x14ac:dyDescent="0.25">
      <c r="A1982" s="12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</row>
    <row r="1983" spans="1:60" ht="15.75" x14ac:dyDescent="0.25">
      <c r="A1983" s="12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11"/>
      <c r="BF1983" s="11"/>
      <c r="BG1983" s="11"/>
      <c r="BH1983" s="11"/>
    </row>
    <row r="1984" spans="1:60" ht="15.75" x14ac:dyDescent="0.25">
      <c r="A1984" s="12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</row>
    <row r="1985" spans="1:60" ht="15.75" x14ac:dyDescent="0.25">
      <c r="A1985" s="12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</row>
    <row r="1986" spans="1:60" ht="15.75" x14ac:dyDescent="0.25">
      <c r="A1986" s="12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</row>
    <row r="1987" spans="1:60" ht="15.75" x14ac:dyDescent="0.25">
      <c r="A1987" s="12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</row>
    <row r="1988" spans="1:60" ht="15.75" x14ac:dyDescent="0.25">
      <c r="A1988" s="12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11"/>
      <c r="BF1988" s="11"/>
      <c r="BG1988" s="11"/>
      <c r="BH1988" s="11"/>
    </row>
    <row r="1989" spans="1:60" ht="15.75" x14ac:dyDescent="0.25">
      <c r="A1989" s="12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11"/>
      <c r="BF1989" s="11"/>
      <c r="BG1989" s="11"/>
      <c r="BH1989" s="11"/>
    </row>
    <row r="1990" spans="1:60" ht="15.75" x14ac:dyDescent="0.25">
      <c r="A1990" s="12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</row>
    <row r="1991" spans="1:60" ht="15.75" x14ac:dyDescent="0.25">
      <c r="A1991" s="12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11"/>
      <c r="BF1991" s="11"/>
      <c r="BG1991" s="11"/>
      <c r="BH1991" s="11"/>
    </row>
    <row r="1992" spans="1:60" ht="15.75" x14ac:dyDescent="0.25">
      <c r="A1992" s="12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</row>
    <row r="1993" spans="1:60" ht="15.75" x14ac:dyDescent="0.25">
      <c r="A1993" s="12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11"/>
      <c r="BF1993" s="11"/>
      <c r="BG1993" s="11"/>
      <c r="BH1993" s="11"/>
    </row>
    <row r="1994" spans="1:60" ht="15.75" x14ac:dyDescent="0.25">
      <c r="A1994" s="12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</row>
    <row r="1995" spans="1:60" ht="15.75" x14ac:dyDescent="0.25">
      <c r="A1995" s="12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11"/>
      <c r="BF1995" s="11"/>
      <c r="BG1995" s="11"/>
      <c r="BH1995" s="11"/>
    </row>
    <row r="1996" spans="1:60" ht="15.75" x14ac:dyDescent="0.25">
      <c r="A1996" s="12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</row>
    <row r="1997" spans="1:60" ht="15.75" x14ac:dyDescent="0.25">
      <c r="A1997" s="12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11"/>
      <c r="BF1997" s="11"/>
      <c r="BG1997" s="11"/>
      <c r="BH1997" s="11"/>
    </row>
    <row r="1998" spans="1:60" ht="15.75" x14ac:dyDescent="0.25">
      <c r="A1998" s="12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</row>
    <row r="1999" spans="1:60" ht="15.75" x14ac:dyDescent="0.25">
      <c r="A1999" s="12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11"/>
      <c r="BF1999" s="11"/>
      <c r="BG1999" s="11"/>
      <c r="BH1999" s="11"/>
    </row>
    <row r="2000" spans="1:60" ht="15.75" x14ac:dyDescent="0.25">
      <c r="A2000" s="12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5827-962C-4349-BA38-8E8DF790A381}">
  <dimension ref="A1:BH2000"/>
  <sheetViews>
    <sheetView workbookViewId="0">
      <pane xSplit="1" ySplit="8" topLeftCell="B443" activePane="bottomRight" state="frozen"/>
      <selection pane="topRight" activeCell="B1" sqref="B1"/>
      <selection pane="bottomLeft" activeCell="A9" sqref="A9"/>
      <selection pane="bottomRight" activeCell="D459" sqref="D459"/>
    </sheetView>
  </sheetViews>
  <sheetFormatPr defaultColWidth="11.5703125" defaultRowHeight="15" x14ac:dyDescent="0.25"/>
  <cols>
    <col min="1" max="1" width="27.7109375" customWidth="1"/>
    <col min="2" max="11" width="16.7109375" customWidth="1"/>
  </cols>
  <sheetData>
    <row r="1" spans="1:60" ht="18" x14ac:dyDescent="0.25">
      <c r="A1" s="10" t="s">
        <v>919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 spans="1:60" ht="15.75" x14ac:dyDescent="0.25">
      <c r="A2" s="12" t="s">
        <v>432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</row>
    <row r="3" spans="1:60" ht="15.75" x14ac:dyDescent="0.25">
      <c r="A3" s="12" t="s">
        <v>1011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</row>
    <row r="4" spans="1:60" ht="15.75" x14ac:dyDescent="0.25">
      <c r="A4" s="12" t="s">
        <v>434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spans="1:60" ht="16.5" thickBot="1" x14ac:dyDescent="0.3">
      <c r="A5" s="13" t="s">
        <v>920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spans="1:60" ht="60.75" x14ac:dyDescent="0.25">
      <c r="A6" s="14" t="s">
        <v>436</v>
      </c>
      <c r="B6" s="14" t="s">
        <v>437</v>
      </c>
      <c r="C6" s="14" t="s">
        <v>438</v>
      </c>
      <c r="D6" s="14" t="s">
        <v>439</v>
      </c>
      <c r="E6" s="14" t="s">
        <v>440</v>
      </c>
      <c r="F6" s="14" t="s">
        <v>441</v>
      </c>
      <c r="G6" s="14" t="s">
        <v>442</v>
      </c>
      <c r="H6" s="14" t="s">
        <v>443</v>
      </c>
      <c r="I6" s="14" t="s">
        <v>444</v>
      </c>
      <c r="J6" s="14" t="s">
        <v>445</v>
      </c>
      <c r="K6" s="14" t="s">
        <v>446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spans="1:60" ht="15.75" x14ac:dyDescent="0.25">
      <c r="A7" s="12" t="s">
        <v>447</v>
      </c>
      <c r="B7" s="11" t="s">
        <v>448</v>
      </c>
      <c r="C7" s="11" t="s">
        <v>449</v>
      </c>
      <c r="D7" s="11" t="s">
        <v>450</v>
      </c>
      <c r="E7" s="11" t="s">
        <v>451</v>
      </c>
      <c r="F7" s="11" t="s">
        <v>452</v>
      </c>
      <c r="G7" s="11" t="s">
        <v>453</v>
      </c>
      <c r="H7" s="11" t="s">
        <v>454</v>
      </c>
      <c r="I7" s="11" t="s">
        <v>455</v>
      </c>
      <c r="J7" s="11" t="s">
        <v>456</v>
      </c>
      <c r="K7" s="11" t="s">
        <v>457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</row>
    <row r="8" spans="1:60" ht="16.5" thickBot="1" x14ac:dyDescent="0.3">
      <c r="A8" s="15" t="s">
        <v>458</v>
      </c>
      <c r="B8" s="13" t="s">
        <v>921</v>
      </c>
      <c r="C8" s="13" t="s">
        <v>922</v>
      </c>
      <c r="D8" s="13" t="s">
        <v>923</v>
      </c>
      <c r="E8" s="13" t="s">
        <v>924</v>
      </c>
      <c r="F8" s="13" t="s">
        <v>925</v>
      </c>
      <c r="G8" s="13" t="s">
        <v>926</v>
      </c>
      <c r="H8" s="13" t="s">
        <v>927</v>
      </c>
      <c r="I8" s="13" t="s">
        <v>928</v>
      </c>
      <c r="J8" s="13" t="s">
        <v>929</v>
      </c>
      <c r="K8" s="13" t="s">
        <v>930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spans="1:60" ht="15.75" x14ac:dyDescent="0.25">
      <c r="A9" s="12" t="s">
        <v>469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</row>
    <row r="10" spans="1:60" ht="15.75" x14ac:dyDescent="0.25">
      <c r="A10" s="12" t="s">
        <v>470</v>
      </c>
      <c r="B10" s="11"/>
      <c r="C10" s="11">
        <v>-2.2000000000000002</v>
      </c>
      <c r="D10" s="11">
        <v>-0.2</v>
      </c>
      <c r="E10" s="11">
        <v>-3.2</v>
      </c>
      <c r="F10" s="11">
        <v>-0.8</v>
      </c>
      <c r="G10" s="11">
        <v>-3.9</v>
      </c>
      <c r="H10" s="11">
        <v>-4</v>
      </c>
      <c r="I10" s="11">
        <v>-3</v>
      </c>
      <c r="J10" s="11">
        <v>-4.9000000000000004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spans="1:60" ht="15.75" x14ac:dyDescent="0.25">
      <c r="A11" s="12" t="s">
        <v>471</v>
      </c>
      <c r="B11" s="11"/>
      <c r="C11" s="11">
        <v>0.4</v>
      </c>
      <c r="D11" s="11">
        <v>0</v>
      </c>
      <c r="E11" s="11">
        <v>0.2</v>
      </c>
      <c r="F11" s="11">
        <v>0.5</v>
      </c>
      <c r="G11" s="11">
        <v>-1.7</v>
      </c>
      <c r="H11" s="11">
        <v>1.7</v>
      </c>
      <c r="I11" s="11">
        <v>0.4</v>
      </c>
      <c r="J11" s="11">
        <v>3.7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</row>
    <row r="12" spans="1:60" ht="15.75" x14ac:dyDescent="0.25">
      <c r="A12" s="12" t="s">
        <v>472</v>
      </c>
      <c r="B12" s="11"/>
      <c r="C12" s="11">
        <v>1.4</v>
      </c>
      <c r="D12" s="11">
        <v>0.7</v>
      </c>
      <c r="E12" s="11">
        <v>1.8</v>
      </c>
      <c r="F12" s="11">
        <v>0.5</v>
      </c>
      <c r="G12" s="11">
        <v>1.7</v>
      </c>
      <c r="H12" s="11">
        <v>2.2000000000000002</v>
      </c>
      <c r="I12" s="11">
        <v>2.2000000000000002</v>
      </c>
      <c r="J12" s="11">
        <v>2.2000000000000002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spans="1:60" ht="15.75" x14ac:dyDescent="0.25">
      <c r="A13" s="12" t="s">
        <v>473</v>
      </c>
      <c r="B13" s="11"/>
      <c r="C13" s="11">
        <v>-0.3</v>
      </c>
      <c r="D13" s="11">
        <v>-0.8</v>
      </c>
      <c r="E13" s="11">
        <v>0</v>
      </c>
      <c r="F13" s="11">
        <v>1.1000000000000001</v>
      </c>
      <c r="G13" s="11">
        <v>-0.1</v>
      </c>
      <c r="H13" s="11">
        <v>-0.3</v>
      </c>
      <c r="I13" s="11">
        <v>-0.1</v>
      </c>
      <c r="J13" s="11">
        <v>0.3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spans="1:60" ht="15.75" x14ac:dyDescent="0.25">
      <c r="A14" s="12" t="s">
        <v>474</v>
      </c>
      <c r="B14" s="11"/>
      <c r="C14" s="11">
        <v>1.1000000000000001</v>
      </c>
      <c r="D14" s="11">
        <v>0.3</v>
      </c>
      <c r="E14" s="11">
        <v>1.7</v>
      </c>
      <c r="F14" s="11">
        <v>0.5</v>
      </c>
      <c r="G14" s="11">
        <v>2.7</v>
      </c>
      <c r="H14" s="11">
        <v>1.3</v>
      </c>
      <c r="I14" s="11">
        <v>2.1</v>
      </c>
      <c r="J14" s="11">
        <v>0.7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spans="1:60" ht="15.75" x14ac:dyDescent="0.25">
      <c r="A15" s="12" t="s">
        <v>475</v>
      </c>
      <c r="B15" s="11"/>
      <c r="C15" s="11">
        <v>1.3</v>
      </c>
      <c r="D15" s="11">
        <v>-0.4</v>
      </c>
      <c r="E15" s="11">
        <v>2.5</v>
      </c>
      <c r="F15" s="11">
        <v>-0.3</v>
      </c>
      <c r="G15" s="11">
        <v>0.3</v>
      </c>
      <c r="H15" s="11">
        <v>7.1</v>
      </c>
      <c r="I15" s="11">
        <v>1.9</v>
      </c>
      <c r="J15" s="11">
        <v>1.2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60" ht="15.75" x14ac:dyDescent="0.25">
      <c r="A16" s="12" t="s">
        <v>476</v>
      </c>
      <c r="B16" s="11"/>
      <c r="C16" s="11">
        <v>0</v>
      </c>
      <c r="D16" s="11">
        <v>1</v>
      </c>
      <c r="E16" s="11">
        <v>-0.5</v>
      </c>
      <c r="F16" s="11">
        <v>0.5</v>
      </c>
      <c r="G16" s="11">
        <v>0.4</v>
      </c>
      <c r="H16" s="11">
        <v>-2.9</v>
      </c>
      <c r="I16" s="11">
        <v>0.5</v>
      </c>
      <c r="J16" s="11">
        <v>-0.7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0" ht="15.75" x14ac:dyDescent="0.25">
      <c r="A17" s="12" t="s">
        <v>477</v>
      </c>
      <c r="B17" s="11"/>
      <c r="C17" s="11">
        <v>-0.6</v>
      </c>
      <c r="D17" s="11">
        <v>-0.4</v>
      </c>
      <c r="E17" s="11">
        <v>-0.4</v>
      </c>
      <c r="F17" s="11">
        <v>0.4</v>
      </c>
      <c r="G17" s="11">
        <v>0.2</v>
      </c>
      <c r="H17" s="11">
        <v>-0.8</v>
      </c>
      <c r="I17" s="11">
        <v>-1</v>
      </c>
      <c r="J17" s="11">
        <v>-3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0" ht="15.75" x14ac:dyDescent="0.25">
      <c r="A18" s="12" t="s">
        <v>478</v>
      </c>
      <c r="B18" s="11"/>
      <c r="C18" s="11">
        <v>1.7</v>
      </c>
      <c r="D18" s="11">
        <v>1.1000000000000001</v>
      </c>
      <c r="E18" s="11">
        <v>1.8</v>
      </c>
      <c r="F18" s="11">
        <v>1.6</v>
      </c>
      <c r="G18" s="11">
        <v>1.5</v>
      </c>
      <c r="H18" s="11">
        <v>1.7</v>
      </c>
      <c r="I18" s="11">
        <v>2.1</v>
      </c>
      <c r="J18" s="11">
        <v>3.8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0" ht="15.75" x14ac:dyDescent="0.25">
      <c r="A19" s="12" t="s">
        <v>479</v>
      </c>
      <c r="B19" s="11"/>
      <c r="C19" s="11">
        <v>0.5</v>
      </c>
      <c r="D19" s="11">
        <v>0.4</v>
      </c>
      <c r="E19" s="11">
        <v>0.7</v>
      </c>
      <c r="F19" s="11">
        <v>0.2</v>
      </c>
      <c r="G19" s="11">
        <v>1.5</v>
      </c>
      <c r="H19" s="11">
        <v>-0.3</v>
      </c>
      <c r="I19" s="11">
        <v>1.2</v>
      </c>
      <c r="J19" s="11">
        <v>0.2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0" ht="15.75" x14ac:dyDescent="0.25">
      <c r="A20" s="12" t="s">
        <v>480</v>
      </c>
      <c r="B20" s="11"/>
      <c r="C20" s="11">
        <v>0</v>
      </c>
      <c r="D20" s="11">
        <v>0.9</v>
      </c>
      <c r="E20" s="11">
        <v>-0.5</v>
      </c>
      <c r="F20" s="11">
        <v>-2.1</v>
      </c>
      <c r="G20" s="11">
        <v>-1.4</v>
      </c>
      <c r="H20" s="11">
        <v>-0.4</v>
      </c>
      <c r="I20" s="11">
        <v>1</v>
      </c>
      <c r="J20" s="11">
        <v>-0.2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0" ht="15.75" x14ac:dyDescent="0.25">
      <c r="A21" s="12" t="s">
        <v>481</v>
      </c>
      <c r="B21" s="11"/>
      <c r="C21" s="11">
        <v>-1.4</v>
      </c>
      <c r="D21" s="11">
        <v>-3.2</v>
      </c>
      <c r="E21" s="11">
        <v>-0.2</v>
      </c>
      <c r="F21" s="11">
        <v>0.8</v>
      </c>
      <c r="G21" s="11">
        <v>-0.8</v>
      </c>
      <c r="H21" s="11">
        <v>-1.8</v>
      </c>
      <c r="I21" s="11">
        <v>1.1000000000000001</v>
      </c>
      <c r="J21" s="11">
        <v>-1.7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0" ht="15.75" x14ac:dyDescent="0.25">
      <c r="A22" s="12" t="s">
        <v>482</v>
      </c>
      <c r="B22" s="11"/>
      <c r="C22" s="11">
        <v>0.8</v>
      </c>
      <c r="D22" s="11">
        <v>2.1</v>
      </c>
      <c r="E22" s="11">
        <v>0</v>
      </c>
      <c r="F22" s="11">
        <v>-0.2</v>
      </c>
      <c r="G22" s="11">
        <v>-0.1</v>
      </c>
      <c r="H22" s="11">
        <v>0.5</v>
      </c>
      <c r="I22" s="11">
        <v>-0.1</v>
      </c>
      <c r="J22" s="11">
        <v>0.6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0" ht="15.75" x14ac:dyDescent="0.25">
      <c r="A23" s="12" t="s">
        <v>483</v>
      </c>
      <c r="B23" s="11"/>
      <c r="C23" s="11">
        <v>0.1</v>
      </c>
      <c r="D23" s="11">
        <v>0.1</v>
      </c>
      <c r="E23" s="11">
        <v>0</v>
      </c>
      <c r="F23" s="11">
        <v>0.1</v>
      </c>
      <c r="G23" s="11">
        <v>0.4</v>
      </c>
      <c r="H23" s="11">
        <v>-0.1</v>
      </c>
      <c r="I23" s="11">
        <v>-0.5</v>
      </c>
      <c r="J23" s="11">
        <v>1.1000000000000001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0" ht="15.75" x14ac:dyDescent="0.25">
      <c r="A24" s="12" t="s">
        <v>484</v>
      </c>
      <c r="B24" s="11"/>
      <c r="C24" s="11">
        <v>0.6</v>
      </c>
      <c r="D24" s="11">
        <v>0.5</v>
      </c>
      <c r="E24" s="11">
        <v>0.9</v>
      </c>
      <c r="F24" s="11">
        <v>-0.3</v>
      </c>
      <c r="G24" s="11">
        <v>-0.1</v>
      </c>
      <c r="H24" s="11">
        <v>3.2</v>
      </c>
      <c r="I24" s="11">
        <v>0.4</v>
      </c>
      <c r="J24" s="11">
        <v>-1.2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  <row r="25" spans="1:60" ht="15.75" x14ac:dyDescent="0.25">
      <c r="A25" s="12" t="s">
        <v>485</v>
      </c>
      <c r="B25" s="11"/>
      <c r="C25" s="11">
        <v>1</v>
      </c>
      <c r="D25" s="11">
        <v>0.7</v>
      </c>
      <c r="E25" s="11">
        <v>1.2</v>
      </c>
      <c r="F25" s="11">
        <v>2.8</v>
      </c>
      <c r="G25" s="11">
        <v>4.0999999999999996</v>
      </c>
      <c r="H25" s="11">
        <v>-2.5</v>
      </c>
      <c r="I25" s="11">
        <v>1.3</v>
      </c>
      <c r="J25" s="11">
        <v>1.5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0" ht="15.75" x14ac:dyDescent="0.25">
      <c r="A26" s="12" t="s">
        <v>486</v>
      </c>
      <c r="B26" s="11"/>
      <c r="C26" s="11">
        <v>-1.4</v>
      </c>
      <c r="D26" s="11">
        <v>-0.1</v>
      </c>
      <c r="E26" s="11">
        <v>-2.2999999999999998</v>
      </c>
      <c r="F26" s="11">
        <v>-3.5</v>
      </c>
      <c r="G26" s="11">
        <v>-4.5999999999999996</v>
      </c>
      <c r="H26" s="11">
        <v>-1.8</v>
      </c>
      <c r="I26" s="11">
        <v>-0.2</v>
      </c>
      <c r="J26" s="11">
        <v>-1.2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0" ht="15.75" x14ac:dyDescent="0.25">
      <c r="A27" s="12" t="s">
        <v>487</v>
      </c>
      <c r="B27" s="11"/>
      <c r="C27" s="11">
        <v>-0.5</v>
      </c>
      <c r="D27" s="11">
        <v>0</v>
      </c>
      <c r="E27" s="11">
        <v>-0.8</v>
      </c>
      <c r="F27" s="11">
        <v>-1.6</v>
      </c>
      <c r="G27" s="11">
        <v>-1.4</v>
      </c>
      <c r="H27" s="11">
        <v>-0.4</v>
      </c>
      <c r="I27" s="11">
        <v>-0.4</v>
      </c>
      <c r="J27" s="11">
        <v>-1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0" ht="15.75" x14ac:dyDescent="0.25">
      <c r="A28" s="12" t="s">
        <v>488</v>
      </c>
      <c r="B28" s="11"/>
      <c r="C28" s="11">
        <v>1</v>
      </c>
      <c r="D28" s="11">
        <v>0.2</v>
      </c>
      <c r="E28" s="11">
        <v>1.7</v>
      </c>
      <c r="F28" s="11">
        <v>3.4</v>
      </c>
      <c r="G28" s="11">
        <v>1</v>
      </c>
      <c r="H28" s="11">
        <v>2.2000000000000002</v>
      </c>
      <c r="I28" s="11">
        <v>0.9</v>
      </c>
      <c r="J28" s="11">
        <v>0.4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0" ht="15.75" x14ac:dyDescent="0.25">
      <c r="A29" s="12" t="s">
        <v>489</v>
      </c>
      <c r="B29" s="11"/>
      <c r="C29" s="11">
        <v>0.4</v>
      </c>
      <c r="D29" s="11">
        <v>-0.4</v>
      </c>
      <c r="E29" s="11">
        <v>0.9</v>
      </c>
      <c r="F29" s="11">
        <v>-0.5</v>
      </c>
      <c r="G29" s="11">
        <v>1.3</v>
      </c>
      <c r="H29" s="11">
        <v>0.3</v>
      </c>
      <c r="I29" s="11">
        <v>1.8</v>
      </c>
      <c r="J29" s="11">
        <v>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0" ht="15.75" x14ac:dyDescent="0.25">
      <c r="A30" s="12" t="s">
        <v>490</v>
      </c>
      <c r="B30" s="11"/>
      <c r="C30" s="11">
        <v>0.1</v>
      </c>
      <c r="D30" s="11">
        <v>0.4</v>
      </c>
      <c r="E30" s="11">
        <v>0</v>
      </c>
      <c r="F30" s="11">
        <v>-0.1</v>
      </c>
      <c r="G30" s="11">
        <v>-0.4</v>
      </c>
      <c r="H30" s="11">
        <v>0.2</v>
      </c>
      <c r="I30" s="11">
        <v>0.1</v>
      </c>
      <c r="J30" s="11">
        <v>-0.9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0" ht="15.75" x14ac:dyDescent="0.25">
      <c r="A31" s="12" t="s">
        <v>491</v>
      </c>
      <c r="B31" s="11"/>
      <c r="C31" s="11">
        <v>0</v>
      </c>
      <c r="D31" s="11">
        <v>0</v>
      </c>
      <c r="E31" s="11">
        <v>0.2</v>
      </c>
      <c r="F31" s="11">
        <v>0.7</v>
      </c>
      <c r="G31" s="11">
        <v>0.7</v>
      </c>
      <c r="H31" s="11">
        <v>0.3</v>
      </c>
      <c r="I31" s="11">
        <v>-0.6</v>
      </c>
      <c r="J31" s="11">
        <v>-0.9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0" ht="15.75" x14ac:dyDescent="0.25">
      <c r="A32" s="12" t="s">
        <v>492</v>
      </c>
      <c r="B32" s="11"/>
      <c r="C32" s="11">
        <v>0.7</v>
      </c>
      <c r="D32" s="11">
        <v>0.7</v>
      </c>
      <c r="E32" s="11">
        <v>0.3</v>
      </c>
      <c r="F32" s="11">
        <v>-1.9</v>
      </c>
      <c r="G32" s="11">
        <v>0.2</v>
      </c>
      <c r="H32" s="11">
        <v>0.6</v>
      </c>
      <c r="I32" s="11">
        <v>1.2</v>
      </c>
      <c r="J32" s="11">
        <v>3.3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ht="15.75" x14ac:dyDescent="0.25">
      <c r="A33" s="12" t="s">
        <v>493</v>
      </c>
      <c r="B33" s="11"/>
      <c r="C33" s="11">
        <v>-0.5</v>
      </c>
      <c r="D33" s="11">
        <v>-1.4</v>
      </c>
      <c r="E33" s="11">
        <v>0.3</v>
      </c>
      <c r="F33" s="11">
        <v>0.4</v>
      </c>
      <c r="G33" s="11">
        <v>0.3</v>
      </c>
      <c r="H33" s="11">
        <v>-1.6</v>
      </c>
      <c r="I33" s="11">
        <v>1.7</v>
      </c>
      <c r="J33" s="11">
        <v>-2.1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ht="15.75" x14ac:dyDescent="0.25">
      <c r="A34" s="12" t="s">
        <v>494</v>
      </c>
      <c r="B34" s="11"/>
      <c r="C34" s="11">
        <v>1.4</v>
      </c>
      <c r="D34" s="11">
        <v>0.7</v>
      </c>
      <c r="E34" s="11">
        <v>2.1</v>
      </c>
      <c r="F34" s="11">
        <v>1.6</v>
      </c>
      <c r="G34" s="11">
        <v>4.7</v>
      </c>
      <c r="H34" s="11">
        <v>2.5</v>
      </c>
      <c r="I34" s="11">
        <v>0.1</v>
      </c>
      <c r="J34" s="11">
        <v>0.2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ht="15.75" x14ac:dyDescent="0.25">
      <c r="A35" s="12" t="s">
        <v>495</v>
      </c>
      <c r="B35" s="11"/>
      <c r="C35" s="11">
        <v>0.3</v>
      </c>
      <c r="D35" s="11">
        <v>0.4</v>
      </c>
      <c r="E35" s="11">
        <v>0.3</v>
      </c>
      <c r="F35" s="11">
        <v>0.9</v>
      </c>
      <c r="G35" s="11">
        <v>0.5</v>
      </c>
      <c r="H35" s="11">
        <v>-1.7</v>
      </c>
      <c r="I35" s="11">
        <v>1.3</v>
      </c>
      <c r="J35" s="11">
        <v>0.5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ht="15.75" x14ac:dyDescent="0.25">
      <c r="A36" s="12" t="s">
        <v>496</v>
      </c>
      <c r="B36" s="11"/>
      <c r="C36" s="11">
        <v>-1.4</v>
      </c>
      <c r="D36" s="11">
        <v>-1.3</v>
      </c>
      <c r="E36" s="11">
        <v>-2.1</v>
      </c>
      <c r="F36" s="11">
        <v>-1.5</v>
      </c>
      <c r="G36" s="11">
        <v>-3.6</v>
      </c>
      <c r="H36" s="11">
        <v>-0.8</v>
      </c>
      <c r="I36" s="11">
        <v>-2</v>
      </c>
      <c r="J36" s="11">
        <v>2.4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ht="15.75" x14ac:dyDescent="0.25">
      <c r="A37" s="12" t="s">
        <v>497</v>
      </c>
      <c r="B37" s="11"/>
      <c r="C37" s="11">
        <v>2.2000000000000002</v>
      </c>
      <c r="D37" s="11">
        <v>2.6</v>
      </c>
      <c r="E37" s="11">
        <v>2.4</v>
      </c>
      <c r="F37" s="11">
        <v>3.3</v>
      </c>
      <c r="G37" s="11">
        <v>5.0999999999999996</v>
      </c>
      <c r="H37" s="11">
        <v>1.4</v>
      </c>
      <c r="I37" s="11">
        <v>0.7</v>
      </c>
      <c r="J37" s="11">
        <v>-1.2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ht="15.75" x14ac:dyDescent="0.25">
      <c r="A38" s="12" t="s">
        <v>498</v>
      </c>
      <c r="B38" s="11"/>
      <c r="C38" s="11">
        <v>-2.2000000000000002</v>
      </c>
      <c r="D38" s="11">
        <v>-2.2999999999999998</v>
      </c>
      <c r="E38" s="11">
        <v>-2.4</v>
      </c>
      <c r="F38" s="11">
        <v>-3.3</v>
      </c>
      <c r="G38" s="11">
        <v>-4.9000000000000004</v>
      </c>
      <c r="H38" s="11">
        <v>-0.7</v>
      </c>
      <c r="I38" s="11">
        <v>-1.3</v>
      </c>
      <c r="J38" s="11">
        <v>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ht="15.75" x14ac:dyDescent="0.25">
      <c r="A39" s="12" t="s">
        <v>499</v>
      </c>
      <c r="B39" s="11"/>
      <c r="C39" s="11">
        <v>1.6</v>
      </c>
      <c r="D39" s="11">
        <v>2.2000000000000002</v>
      </c>
      <c r="E39" s="11">
        <v>1.4</v>
      </c>
      <c r="F39" s="11">
        <v>0.9</v>
      </c>
      <c r="G39" s="11">
        <v>4.2</v>
      </c>
      <c r="H39" s="11">
        <v>-2.2999999999999998</v>
      </c>
      <c r="I39" s="11">
        <v>2.5</v>
      </c>
      <c r="J39" s="11">
        <v>0.2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ht="15.75" x14ac:dyDescent="0.25">
      <c r="A40" s="12" t="s">
        <v>500</v>
      </c>
      <c r="B40" s="11"/>
      <c r="C40" s="11">
        <v>-1.4</v>
      </c>
      <c r="D40" s="11">
        <v>-1</v>
      </c>
      <c r="E40" s="11">
        <v>-1.9</v>
      </c>
      <c r="F40" s="11">
        <v>0.2</v>
      </c>
      <c r="G40" s="11">
        <v>-4.7</v>
      </c>
      <c r="H40" s="11">
        <v>0</v>
      </c>
      <c r="I40" s="11">
        <v>-1.9</v>
      </c>
      <c r="J40" s="11">
        <v>-0.7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ht="15.75" x14ac:dyDescent="0.25">
      <c r="A41" s="12" t="s">
        <v>501</v>
      </c>
      <c r="B41" s="11"/>
      <c r="C41" s="11">
        <v>-0.1</v>
      </c>
      <c r="D41" s="11">
        <v>0.6</v>
      </c>
      <c r="E41" s="11">
        <v>-0.3</v>
      </c>
      <c r="F41" s="11">
        <v>-0.3</v>
      </c>
      <c r="G41" s="11">
        <v>0.2</v>
      </c>
      <c r="H41" s="11">
        <v>-1.1000000000000001</v>
      </c>
      <c r="I41" s="11">
        <v>0.1</v>
      </c>
      <c r="J41" s="11">
        <v>-2.2999999999999998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ht="15.75" x14ac:dyDescent="0.25">
      <c r="A42" s="12" t="s">
        <v>502</v>
      </c>
      <c r="B42" s="11"/>
      <c r="C42" s="11">
        <v>-0.5</v>
      </c>
      <c r="D42" s="11">
        <v>-0.4</v>
      </c>
      <c r="E42" s="11">
        <v>-0.6</v>
      </c>
      <c r="F42" s="11">
        <v>-1.6</v>
      </c>
      <c r="G42" s="11">
        <v>-2.4</v>
      </c>
      <c r="H42" s="11">
        <v>-0.1</v>
      </c>
      <c r="I42" s="11">
        <v>1.1000000000000001</v>
      </c>
      <c r="J42" s="11">
        <v>-0.6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ht="15.75" x14ac:dyDescent="0.25">
      <c r="A43" s="12" t="s">
        <v>503</v>
      </c>
      <c r="B43" s="11"/>
      <c r="C43" s="11">
        <v>-0.8</v>
      </c>
      <c r="D43" s="11">
        <v>-0.3</v>
      </c>
      <c r="E43" s="11">
        <v>-1.2</v>
      </c>
      <c r="F43" s="11">
        <v>-0.9</v>
      </c>
      <c r="G43" s="11">
        <v>-1.4</v>
      </c>
      <c r="H43" s="11">
        <v>-0.2</v>
      </c>
      <c r="I43" s="11">
        <v>-1.8</v>
      </c>
      <c r="J43" s="11">
        <v>-0.7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ht="15.75" x14ac:dyDescent="0.25">
      <c r="A44" s="12" t="s">
        <v>504</v>
      </c>
      <c r="B44" s="11"/>
      <c r="C44" s="11">
        <v>1.1000000000000001</v>
      </c>
      <c r="D44" s="11">
        <v>0.9</v>
      </c>
      <c r="E44" s="11">
        <v>0.6</v>
      </c>
      <c r="F44" s="11">
        <v>0.8</v>
      </c>
      <c r="G44" s="11">
        <v>1.5</v>
      </c>
      <c r="H44" s="11">
        <v>-0.5</v>
      </c>
      <c r="I44" s="11">
        <v>0.7</v>
      </c>
      <c r="J44" s="11">
        <v>5.5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ht="15.75" x14ac:dyDescent="0.25">
      <c r="A45" s="12" t="s">
        <v>505</v>
      </c>
      <c r="B45" s="11"/>
      <c r="C45" s="11">
        <v>-1.3</v>
      </c>
      <c r="D45" s="11">
        <v>-0.4</v>
      </c>
      <c r="E45" s="11">
        <v>-1.3</v>
      </c>
      <c r="F45" s="11">
        <v>0.4</v>
      </c>
      <c r="G45" s="11">
        <v>-0.1</v>
      </c>
      <c r="H45" s="11">
        <v>-2.1</v>
      </c>
      <c r="I45" s="11">
        <v>-2.5</v>
      </c>
      <c r="J45" s="11">
        <v>-5.5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ht="15.75" x14ac:dyDescent="0.25">
      <c r="A46" s="12" t="s">
        <v>506</v>
      </c>
      <c r="B46" s="11"/>
      <c r="C46" s="11">
        <v>-0.6</v>
      </c>
      <c r="D46" s="11">
        <v>0.7</v>
      </c>
      <c r="E46" s="11">
        <v>-1</v>
      </c>
      <c r="F46" s="11">
        <v>-2.4</v>
      </c>
      <c r="G46" s="11">
        <v>-1.4</v>
      </c>
      <c r="H46" s="11">
        <v>0.1</v>
      </c>
      <c r="I46" s="11">
        <v>-0.9</v>
      </c>
      <c r="J46" s="11">
        <v>-3.7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ht="15.75" x14ac:dyDescent="0.25">
      <c r="A47" s="12" t="s">
        <v>507</v>
      </c>
      <c r="B47" s="11"/>
      <c r="C47" s="11">
        <v>3.1</v>
      </c>
      <c r="D47" s="11">
        <v>0.8</v>
      </c>
      <c r="E47" s="11">
        <v>5.0999999999999996</v>
      </c>
      <c r="F47" s="11">
        <v>3.3</v>
      </c>
      <c r="G47" s="11">
        <v>3.2</v>
      </c>
      <c r="H47" s="11">
        <v>7</v>
      </c>
      <c r="I47" s="11">
        <v>6</v>
      </c>
      <c r="J47" s="11">
        <v>1.4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ht="15.75" x14ac:dyDescent="0.25">
      <c r="A48" s="12" t="s">
        <v>508</v>
      </c>
      <c r="B48" s="11"/>
      <c r="C48" s="11">
        <v>-2</v>
      </c>
      <c r="D48" s="11">
        <v>-1.3</v>
      </c>
      <c r="E48" s="11">
        <v>-2.5</v>
      </c>
      <c r="F48" s="11">
        <v>0.2</v>
      </c>
      <c r="G48" s="11">
        <v>-0.6</v>
      </c>
      <c r="H48" s="11">
        <v>-5.4</v>
      </c>
      <c r="I48" s="11">
        <v>-3.1</v>
      </c>
      <c r="J48" s="11">
        <v>-1.6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ht="15.75" x14ac:dyDescent="0.25">
      <c r="A49" s="12" t="s">
        <v>509</v>
      </c>
      <c r="B49" s="11"/>
      <c r="C49" s="11">
        <v>-0.7</v>
      </c>
      <c r="D49" s="11">
        <v>-0.5</v>
      </c>
      <c r="E49" s="11">
        <v>-1</v>
      </c>
      <c r="F49" s="11">
        <v>0.5</v>
      </c>
      <c r="G49" s="11">
        <v>-0.9</v>
      </c>
      <c r="H49" s="11">
        <v>-1.6</v>
      </c>
      <c r="I49" s="11">
        <v>-1.5</v>
      </c>
      <c r="J49" s="11">
        <v>0.4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ht="15.75" x14ac:dyDescent="0.25">
      <c r="A50" s="12" t="s">
        <v>510</v>
      </c>
      <c r="B50" s="11"/>
      <c r="C50" s="11">
        <v>-0.4</v>
      </c>
      <c r="D50" s="11">
        <v>0.6</v>
      </c>
      <c r="E50" s="11">
        <v>-1.2</v>
      </c>
      <c r="F50" s="11">
        <v>-1.2</v>
      </c>
      <c r="G50" s="11">
        <v>-0.3</v>
      </c>
      <c r="H50" s="11">
        <v>-0.9</v>
      </c>
      <c r="I50" s="11">
        <v>-2.1</v>
      </c>
      <c r="J50" s="11">
        <v>0.2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ht="15.75" x14ac:dyDescent="0.25">
      <c r="A51" s="12" t="s">
        <v>511</v>
      </c>
      <c r="B51" s="11"/>
      <c r="C51" s="11">
        <v>1.7</v>
      </c>
      <c r="D51" s="11">
        <v>1.5</v>
      </c>
      <c r="E51" s="11">
        <v>2</v>
      </c>
      <c r="F51" s="11">
        <v>0.4</v>
      </c>
      <c r="G51" s="11">
        <v>3.2</v>
      </c>
      <c r="H51" s="11">
        <v>0.7</v>
      </c>
      <c r="I51" s="11">
        <v>3</v>
      </c>
      <c r="J51" s="11">
        <v>0.9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ht="15.75" x14ac:dyDescent="0.25">
      <c r="A52" s="12" t="s">
        <v>512</v>
      </c>
      <c r="B52" s="11"/>
      <c r="C52" s="11">
        <v>-1.4</v>
      </c>
      <c r="D52" s="11">
        <v>-0.3</v>
      </c>
      <c r="E52" s="11">
        <v>-2.2000000000000002</v>
      </c>
      <c r="F52" s="11">
        <v>-0.9</v>
      </c>
      <c r="G52" s="11">
        <v>-3.6</v>
      </c>
      <c r="H52" s="11">
        <v>-1.9</v>
      </c>
      <c r="I52" s="11">
        <v>-2</v>
      </c>
      <c r="J52" s="11">
        <v>-1.5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ht="15.75" x14ac:dyDescent="0.25">
      <c r="A53" s="12" t="s">
        <v>513</v>
      </c>
      <c r="B53" s="11"/>
      <c r="C53" s="11">
        <v>-0.1</v>
      </c>
      <c r="D53" s="11">
        <v>0.4</v>
      </c>
      <c r="E53" s="11">
        <v>-0.8</v>
      </c>
      <c r="F53" s="11">
        <v>-0.6</v>
      </c>
      <c r="G53" s="11">
        <v>-0.9</v>
      </c>
      <c r="H53" s="11">
        <v>0.1</v>
      </c>
      <c r="I53" s="11">
        <v>-1.3</v>
      </c>
      <c r="J53" s="11">
        <v>1.6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ht="15.75" x14ac:dyDescent="0.25">
      <c r="A54" s="12" t="s">
        <v>514</v>
      </c>
      <c r="B54" s="11"/>
      <c r="C54" s="11">
        <v>-0.6</v>
      </c>
      <c r="D54" s="11">
        <v>-1.3</v>
      </c>
      <c r="E54" s="11">
        <v>0.2</v>
      </c>
      <c r="F54" s="11">
        <v>-0.6</v>
      </c>
      <c r="G54" s="11">
        <v>-1.3</v>
      </c>
      <c r="H54" s="11">
        <v>0</v>
      </c>
      <c r="I54" s="11">
        <v>2.1</v>
      </c>
      <c r="J54" s="11">
        <v>-1.9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ht="15.75" x14ac:dyDescent="0.25">
      <c r="A55" s="12" t="s">
        <v>515</v>
      </c>
      <c r="B55" s="11"/>
      <c r="C55" s="11">
        <v>0</v>
      </c>
      <c r="D55" s="11">
        <v>-0.4</v>
      </c>
      <c r="E55" s="11">
        <v>0.3</v>
      </c>
      <c r="F55" s="11">
        <v>-0.9</v>
      </c>
      <c r="G55" s="11">
        <v>1.4</v>
      </c>
      <c r="H55" s="11">
        <v>0.7</v>
      </c>
      <c r="I55" s="11">
        <v>-0.4</v>
      </c>
      <c r="J55" s="11">
        <v>0.8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ht="15.75" x14ac:dyDescent="0.25">
      <c r="A56" s="12" t="s">
        <v>516</v>
      </c>
      <c r="B56" s="11"/>
      <c r="C56" s="11">
        <v>0.4</v>
      </c>
      <c r="D56" s="11">
        <v>0.3</v>
      </c>
      <c r="E56" s="11">
        <v>0.4</v>
      </c>
      <c r="F56" s="11">
        <v>-1.3</v>
      </c>
      <c r="G56" s="11">
        <v>-0.2</v>
      </c>
      <c r="H56" s="11">
        <v>1.2</v>
      </c>
      <c r="I56" s="11">
        <v>1.2</v>
      </c>
      <c r="J56" s="11">
        <v>0.4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ht="15.75" x14ac:dyDescent="0.25">
      <c r="A57" s="12" t="s">
        <v>517</v>
      </c>
      <c r="B57" s="11"/>
      <c r="C57" s="11">
        <v>0.4</v>
      </c>
      <c r="D57" s="11">
        <v>-0.2</v>
      </c>
      <c r="E57" s="11">
        <v>1</v>
      </c>
      <c r="F57" s="11">
        <v>2.8</v>
      </c>
      <c r="G57" s="11">
        <v>-0.3</v>
      </c>
      <c r="H57" s="11">
        <v>-0.1</v>
      </c>
      <c r="I57" s="11">
        <v>1.8</v>
      </c>
      <c r="J57" s="11">
        <v>-0.5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ht="15.75" x14ac:dyDescent="0.25">
      <c r="A58" s="12" t="s">
        <v>518</v>
      </c>
      <c r="B58" s="11"/>
      <c r="C58" s="11">
        <v>0.1</v>
      </c>
      <c r="D58" s="11">
        <v>1.5</v>
      </c>
      <c r="E58" s="11">
        <v>-0.8</v>
      </c>
      <c r="F58" s="11">
        <v>-0.6</v>
      </c>
      <c r="G58" s="11">
        <v>0.1</v>
      </c>
      <c r="H58" s="11">
        <v>-0.8</v>
      </c>
      <c r="I58" s="11">
        <v>-1.5</v>
      </c>
      <c r="J58" s="11">
        <v>-1.4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ht="15.75" x14ac:dyDescent="0.25">
      <c r="A59" s="12" t="s">
        <v>519</v>
      </c>
      <c r="B59" s="11"/>
      <c r="C59" s="11">
        <v>-1.3</v>
      </c>
      <c r="D59" s="11">
        <v>0.1</v>
      </c>
      <c r="E59" s="11">
        <v>-1.6</v>
      </c>
      <c r="F59" s="11">
        <v>-1.1000000000000001</v>
      </c>
      <c r="G59" s="11">
        <v>-1.3</v>
      </c>
      <c r="H59" s="11">
        <v>-2.1</v>
      </c>
      <c r="I59" s="11">
        <v>-1.7</v>
      </c>
      <c r="J59" s="11">
        <v>-6.3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ht="15.75" x14ac:dyDescent="0.25">
      <c r="A60" s="12" t="s">
        <v>520</v>
      </c>
      <c r="B60" s="11"/>
      <c r="C60" s="11">
        <v>1.2</v>
      </c>
      <c r="D60" s="11">
        <v>0.6</v>
      </c>
      <c r="E60" s="11">
        <v>1.5</v>
      </c>
      <c r="F60" s="11">
        <v>2.7</v>
      </c>
      <c r="G60" s="11">
        <v>-1.5</v>
      </c>
      <c r="H60" s="11">
        <v>1.9</v>
      </c>
      <c r="I60" s="11">
        <v>2.8</v>
      </c>
      <c r="J60" s="11">
        <v>3.3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ht="15.75" x14ac:dyDescent="0.25">
      <c r="A61" s="12" t="s">
        <v>521</v>
      </c>
      <c r="B61" s="11"/>
      <c r="C61" s="11">
        <v>1</v>
      </c>
      <c r="D61" s="11">
        <v>0.1</v>
      </c>
      <c r="E61" s="11">
        <v>1.7</v>
      </c>
      <c r="F61" s="11">
        <v>-0.7</v>
      </c>
      <c r="G61" s="11">
        <v>7.3</v>
      </c>
      <c r="H61" s="11">
        <v>-2.2000000000000002</v>
      </c>
      <c r="I61" s="11">
        <v>1.6</v>
      </c>
      <c r="J61" s="11">
        <v>0.5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ht="15.75" x14ac:dyDescent="0.25">
      <c r="A62" s="12" t="s">
        <v>522</v>
      </c>
      <c r="B62" s="11"/>
      <c r="C62" s="11">
        <v>-1</v>
      </c>
      <c r="D62" s="11">
        <v>0</v>
      </c>
      <c r="E62" s="11">
        <v>-1.7</v>
      </c>
      <c r="F62" s="11">
        <v>0.7</v>
      </c>
      <c r="G62" s="11">
        <v>-5.7</v>
      </c>
      <c r="H62" s="11">
        <v>0.8</v>
      </c>
      <c r="I62" s="11">
        <v>-1.6</v>
      </c>
      <c r="J62" s="11">
        <v>-0.5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ht="15.75" x14ac:dyDescent="0.25">
      <c r="A63" s="12" t="s">
        <v>523</v>
      </c>
      <c r="B63" s="11"/>
      <c r="C63" s="11">
        <v>-1.3</v>
      </c>
      <c r="D63" s="11">
        <v>-1.6</v>
      </c>
      <c r="E63" s="11">
        <v>-1.1000000000000001</v>
      </c>
      <c r="F63" s="11">
        <v>-0.4</v>
      </c>
      <c r="G63" s="11">
        <v>0.7</v>
      </c>
      <c r="H63" s="11">
        <v>-0.3</v>
      </c>
      <c r="I63" s="11">
        <v>-3.3</v>
      </c>
      <c r="J63" s="11">
        <v>-1.5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ht="15.75" x14ac:dyDescent="0.25">
      <c r="A64" s="12" t="s">
        <v>524</v>
      </c>
      <c r="B64" s="11"/>
      <c r="C64" s="11">
        <v>2.1</v>
      </c>
      <c r="D64" s="11">
        <v>0.9</v>
      </c>
      <c r="E64" s="11">
        <v>3</v>
      </c>
      <c r="F64" s="11">
        <v>1.3</v>
      </c>
      <c r="G64" s="11">
        <v>6.3</v>
      </c>
      <c r="H64" s="11">
        <v>2.8</v>
      </c>
      <c r="I64" s="11">
        <v>1.5</v>
      </c>
      <c r="J64" s="11">
        <v>1.6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ht="15.75" x14ac:dyDescent="0.25">
      <c r="A65" s="12" t="s">
        <v>525</v>
      </c>
      <c r="B65" s="11"/>
      <c r="C65" s="11">
        <v>-0.4</v>
      </c>
      <c r="D65" s="11">
        <v>0.9</v>
      </c>
      <c r="E65" s="11">
        <v>-2.1</v>
      </c>
      <c r="F65" s="11">
        <v>-0.6</v>
      </c>
      <c r="G65" s="11">
        <v>-3</v>
      </c>
      <c r="H65" s="11">
        <v>-1.5</v>
      </c>
      <c r="I65" s="11">
        <v>-2.5</v>
      </c>
      <c r="J65" s="11">
        <v>5.5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ht="15.75" x14ac:dyDescent="0.25">
      <c r="A66" s="12" t="s">
        <v>526</v>
      </c>
      <c r="B66" s="11"/>
      <c r="C66" s="11">
        <v>0.3</v>
      </c>
      <c r="D66" s="11">
        <v>0.9</v>
      </c>
      <c r="E66" s="11">
        <v>0.2</v>
      </c>
      <c r="F66" s="11">
        <v>-0.2</v>
      </c>
      <c r="G66" s="11">
        <v>1.3</v>
      </c>
      <c r="H66" s="11">
        <v>-1</v>
      </c>
      <c r="I66" s="11">
        <v>0.4</v>
      </c>
      <c r="J66" s="11">
        <v>-1.9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ht="15.75" x14ac:dyDescent="0.25">
      <c r="A67" s="12" t="s">
        <v>527</v>
      </c>
      <c r="B67" s="11"/>
      <c r="C67" s="11">
        <v>0</v>
      </c>
      <c r="D67" s="11">
        <v>0.1</v>
      </c>
      <c r="E67" s="11">
        <v>-0.2</v>
      </c>
      <c r="F67" s="11">
        <v>-0.5</v>
      </c>
      <c r="G67" s="11">
        <v>-1</v>
      </c>
      <c r="H67" s="11">
        <v>0</v>
      </c>
      <c r="I67" s="11">
        <v>0.5</v>
      </c>
      <c r="J67" s="11">
        <v>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ht="15.75" x14ac:dyDescent="0.25">
      <c r="A68" s="12" t="s">
        <v>528</v>
      </c>
      <c r="B68" s="11"/>
      <c r="C68" s="11">
        <v>-0.6</v>
      </c>
      <c r="D68" s="11">
        <v>-0.9</v>
      </c>
      <c r="E68" s="11">
        <v>0.4</v>
      </c>
      <c r="F68" s="11">
        <v>2.1</v>
      </c>
      <c r="G68" s="11">
        <v>0</v>
      </c>
      <c r="H68" s="11">
        <v>0</v>
      </c>
      <c r="I68" s="11">
        <v>0.2</v>
      </c>
      <c r="J68" s="11">
        <v>-6.5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ht="15.75" x14ac:dyDescent="0.25">
      <c r="A69" s="12" t="s">
        <v>529</v>
      </c>
      <c r="B69" s="11"/>
      <c r="C69" s="11">
        <v>1.8</v>
      </c>
      <c r="D69" s="11">
        <v>2</v>
      </c>
      <c r="E69" s="11">
        <v>1</v>
      </c>
      <c r="F69" s="11">
        <v>2.4</v>
      </c>
      <c r="G69" s="11">
        <v>0.9</v>
      </c>
      <c r="H69" s="11">
        <v>3.8</v>
      </c>
      <c r="I69" s="11">
        <v>-1.8</v>
      </c>
      <c r="J69" s="11">
        <v>6.8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ht="15.75" x14ac:dyDescent="0.25">
      <c r="A70" s="12" t="s">
        <v>530</v>
      </c>
      <c r="B70" s="11"/>
      <c r="C70" s="11">
        <v>0.1</v>
      </c>
      <c r="D70" s="11">
        <v>-1.2</v>
      </c>
      <c r="E70" s="11">
        <v>1.1000000000000001</v>
      </c>
      <c r="F70" s="11">
        <v>-2</v>
      </c>
      <c r="G70" s="11">
        <v>0.8</v>
      </c>
      <c r="H70" s="11">
        <v>1.8</v>
      </c>
      <c r="I70" s="11">
        <v>2.6</v>
      </c>
      <c r="J70" s="11">
        <v>0.3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ht="15.75" x14ac:dyDescent="0.25">
      <c r="A71" s="12" t="s">
        <v>531</v>
      </c>
      <c r="B71" s="11"/>
      <c r="C71" s="11">
        <v>0.1</v>
      </c>
      <c r="D71" s="11">
        <v>0.1</v>
      </c>
      <c r="E71" s="11">
        <v>-0.2</v>
      </c>
      <c r="F71" s="11">
        <v>-0.1</v>
      </c>
      <c r="G71" s="11">
        <v>-2.2000000000000002</v>
      </c>
      <c r="H71" s="11">
        <v>0.6</v>
      </c>
      <c r="I71" s="11">
        <v>0.6</v>
      </c>
      <c r="J71" s="11">
        <v>2.1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ht="15.75" x14ac:dyDescent="0.25">
      <c r="A72" s="12" t="s">
        <v>532</v>
      </c>
      <c r="B72" s="11"/>
      <c r="C72" s="11">
        <v>-0.2</v>
      </c>
      <c r="D72" s="11">
        <v>0</v>
      </c>
      <c r="E72" s="11">
        <v>-0.1</v>
      </c>
      <c r="F72" s="11">
        <v>1.3</v>
      </c>
      <c r="G72" s="11">
        <v>-0.2</v>
      </c>
      <c r="H72" s="11">
        <v>-0.6</v>
      </c>
      <c r="I72" s="11">
        <v>-0.5</v>
      </c>
      <c r="J72" s="11">
        <v>-2.1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ht="15.75" x14ac:dyDescent="0.25">
      <c r="A73" s="12" t="s">
        <v>533</v>
      </c>
      <c r="B73" s="11"/>
      <c r="C73" s="11">
        <v>-0.2</v>
      </c>
      <c r="D73" s="11">
        <v>0.1</v>
      </c>
      <c r="E73" s="11">
        <v>-0.3</v>
      </c>
      <c r="F73" s="11">
        <v>-0.1</v>
      </c>
      <c r="G73" s="11">
        <v>-0.2</v>
      </c>
      <c r="H73" s="11">
        <v>-0.2</v>
      </c>
      <c r="I73" s="11">
        <v>-0.6</v>
      </c>
      <c r="J73" s="11">
        <v>-1.7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ht="15.75" x14ac:dyDescent="0.25">
      <c r="A74" s="12" t="s">
        <v>534</v>
      </c>
      <c r="B74" s="11"/>
      <c r="C74" s="11">
        <v>1.2</v>
      </c>
      <c r="D74" s="11">
        <v>0.4</v>
      </c>
      <c r="E74" s="11">
        <v>1.9</v>
      </c>
      <c r="F74" s="11">
        <v>1.9</v>
      </c>
      <c r="G74" s="11">
        <v>3.5</v>
      </c>
      <c r="H74" s="11">
        <v>2.2000000000000002</v>
      </c>
      <c r="I74" s="11">
        <v>0.3</v>
      </c>
      <c r="J74" s="11">
        <v>1.2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ht="15.75" x14ac:dyDescent="0.25">
      <c r="A75" s="12" t="s">
        <v>535</v>
      </c>
      <c r="B75" s="11"/>
      <c r="C75" s="11">
        <v>-1.2</v>
      </c>
      <c r="D75" s="11">
        <v>-1.5</v>
      </c>
      <c r="E75" s="11">
        <v>-0.9</v>
      </c>
      <c r="F75" s="11">
        <v>-0.1</v>
      </c>
      <c r="G75" s="11">
        <v>-2.2999999999999998</v>
      </c>
      <c r="H75" s="11">
        <v>-1</v>
      </c>
      <c r="I75" s="11">
        <v>-0.1</v>
      </c>
      <c r="J75" s="11">
        <v>-1.6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ht="15.75" x14ac:dyDescent="0.25">
      <c r="A76" s="12" t="s">
        <v>536</v>
      </c>
      <c r="B76" s="11"/>
      <c r="C76" s="11">
        <v>1.2</v>
      </c>
      <c r="D76" s="11">
        <v>1.5</v>
      </c>
      <c r="E76" s="11">
        <v>1</v>
      </c>
      <c r="F76" s="11">
        <v>-0.2</v>
      </c>
      <c r="G76" s="11">
        <v>2.5</v>
      </c>
      <c r="H76" s="11">
        <v>2.1</v>
      </c>
      <c r="I76" s="11">
        <v>-0.4</v>
      </c>
      <c r="J76" s="11">
        <v>0.9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ht="15.75" x14ac:dyDescent="0.25">
      <c r="A77" s="12" t="s">
        <v>537</v>
      </c>
      <c r="B77" s="11"/>
      <c r="C77" s="11">
        <v>0.2</v>
      </c>
      <c r="D77" s="11">
        <v>0.2</v>
      </c>
      <c r="E77" s="11">
        <v>0.1</v>
      </c>
      <c r="F77" s="11">
        <v>-0.7</v>
      </c>
      <c r="G77" s="11">
        <v>-0.6</v>
      </c>
      <c r="H77" s="11">
        <v>-0.2</v>
      </c>
      <c r="I77" s="11">
        <v>1.3</v>
      </c>
      <c r="J77" s="11">
        <v>1.5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ht="15.75" x14ac:dyDescent="0.25">
      <c r="A78" s="12" t="s">
        <v>538</v>
      </c>
      <c r="B78" s="11"/>
      <c r="C78" s="11">
        <v>0.3</v>
      </c>
      <c r="D78" s="11">
        <v>0.3</v>
      </c>
      <c r="E78" s="11">
        <v>0.3</v>
      </c>
      <c r="F78" s="11">
        <v>0.7</v>
      </c>
      <c r="G78" s="11">
        <v>2.5</v>
      </c>
      <c r="H78" s="11">
        <v>0.1</v>
      </c>
      <c r="I78" s="11">
        <v>-1.5</v>
      </c>
      <c r="J78" s="11">
        <v>0.3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ht="15.75" x14ac:dyDescent="0.25">
      <c r="A79" s="12" t="s">
        <v>539</v>
      </c>
      <c r="B79" s="11"/>
      <c r="C79" s="11">
        <v>0.2</v>
      </c>
      <c r="D79" s="11">
        <v>0.6</v>
      </c>
      <c r="E79" s="11">
        <v>0</v>
      </c>
      <c r="F79" s="11">
        <v>-1.8</v>
      </c>
      <c r="G79" s="11">
        <v>-1.1000000000000001</v>
      </c>
      <c r="H79" s="11">
        <v>-0.2</v>
      </c>
      <c r="I79" s="11">
        <v>2</v>
      </c>
      <c r="J79" s="11">
        <v>-0.4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ht="15.75" x14ac:dyDescent="0.25">
      <c r="A80" s="12" t="s">
        <v>540</v>
      </c>
      <c r="B80" s="11"/>
      <c r="C80" s="11">
        <v>0.5</v>
      </c>
      <c r="D80" s="11">
        <v>0.4</v>
      </c>
      <c r="E80" s="11">
        <v>0.8</v>
      </c>
      <c r="F80" s="11">
        <v>2.8</v>
      </c>
      <c r="G80" s="11">
        <v>0.8</v>
      </c>
      <c r="H80" s="11">
        <v>0.4</v>
      </c>
      <c r="I80" s="11">
        <v>-0.1</v>
      </c>
      <c r="J80" s="11">
        <v>-0.4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:60" ht="15.75" x14ac:dyDescent="0.25">
      <c r="A81" s="12" t="s">
        <v>541</v>
      </c>
      <c r="B81" s="11"/>
      <c r="C81" s="11">
        <v>1.1000000000000001</v>
      </c>
      <c r="D81" s="11">
        <v>1</v>
      </c>
      <c r="E81" s="11">
        <v>1.1000000000000001</v>
      </c>
      <c r="F81" s="11">
        <v>0.8</v>
      </c>
      <c r="G81" s="11">
        <v>1</v>
      </c>
      <c r="H81" s="11">
        <v>2.7</v>
      </c>
      <c r="I81" s="11">
        <v>0.2</v>
      </c>
      <c r="J81" s="11">
        <v>1.3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:60" ht="15.75" x14ac:dyDescent="0.25">
      <c r="A82" s="12" t="s">
        <v>542</v>
      </c>
      <c r="B82" s="11"/>
      <c r="C82" s="11">
        <v>-1.8</v>
      </c>
      <c r="D82" s="11">
        <v>-1.1000000000000001</v>
      </c>
      <c r="E82" s="11">
        <v>-2.8</v>
      </c>
      <c r="F82" s="11">
        <v>-4.3</v>
      </c>
      <c r="G82" s="11">
        <v>-2.9</v>
      </c>
      <c r="H82" s="11">
        <v>-2.5</v>
      </c>
      <c r="I82" s="11">
        <v>-2.1</v>
      </c>
      <c r="J82" s="11">
        <v>1.6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:60" ht="15.75" x14ac:dyDescent="0.25">
      <c r="A83" s="12" t="s">
        <v>543</v>
      </c>
      <c r="B83" s="11"/>
      <c r="C83" s="11">
        <v>1.4</v>
      </c>
      <c r="D83" s="11">
        <v>0.6</v>
      </c>
      <c r="E83" s="11">
        <v>2.4</v>
      </c>
      <c r="F83" s="11">
        <v>4</v>
      </c>
      <c r="G83" s="11">
        <v>2.1</v>
      </c>
      <c r="H83" s="11">
        <v>0.9</v>
      </c>
      <c r="I83" s="11">
        <v>2.9</v>
      </c>
      <c r="J83" s="11">
        <v>-1.2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:60" ht="15.75" x14ac:dyDescent="0.25">
      <c r="A84" s="12" t="s">
        <v>544</v>
      </c>
      <c r="B84" s="11"/>
      <c r="C84" s="11">
        <v>-0.4</v>
      </c>
      <c r="D84" s="11">
        <v>-0.1</v>
      </c>
      <c r="E84" s="11">
        <v>-0.9</v>
      </c>
      <c r="F84" s="11">
        <v>-1.7</v>
      </c>
      <c r="G84" s="11">
        <v>0.9</v>
      </c>
      <c r="H84" s="11">
        <v>0.4</v>
      </c>
      <c r="I84" s="11">
        <v>-2.8</v>
      </c>
      <c r="J84" s="11">
        <v>1.4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</row>
    <row r="85" spans="1:60" ht="15.75" x14ac:dyDescent="0.25">
      <c r="A85" s="12" t="s">
        <v>545</v>
      </c>
      <c r="B85" s="11"/>
      <c r="C85" s="11">
        <v>1</v>
      </c>
      <c r="D85" s="11">
        <v>0.4</v>
      </c>
      <c r="E85" s="11">
        <v>1.4</v>
      </c>
      <c r="F85" s="11">
        <v>0.5</v>
      </c>
      <c r="G85" s="11">
        <v>-0.1</v>
      </c>
      <c r="H85" s="11">
        <v>0.5</v>
      </c>
      <c r="I85" s="11">
        <v>3.9</v>
      </c>
      <c r="J85" s="11">
        <v>1.7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:60" ht="15.75" x14ac:dyDescent="0.25">
      <c r="A86" s="12" t="s">
        <v>546</v>
      </c>
      <c r="B86" s="11"/>
      <c r="C86" s="11">
        <v>-0.1</v>
      </c>
      <c r="D86" s="11">
        <v>0.6</v>
      </c>
      <c r="E86" s="11">
        <v>0</v>
      </c>
      <c r="F86" s="11">
        <v>0</v>
      </c>
      <c r="G86" s="11">
        <v>0.5</v>
      </c>
      <c r="H86" s="11">
        <v>-1.8</v>
      </c>
      <c r="I86" s="11">
        <v>0.8</v>
      </c>
      <c r="J86" s="11">
        <v>-4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:60" ht="15.75" x14ac:dyDescent="0.25">
      <c r="A87" s="12" t="s">
        <v>547</v>
      </c>
      <c r="B87" s="11"/>
      <c r="C87" s="11">
        <v>-0.3</v>
      </c>
      <c r="D87" s="11">
        <v>0.7</v>
      </c>
      <c r="E87" s="11">
        <v>-0.7</v>
      </c>
      <c r="F87" s="11">
        <v>1</v>
      </c>
      <c r="G87" s="11">
        <v>0.2</v>
      </c>
      <c r="H87" s="11">
        <v>-1.3</v>
      </c>
      <c r="I87" s="11">
        <v>-1.8</v>
      </c>
      <c r="J87" s="11">
        <v>-3.4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:60" ht="15.75" x14ac:dyDescent="0.25">
      <c r="A88" s="12" t="s">
        <v>548</v>
      </c>
      <c r="B88" s="11"/>
      <c r="C88" s="11">
        <v>1</v>
      </c>
      <c r="D88" s="11">
        <v>0.2</v>
      </c>
      <c r="E88" s="11">
        <v>1.1000000000000001</v>
      </c>
      <c r="F88" s="11">
        <v>-0.3</v>
      </c>
      <c r="G88" s="11">
        <v>-0.1</v>
      </c>
      <c r="H88" s="11">
        <v>2.9</v>
      </c>
      <c r="I88" s="11">
        <v>1.5</v>
      </c>
      <c r="J88" s="11">
        <v>5.4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</row>
    <row r="89" spans="1:60" ht="15.75" x14ac:dyDescent="0.25">
      <c r="A89" s="12" t="s">
        <v>549</v>
      </c>
      <c r="B89" s="11"/>
      <c r="C89" s="11">
        <v>0.6</v>
      </c>
      <c r="D89" s="11">
        <v>0.1</v>
      </c>
      <c r="E89" s="11">
        <v>1.3</v>
      </c>
      <c r="F89" s="11">
        <v>0.9</v>
      </c>
      <c r="G89" s="11">
        <v>2.7</v>
      </c>
      <c r="H89" s="11">
        <v>0.4</v>
      </c>
      <c r="I89" s="11">
        <v>1.1000000000000001</v>
      </c>
      <c r="J89" s="11">
        <v>-2.2000000000000002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</row>
    <row r="90" spans="1:60" ht="15.75" x14ac:dyDescent="0.25">
      <c r="A90" s="12" t="s">
        <v>550</v>
      </c>
      <c r="B90" s="11"/>
      <c r="C90" s="11">
        <v>-0.2</v>
      </c>
      <c r="D90" s="11">
        <v>0.4</v>
      </c>
      <c r="E90" s="11">
        <v>-0.5</v>
      </c>
      <c r="F90" s="11">
        <v>0</v>
      </c>
      <c r="G90" s="11">
        <v>-0.6</v>
      </c>
      <c r="H90" s="11">
        <v>-0.2</v>
      </c>
      <c r="I90" s="11">
        <v>-0.8</v>
      </c>
      <c r="J90" s="11">
        <v>-1.5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</row>
    <row r="91" spans="1:60" ht="15.75" x14ac:dyDescent="0.25">
      <c r="A91" s="12" t="s">
        <v>551</v>
      </c>
      <c r="B91" s="11"/>
      <c r="C91" s="11">
        <v>-0.4</v>
      </c>
      <c r="D91" s="11">
        <v>0</v>
      </c>
      <c r="E91" s="11">
        <v>-0.9</v>
      </c>
      <c r="F91" s="11">
        <v>-2.2000000000000002</v>
      </c>
      <c r="G91" s="11">
        <v>-2.6</v>
      </c>
      <c r="H91" s="11">
        <v>0.6</v>
      </c>
      <c r="I91" s="11">
        <v>0.1</v>
      </c>
      <c r="J91" s="11">
        <v>0.2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</row>
    <row r="92" spans="1:60" ht="15.75" x14ac:dyDescent="0.25">
      <c r="A92" s="12" t="s">
        <v>552</v>
      </c>
      <c r="B92" s="11"/>
      <c r="C92" s="11">
        <v>0.2</v>
      </c>
      <c r="D92" s="11">
        <v>-0.7</v>
      </c>
      <c r="E92" s="11">
        <v>1</v>
      </c>
      <c r="F92" s="11">
        <v>0.9</v>
      </c>
      <c r="G92" s="11">
        <v>4.9000000000000004</v>
      </c>
      <c r="H92" s="11">
        <v>-1.3</v>
      </c>
      <c r="I92" s="11">
        <v>-0.3</v>
      </c>
      <c r="J92" s="11">
        <v>-0.4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</row>
    <row r="93" spans="1:60" ht="15.75" x14ac:dyDescent="0.25">
      <c r="A93" s="12" t="s">
        <v>553</v>
      </c>
      <c r="B93" s="11"/>
      <c r="C93" s="11">
        <v>-1.9</v>
      </c>
      <c r="D93" s="11">
        <v>0.5</v>
      </c>
      <c r="E93" s="11">
        <v>-3.8</v>
      </c>
      <c r="F93" s="11">
        <v>-3.5</v>
      </c>
      <c r="G93" s="11">
        <v>-6.1</v>
      </c>
      <c r="H93" s="11">
        <v>-2.5</v>
      </c>
      <c r="I93" s="11">
        <v>-2.9</v>
      </c>
      <c r="J93" s="11">
        <v>-2.5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</row>
    <row r="94" spans="1:60" ht="15.75" x14ac:dyDescent="0.25">
      <c r="A94" s="12" t="s">
        <v>554</v>
      </c>
      <c r="B94" s="11"/>
      <c r="C94" s="11">
        <v>1.5</v>
      </c>
      <c r="D94" s="11">
        <v>0.5</v>
      </c>
      <c r="E94" s="11">
        <v>2.2999999999999998</v>
      </c>
      <c r="F94" s="11">
        <v>2.7</v>
      </c>
      <c r="G94" s="11">
        <v>3.1</v>
      </c>
      <c r="H94" s="11">
        <v>2.1</v>
      </c>
      <c r="I94" s="11">
        <v>1.6</v>
      </c>
      <c r="J94" s="11">
        <v>1.5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</row>
    <row r="95" spans="1:60" ht="15.75" x14ac:dyDescent="0.25">
      <c r="A95" s="12" t="s">
        <v>555</v>
      </c>
      <c r="B95" s="11"/>
      <c r="C95" s="11">
        <v>0.1</v>
      </c>
      <c r="D95" s="11">
        <v>-0.2</v>
      </c>
      <c r="E95" s="11">
        <v>0.5</v>
      </c>
      <c r="F95" s="11">
        <v>0.4</v>
      </c>
      <c r="G95" s="11">
        <v>0</v>
      </c>
      <c r="H95" s="11">
        <v>0.9</v>
      </c>
      <c r="I95" s="11">
        <v>0.8</v>
      </c>
      <c r="J95" s="11">
        <v>-1.3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</row>
    <row r="96" spans="1:60" ht="15.75" x14ac:dyDescent="0.25">
      <c r="A96" s="12" t="s">
        <v>556</v>
      </c>
      <c r="B96" s="11"/>
      <c r="C96" s="11">
        <v>-0.6</v>
      </c>
      <c r="D96" s="11">
        <v>0.5</v>
      </c>
      <c r="E96" s="11">
        <v>-0.8</v>
      </c>
      <c r="F96" s="11">
        <v>-1.6</v>
      </c>
      <c r="G96" s="11">
        <v>1.1000000000000001</v>
      </c>
      <c r="H96" s="11">
        <v>-1.5</v>
      </c>
      <c r="I96" s="11">
        <v>-1.3</v>
      </c>
      <c r="J96" s="11">
        <v>-5.0999999999999996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</row>
    <row r="97" spans="1:60" ht="15.75" x14ac:dyDescent="0.25">
      <c r="A97" s="12" t="s">
        <v>557</v>
      </c>
      <c r="B97" s="11"/>
      <c r="C97" s="11">
        <v>0.2</v>
      </c>
      <c r="D97" s="11">
        <v>0.4</v>
      </c>
      <c r="E97" s="11">
        <v>-0.2</v>
      </c>
      <c r="F97" s="11">
        <v>1.2</v>
      </c>
      <c r="G97" s="11">
        <v>-0.2</v>
      </c>
      <c r="H97" s="11">
        <v>0.5</v>
      </c>
      <c r="I97" s="11">
        <v>-1.5</v>
      </c>
      <c r="J97" s="11">
        <v>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</row>
    <row r="98" spans="1:60" ht="15.75" x14ac:dyDescent="0.25">
      <c r="A98" s="12" t="s">
        <v>558</v>
      </c>
      <c r="B98" s="11"/>
      <c r="C98" s="11">
        <v>0</v>
      </c>
      <c r="D98" s="11">
        <v>-0.3</v>
      </c>
      <c r="E98" s="11">
        <v>-0.2</v>
      </c>
      <c r="F98" s="11">
        <v>1.4</v>
      </c>
      <c r="G98" s="11">
        <v>-1.5</v>
      </c>
      <c r="H98" s="11">
        <v>0.5</v>
      </c>
      <c r="I98" s="11">
        <v>-0.6</v>
      </c>
      <c r="J98" s="11">
        <v>4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</row>
    <row r="99" spans="1:60" ht="15.75" x14ac:dyDescent="0.25">
      <c r="A99" s="12" t="s">
        <v>559</v>
      </c>
      <c r="B99" s="11"/>
      <c r="C99" s="11">
        <v>0.7</v>
      </c>
      <c r="D99" s="11">
        <v>0.7</v>
      </c>
      <c r="E99" s="11">
        <v>1.2</v>
      </c>
      <c r="F99" s="11">
        <v>-0.3</v>
      </c>
      <c r="G99" s="11">
        <v>2.1</v>
      </c>
      <c r="H99" s="11">
        <v>-0.6</v>
      </c>
      <c r="I99" s="11">
        <v>2.5</v>
      </c>
      <c r="J99" s="11">
        <v>-2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</row>
    <row r="100" spans="1:60" ht="15.75" x14ac:dyDescent="0.25">
      <c r="A100" s="12" t="s">
        <v>560</v>
      </c>
      <c r="B100" s="11"/>
      <c r="C100" s="11">
        <v>-0.8</v>
      </c>
      <c r="D100" s="11">
        <v>0.7</v>
      </c>
      <c r="E100" s="11">
        <v>-1.6</v>
      </c>
      <c r="F100" s="11">
        <v>-1.3</v>
      </c>
      <c r="G100" s="11">
        <v>-3.7</v>
      </c>
      <c r="H100" s="11">
        <v>-1.2</v>
      </c>
      <c r="I100" s="11">
        <v>-0.5</v>
      </c>
      <c r="J100" s="11">
        <v>-2.8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</row>
    <row r="101" spans="1:60" ht="15.75" x14ac:dyDescent="0.25">
      <c r="A101" s="12" t="s">
        <v>561</v>
      </c>
      <c r="B101" s="11"/>
      <c r="C101" s="11">
        <v>0.5</v>
      </c>
      <c r="D101" s="11">
        <v>-1.5</v>
      </c>
      <c r="E101" s="11">
        <v>2.4</v>
      </c>
      <c r="F101" s="11">
        <v>3</v>
      </c>
      <c r="G101" s="11">
        <v>3.9</v>
      </c>
      <c r="H101" s="11">
        <v>3.5</v>
      </c>
      <c r="I101" s="11">
        <v>0.2</v>
      </c>
      <c r="J101" s="11">
        <v>-2.6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</row>
    <row r="102" spans="1:60" ht="15.75" x14ac:dyDescent="0.25">
      <c r="A102" s="12" t="s">
        <v>562</v>
      </c>
      <c r="B102" s="11"/>
      <c r="C102" s="11">
        <v>0.4</v>
      </c>
      <c r="D102" s="11">
        <v>0.3</v>
      </c>
      <c r="E102" s="11">
        <v>0.4</v>
      </c>
      <c r="F102" s="11">
        <v>0.8</v>
      </c>
      <c r="G102" s="11">
        <v>-2.4</v>
      </c>
      <c r="H102" s="11">
        <v>0.4</v>
      </c>
      <c r="I102" s="11">
        <v>2.4</v>
      </c>
      <c r="J102" s="11">
        <v>1.7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</row>
    <row r="103" spans="1:60" ht="15.75" x14ac:dyDescent="0.25">
      <c r="A103" s="12" t="s">
        <v>563</v>
      </c>
      <c r="B103" s="11"/>
      <c r="C103" s="11">
        <v>0.5</v>
      </c>
      <c r="D103" s="11">
        <v>-0.1</v>
      </c>
      <c r="E103" s="11">
        <v>0.9</v>
      </c>
      <c r="F103" s="11">
        <v>2.2000000000000002</v>
      </c>
      <c r="G103" s="11">
        <v>2.5</v>
      </c>
      <c r="H103" s="11">
        <v>1.2</v>
      </c>
      <c r="I103" s="11">
        <v>-1.2</v>
      </c>
      <c r="J103" s="11">
        <v>1.3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</row>
    <row r="104" spans="1:60" ht="15.75" x14ac:dyDescent="0.25">
      <c r="A104" s="12" t="s">
        <v>564</v>
      </c>
      <c r="B104" s="11"/>
      <c r="C104" s="11">
        <v>0</v>
      </c>
      <c r="D104" s="11">
        <v>0.3</v>
      </c>
      <c r="E104" s="11">
        <v>0.7</v>
      </c>
      <c r="F104" s="11">
        <v>-0.1</v>
      </c>
      <c r="G104" s="11">
        <v>3.9</v>
      </c>
      <c r="H104" s="11">
        <v>-0.6</v>
      </c>
      <c r="I104" s="11">
        <v>-0.5</v>
      </c>
      <c r="J104" s="11">
        <v>-7.4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</row>
    <row r="105" spans="1:60" ht="15.75" x14ac:dyDescent="0.25">
      <c r="A105" s="12" t="s">
        <v>565</v>
      </c>
      <c r="B105" s="11"/>
      <c r="C105" s="11">
        <v>-1.5</v>
      </c>
      <c r="D105" s="11">
        <v>-0.8</v>
      </c>
      <c r="E105" s="11">
        <v>-2.8</v>
      </c>
      <c r="F105" s="11">
        <v>-5.2</v>
      </c>
      <c r="G105" s="11">
        <v>-5</v>
      </c>
      <c r="H105" s="11">
        <v>-2.7</v>
      </c>
      <c r="I105" s="11">
        <v>0.2</v>
      </c>
      <c r="J105" s="11">
        <v>5.6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</row>
    <row r="106" spans="1:60" ht="15.75" x14ac:dyDescent="0.25">
      <c r="A106" s="12" t="s">
        <v>566</v>
      </c>
      <c r="B106" s="11">
        <v>2.6</v>
      </c>
      <c r="C106" s="11">
        <v>2.5</v>
      </c>
      <c r="D106" s="11">
        <v>2.6</v>
      </c>
      <c r="E106" s="11">
        <v>2.6</v>
      </c>
      <c r="F106" s="11">
        <v>5.4</v>
      </c>
      <c r="G106" s="11">
        <v>2.9</v>
      </c>
      <c r="H106" s="11">
        <v>4</v>
      </c>
      <c r="I106" s="11">
        <v>-0.2</v>
      </c>
      <c r="J106" s="11">
        <v>1.8</v>
      </c>
      <c r="K106" s="11">
        <v>3.5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</row>
    <row r="107" spans="1:60" ht="15.75" x14ac:dyDescent="0.25">
      <c r="A107" s="12" t="s">
        <v>567</v>
      </c>
      <c r="B107" s="11">
        <v>0.4</v>
      </c>
      <c r="C107" s="11">
        <v>-0.1</v>
      </c>
      <c r="D107" s="11">
        <v>-0.4</v>
      </c>
      <c r="E107" s="11">
        <v>0.1</v>
      </c>
      <c r="F107" s="11">
        <v>-1.2</v>
      </c>
      <c r="G107" s="11">
        <v>0.2</v>
      </c>
      <c r="H107" s="11">
        <v>0.3</v>
      </c>
      <c r="I107" s="11">
        <v>0.8</v>
      </c>
      <c r="J107" s="11">
        <v>-0.4</v>
      </c>
      <c r="K107" s="11">
        <v>6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</row>
    <row r="108" spans="1:60" ht="15.75" x14ac:dyDescent="0.25">
      <c r="A108" s="12" t="s">
        <v>568</v>
      </c>
      <c r="B108" s="11">
        <v>0.9</v>
      </c>
      <c r="C108" s="11">
        <v>1.1000000000000001</v>
      </c>
      <c r="D108" s="11">
        <v>0.2</v>
      </c>
      <c r="E108" s="11">
        <v>2</v>
      </c>
      <c r="F108" s="11">
        <v>4.9000000000000004</v>
      </c>
      <c r="G108" s="11">
        <v>1.5</v>
      </c>
      <c r="H108" s="11">
        <v>0.9</v>
      </c>
      <c r="I108" s="11">
        <v>1.8</v>
      </c>
      <c r="J108" s="11">
        <v>-0.4</v>
      </c>
      <c r="K108" s="11">
        <v>-1.5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</row>
    <row r="109" spans="1:60" ht="15.75" x14ac:dyDescent="0.25">
      <c r="A109" s="12" t="s">
        <v>569</v>
      </c>
      <c r="B109" s="11">
        <v>-0.2</v>
      </c>
      <c r="C109" s="11">
        <v>-0.1</v>
      </c>
      <c r="D109" s="11">
        <v>-0.3</v>
      </c>
      <c r="E109" s="11">
        <v>0.1</v>
      </c>
      <c r="F109" s="11">
        <v>-3.3</v>
      </c>
      <c r="G109" s="11">
        <v>-1.9</v>
      </c>
      <c r="H109" s="11">
        <v>4.0999999999999996</v>
      </c>
      <c r="I109" s="11">
        <v>0.6</v>
      </c>
      <c r="J109" s="11">
        <v>0.2</v>
      </c>
      <c r="K109" s="11">
        <v>-2.5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</row>
    <row r="110" spans="1:60" ht="15.75" x14ac:dyDescent="0.25">
      <c r="A110" s="12" t="s">
        <v>570</v>
      </c>
      <c r="B110" s="11">
        <v>0.3</v>
      </c>
      <c r="C110" s="11">
        <v>0.5</v>
      </c>
      <c r="D110" s="11">
        <v>0.8</v>
      </c>
      <c r="E110" s="11">
        <v>0.2</v>
      </c>
      <c r="F110" s="11">
        <v>1.1000000000000001</v>
      </c>
      <c r="G110" s="11">
        <v>4.4000000000000004</v>
      </c>
      <c r="H110" s="11">
        <v>-4.0999999999999996</v>
      </c>
      <c r="I110" s="11">
        <v>-0.2</v>
      </c>
      <c r="J110" s="11">
        <v>0.4</v>
      </c>
      <c r="K110" s="11">
        <v>-2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</row>
    <row r="111" spans="1:60" ht="15.75" x14ac:dyDescent="0.25">
      <c r="A111" s="12" t="s">
        <v>571</v>
      </c>
      <c r="B111" s="11">
        <v>-0.4</v>
      </c>
      <c r="C111" s="11">
        <v>-0.5</v>
      </c>
      <c r="D111" s="11">
        <v>0.2</v>
      </c>
      <c r="E111" s="11">
        <v>-1.3</v>
      </c>
      <c r="F111" s="11">
        <v>0</v>
      </c>
      <c r="G111" s="11">
        <v>-3.7</v>
      </c>
      <c r="H111" s="11">
        <v>0.8</v>
      </c>
      <c r="I111" s="11">
        <v>-1.7</v>
      </c>
      <c r="J111" s="11">
        <v>0.9</v>
      </c>
      <c r="K111" s="11">
        <v>1.3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</row>
    <row r="112" spans="1:60" ht="15.75" x14ac:dyDescent="0.25">
      <c r="A112" s="12" t="s">
        <v>572</v>
      </c>
      <c r="B112" s="11">
        <v>0.4</v>
      </c>
      <c r="C112" s="11">
        <v>0.5</v>
      </c>
      <c r="D112" s="11">
        <v>-0.8</v>
      </c>
      <c r="E112" s="11">
        <v>1.6</v>
      </c>
      <c r="F112" s="11">
        <v>1.2</v>
      </c>
      <c r="G112" s="11">
        <v>2.9</v>
      </c>
      <c r="H112" s="11">
        <v>1.7</v>
      </c>
      <c r="I112" s="11">
        <v>0.8</v>
      </c>
      <c r="J112" s="11">
        <v>-1.1000000000000001</v>
      </c>
      <c r="K112" s="11">
        <v>0.1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</row>
    <row r="113" spans="1:60" ht="15.75" x14ac:dyDescent="0.25">
      <c r="A113" s="12" t="s">
        <v>573</v>
      </c>
      <c r="B113" s="11">
        <v>1</v>
      </c>
      <c r="C113" s="11">
        <v>1.4</v>
      </c>
      <c r="D113" s="11">
        <v>1.3</v>
      </c>
      <c r="E113" s="11">
        <v>1.3</v>
      </c>
      <c r="F113" s="11">
        <v>1.8</v>
      </c>
      <c r="G113" s="11">
        <v>0.6</v>
      </c>
      <c r="H113" s="11">
        <v>1.7</v>
      </c>
      <c r="I113" s="11">
        <v>1.2</v>
      </c>
      <c r="J113" s="11">
        <v>2.5</v>
      </c>
      <c r="K113" s="11">
        <v>-3.4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</row>
    <row r="114" spans="1:60" ht="15.75" x14ac:dyDescent="0.25">
      <c r="A114" s="12" t="s">
        <v>574</v>
      </c>
      <c r="B114" s="11">
        <v>-0.3</v>
      </c>
      <c r="C114" s="11">
        <v>-0.1</v>
      </c>
      <c r="D114" s="11">
        <v>0.4</v>
      </c>
      <c r="E114" s="11">
        <v>-0.4</v>
      </c>
      <c r="F114" s="11">
        <v>-1.4</v>
      </c>
      <c r="G114" s="11">
        <v>-2</v>
      </c>
      <c r="H114" s="11">
        <v>2.2000000000000002</v>
      </c>
      <c r="I114" s="11">
        <v>-0.5</v>
      </c>
      <c r="J114" s="11">
        <v>-1.7</v>
      </c>
      <c r="K114" s="11">
        <v>-2.1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</row>
    <row r="115" spans="1:60" ht="15.75" x14ac:dyDescent="0.25">
      <c r="A115" s="12" t="s">
        <v>575</v>
      </c>
      <c r="B115" s="11">
        <v>0.3</v>
      </c>
      <c r="C115" s="11">
        <v>0.5</v>
      </c>
      <c r="D115" s="11">
        <v>0.5</v>
      </c>
      <c r="E115" s="11">
        <v>0.7</v>
      </c>
      <c r="F115" s="11">
        <v>2.2000000000000002</v>
      </c>
      <c r="G115" s="11">
        <v>4.4000000000000004</v>
      </c>
      <c r="H115" s="11">
        <v>-0.5</v>
      </c>
      <c r="I115" s="11">
        <v>-1.9</v>
      </c>
      <c r="J115" s="11">
        <v>-2.6</v>
      </c>
      <c r="K115" s="11">
        <v>-0.8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</row>
    <row r="116" spans="1:60" ht="15.75" x14ac:dyDescent="0.25">
      <c r="A116" s="12" t="s">
        <v>576</v>
      </c>
      <c r="B116" s="11">
        <v>-0.4</v>
      </c>
      <c r="C116" s="11">
        <v>-0.3</v>
      </c>
      <c r="D116" s="11">
        <v>-0.7</v>
      </c>
      <c r="E116" s="11">
        <v>0</v>
      </c>
      <c r="F116" s="11">
        <v>0.2</v>
      </c>
      <c r="G116" s="11">
        <v>-2.1</v>
      </c>
      <c r="H116" s="11">
        <v>-1.2</v>
      </c>
      <c r="I116" s="11">
        <v>2.5</v>
      </c>
      <c r="J116" s="11">
        <v>-0.2</v>
      </c>
      <c r="K116" s="11">
        <v>-1.9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</row>
    <row r="117" spans="1:60" ht="15.75" x14ac:dyDescent="0.25">
      <c r="A117" s="12" t="s">
        <v>577</v>
      </c>
      <c r="B117" s="11">
        <v>-0.1</v>
      </c>
      <c r="C117" s="11">
        <v>-0.1</v>
      </c>
      <c r="D117" s="11">
        <v>-0.4</v>
      </c>
      <c r="E117" s="11">
        <v>-0.2</v>
      </c>
      <c r="F117" s="11">
        <v>-2</v>
      </c>
      <c r="G117" s="11">
        <v>0.9</v>
      </c>
      <c r="H117" s="11">
        <v>-0.2</v>
      </c>
      <c r="I117" s="11">
        <v>-0.2</v>
      </c>
      <c r="J117" s="11">
        <v>2.6</v>
      </c>
      <c r="K117" s="11">
        <v>0.6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</row>
    <row r="118" spans="1:60" ht="15.75" x14ac:dyDescent="0.25">
      <c r="A118" s="12" t="s">
        <v>578</v>
      </c>
      <c r="B118" s="11">
        <v>0.9</v>
      </c>
      <c r="C118" s="11">
        <v>1.1000000000000001</v>
      </c>
      <c r="D118" s="11">
        <v>1.5</v>
      </c>
      <c r="E118" s="11">
        <v>1.3</v>
      </c>
      <c r="F118" s="11">
        <v>1.8</v>
      </c>
      <c r="G118" s="11">
        <v>0.9</v>
      </c>
      <c r="H118" s="11">
        <v>2.4</v>
      </c>
      <c r="I118" s="11">
        <v>0.5</v>
      </c>
      <c r="J118" s="11">
        <v>-3.9</v>
      </c>
      <c r="K118" s="11">
        <v>-1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</row>
    <row r="119" spans="1:60" ht="15.75" x14ac:dyDescent="0.25">
      <c r="A119" s="12" t="s">
        <v>579</v>
      </c>
      <c r="B119" s="11">
        <v>0.9</v>
      </c>
      <c r="C119" s="11">
        <v>0.6</v>
      </c>
      <c r="D119" s="11">
        <v>0.6</v>
      </c>
      <c r="E119" s="11">
        <v>0.2</v>
      </c>
      <c r="F119" s="11">
        <v>0</v>
      </c>
      <c r="G119" s="11">
        <v>1.4</v>
      </c>
      <c r="H119" s="11">
        <v>-1.7</v>
      </c>
      <c r="I119" s="11">
        <v>0.8</v>
      </c>
      <c r="J119" s="11">
        <v>3.9</v>
      </c>
      <c r="K119" s="11">
        <v>4.5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</row>
    <row r="120" spans="1:60" ht="15.75" x14ac:dyDescent="0.25">
      <c r="A120" s="12" t="s">
        <v>580</v>
      </c>
      <c r="B120" s="11">
        <v>1</v>
      </c>
      <c r="C120" s="11">
        <v>1</v>
      </c>
      <c r="D120" s="11">
        <v>0.6</v>
      </c>
      <c r="E120" s="11">
        <v>1.3</v>
      </c>
      <c r="F120" s="11">
        <v>2.4</v>
      </c>
      <c r="G120" s="11">
        <v>2.9</v>
      </c>
      <c r="H120" s="11">
        <v>3</v>
      </c>
      <c r="I120" s="11">
        <v>-2</v>
      </c>
      <c r="J120" s="11">
        <v>1.5</v>
      </c>
      <c r="K120" s="11">
        <v>1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</row>
    <row r="121" spans="1:60" ht="15.75" x14ac:dyDescent="0.25">
      <c r="A121" s="12" t="s">
        <v>581</v>
      </c>
      <c r="B121" s="11">
        <v>-0.4</v>
      </c>
      <c r="C121" s="11">
        <v>-0.7</v>
      </c>
      <c r="D121" s="11">
        <v>-0.4</v>
      </c>
      <c r="E121" s="11">
        <v>-1</v>
      </c>
      <c r="F121" s="11">
        <v>-1.8</v>
      </c>
      <c r="G121" s="11">
        <v>-2.5</v>
      </c>
      <c r="H121" s="11">
        <v>1.6</v>
      </c>
      <c r="I121" s="11">
        <v>-1.4</v>
      </c>
      <c r="J121" s="11">
        <v>-0.2</v>
      </c>
      <c r="K121" s="11">
        <v>3.9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</row>
    <row r="122" spans="1:60" ht="15.75" x14ac:dyDescent="0.25">
      <c r="A122" s="12" t="s">
        <v>582</v>
      </c>
      <c r="B122" s="11">
        <v>0.9</v>
      </c>
      <c r="C122" s="11">
        <v>1.1000000000000001</v>
      </c>
      <c r="D122" s="11">
        <v>-1.1000000000000001</v>
      </c>
      <c r="E122" s="11">
        <v>2.9</v>
      </c>
      <c r="F122" s="11">
        <v>2.1</v>
      </c>
      <c r="G122" s="11">
        <v>1.7</v>
      </c>
      <c r="H122" s="11">
        <v>6.1</v>
      </c>
      <c r="I122" s="11">
        <v>1.7</v>
      </c>
      <c r="J122" s="11">
        <v>-0.6</v>
      </c>
      <c r="K122" s="11">
        <v>-1.2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</row>
    <row r="123" spans="1:60" ht="15.75" x14ac:dyDescent="0.25">
      <c r="A123" s="12" t="s">
        <v>583</v>
      </c>
      <c r="B123" s="11">
        <v>0</v>
      </c>
      <c r="C123" s="11">
        <v>0.4</v>
      </c>
      <c r="D123" s="11">
        <v>1.8</v>
      </c>
      <c r="E123" s="11">
        <v>-1</v>
      </c>
      <c r="F123" s="11">
        <v>-0.5</v>
      </c>
      <c r="G123" s="11">
        <v>-0.4</v>
      </c>
      <c r="H123" s="11">
        <v>-4.0999999999999996</v>
      </c>
      <c r="I123" s="11">
        <v>0.9</v>
      </c>
      <c r="J123" s="11">
        <v>2.9</v>
      </c>
      <c r="K123" s="11">
        <v>-4.8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</row>
    <row r="124" spans="1:60" ht="15.75" x14ac:dyDescent="0.25">
      <c r="A124" s="12" t="s">
        <v>584</v>
      </c>
      <c r="B124" s="11">
        <v>-0.7</v>
      </c>
      <c r="C124" s="11">
        <v>-0.8</v>
      </c>
      <c r="D124" s="11">
        <v>0.5</v>
      </c>
      <c r="E124" s="11">
        <v>-1.3</v>
      </c>
      <c r="F124" s="11">
        <v>0.4</v>
      </c>
      <c r="G124" s="11">
        <v>-2.4</v>
      </c>
      <c r="H124" s="11">
        <v>-0.4</v>
      </c>
      <c r="I124" s="11">
        <v>-2</v>
      </c>
      <c r="J124" s="11">
        <v>-4.3</v>
      </c>
      <c r="K124" s="11">
        <v>-0.5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</row>
    <row r="125" spans="1:60" ht="15.75" x14ac:dyDescent="0.25">
      <c r="A125" s="12" t="s">
        <v>585</v>
      </c>
      <c r="B125" s="11">
        <v>-0.2</v>
      </c>
      <c r="C125" s="11">
        <v>-0.1</v>
      </c>
      <c r="D125" s="11">
        <v>0</v>
      </c>
      <c r="E125" s="11">
        <v>-0.1</v>
      </c>
      <c r="F125" s="11">
        <v>0.7</v>
      </c>
      <c r="G125" s="11">
        <v>1.5</v>
      </c>
      <c r="H125" s="11">
        <v>-1.9</v>
      </c>
      <c r="I125" s="11">
        <v>-0.5</v>
      </c>
      <c r="J125" s="11">
        <v>0.1</v>
      </c>
      <c r="K125" s="11">
        <v>-1.6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</row>
    <row r="126" spans="1:60" ht="15.75" x14ac:dyDescent="0.25">
      <c r="A126" s="12" t="s">
        <v>586</v>
      </c>
      <c r="B126" s="11">
        <v>1.8</v>
      </c>
      <c r="C126" s="11">
        <v>1.6</v>
      </c>
      <c r="D126" s="11">
        <v>0.3</v>
      </c>
      <c r="E126" s="11">
        <v>2.7</v>
      </c>
      <c r="F126" s="11">
        <v>1.3</v>
      </c>
      <c r="G126" s="11">
        <v>3</v>
      </c>
      <c r="H126" s="11">
        <v>3.1</v>
      </c>
      <c r="I126" s="11">
        <v>2.9</v>
      </c>
      <c r="J126" s="11">
        <v>0.9</v>
      </c>
      <c r="K126" s="11">
        <v>4.8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</row>
    <row r="127" spans="1:60" ht="15.75" x14ac:dyDescent="0.25">
      <c r="A127" s="12" t="s">
        <v>587</v>
      </c>
      <c r="B127" s="11">
        <v>-0.2</v>
      </c>
      <c r="C127" s="11">
        <v>-0.5</v>
      </c>
      <c r="D127" s="11">
        <v>0</v>
      </c>
      <c r="E127" s="11">
        <v>-0.8</v>
      </c>
      <c r="F127" s="11">
        <v>-0.8</v>
      </c>
      <c r="G127" s="11">
        <v>-1.3</v>
      </c>
      <c r="H127" s="11">
        <v>-0.2</v>
      </c>
      <c r="I127" s="11">
        <v>-0.8</v>
      </c>
      <c r="J127" s="11">
        <v>-1.5</v>
      </c>
      <c r="K127" s="11">
        <v>3.6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</row>
    <row r="128" spans="1:60" ht="15.75" x14ac:dyDescent="0.25">
      <c r="A128" s="12" t="s">
        <v>588</v>
      </c>
      <c r="B128" s="11">
        <v>0.6</v>
      </c>
      <c r="C128" s="11">
        <v>0.6</v>
      </c>
      <c r="D128" s="11">
        <v>0.7</v>
      </c>
      <c r="E128" s="11">
        <v>0.7</v>
      </c>
      <c r="F128" s="11">
        <v>-0.8</v>
      </c>
      <c r="G128" s="11">
        <v>2</v>
      </c>
      <c r="H128" s="11">
        <v>2</v>
      </c>
      <c r="I128" s="11">
        <v>-0.7</v>
      </c>
      <c r="J128" s="11">
        <v>-0.1</v>
      </c>
      <c r="K128" s="11">
        <v>0.5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</row>
    <row r="129" spans="1:60" ht="15.75" x14ac:dyDescent="0.25">
      <c r="A129" s="12" t="s">
        <v>589</v>
      </c>
      <c r="B129" s="11">
        <v>0</v>
      </c>
      <c r="C129" s="11">
        <v>0.2</v>
      </c>
      <c r="D129" s="11">
        <v>-0.5</v>
      </c>
      <c r="E129" s="11">
        <v>0.6</v>
      </c>
      <c r="F129" s="11">
        <v>1.2</v>
      </c>
      <c r="G129" s="11">
        <v>-1.7</v>
      </c>
      <c r="H129" s="11">
        <v>0.5</v>
      </c>
      <c r="I129" s="11">
        <v>2.4</v>
      </c>
      <c r="J129" s="11">
        <v>0.4</v>
      </c>
      <c r="K129" s="11">
        <v>-1.6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</row>
    <row r="130" spans="1:60" ht="15.75" x14ac:dyDescent="0.25">
      <c r="A130" s="12" t="s">
        <v>590</v>
      </c>
      <c r="B130" s="11">
        <v>-0.1</v>
      </c>
      <c r="C130" s="11">
        <v>0.1</v>
      </c>
      <c r="D130" s="11">
        <v>0.8</v>
      </c>
      <c r="E130" s="11">
        <v>-0.4</v>
      </c>
      <c r="F130" s="11">
        <v>-1.3</v>
      </c>
      <c r="G130" s="11">
        <v>0</v>
      </c>
      <c r="H130" s="11">
        <v>-1.8</v>
      </c>
      <c r="I130" s="11">
        <v>0.8</v>
      </c>
      <c r="J130" s="11">
        <v>-0.1</v>
      </c>
      <c r="K130" s="11">
        <v>-2.2000000000000002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</row>
    <row r="131" spans="1:60" ht="15.75" x14ac:dyDescent="0.25">
      <c r="A131" s="12" t="s">
        <v>591</v>
      </c>
      <c r="B131" s="11">
        <v>-0.2</v>
      </c>
      <c r="C131" s="11">
        <v>0.2</v>
      </c>
      <c r="D131" s="11">
        <v>0.4</v>
      </c>
      <c r="E131" s="11">
        <v>0.1</v>
      </c>
      <c r="F131" s="11">
        <v>0.7</v>
      </c>
      <c r="G131" s="11">
        <v>-0.9</v>
      </c>
      <c r="H131" s="11">
        <v>1.4</v>
      </c>
      <c r="I131" s="11">
        <v>-0.6</v>
      </c>
      <c r="J131" s="11">
        <v>-0.3</v>
      </c>
      <c r="K131" s="11">
        <v>-4.5999999999999996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</row>
    <row r="132" spans="1:60" ht="15.75" x14ac:dyDescent="0.25">
      <c r="A132" s="12" t="s">
        <v>592</v>
      </c>
      <c r="B132" s="11">
        <v>-0.1</v>
      </c>
      <c r="C132" s="11">
        <v>0.1</v>
      </c>
      <c r="D132" s="11">
        <v>0.2</v>
      </c>
      <c r="E132" s="11">
        <v>-0.3</v>
      </c>
      <c r="F132" s="11">
        <v>-1</v>
      </c>
      <c r="G132" s="11">
        <v>-1.4</v>
      </c>
      <c r="H132" s="11">
        <v>1.1000000000000001</v>
      </c>
      <c r="I132" s="11">
        <v>-0.2</v>
      </c>
      <c r="J132" s="11">
        <v>3.7</v>
      </c>
      <c r="K132" s="11">
        <v>-2.4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</row>
    <row r="133" spans="1:60" ht="15.75" x14ac:dyDescent="0.25">
      <c r="A133" s="12" t="s">
        <v>593</v>
      </c>
      <c r="B133" s="11">
        <v>1</v>
      </c>
      <c r="C133" s="11">
        <v>1.1000000000000001</v>
      </c>
      <c r="D133" s="11">
        <v>0.4</v>
      </c>
      <c r="E133" s="11">
        <v>2.1</v>
      </c>
      <c r="F133" s="11">
        <v>2</v>
      </c>
      <c r="G133" s="11">
        <v>4.8</v>
      </c>
      <c r="H133" s="11">
        <v>-1.5</v>
      </c>
      <c r="I133" s="11">
        <v>3</v>
      </c>
      <c r="J133" s="11">
        <v>-3</v>
      </c>
      <c r="K133" s="11">
        <v>-0.1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</row>
    <row r="134" spans="1:60" ht="15.75" x14ac:dyDescent="0.25">
      <c r="A134" s="12" t="s">
        <v>594</v>
      </c>
      <c r="B134" s="11">
        <v>-1.4</v>
      </c>
      <c r="C134" s="11">
        <v>-1.6</v>
      </c>
      <c r="D134" s="11">
        <v>0.1</v>
      </c>
      <c r="E134" s="11">
        <v>-3.4</v>
      </c>
      <c r="F134" s="11">
        <v>-3.6</v>
      </c>
      <c r="G134" s="11">
        <v>-6.3</v>
      </c>
      <c r="H134" s="11">
        <v>1</v>
      </c>
      <c r="I134" s="11">
        <v>-4.3</v>
      </c>
      <c r="J134" s="11">
        <v>2.1</v>
      </c>
      <c r="K134" s="11">
        <v>1.5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</row>
    <row r="135" spans="1:60" ht="15.75" x14ac:dyDescent="0.25">
      <c r="A135" s="12" t="s">
        <v>595</v>
      </c>
      <c r="B135" s="11">
        <v>0.9</v>
      </c>
      <c r="C135" s="11">
        <v>0.7</v>
      </c>
      <c r="D135" s="11">
        <v>-1.1000000000000001</v>
      </c>
      <c r="E135" s="11">
        <v>2.2000000000000002</v>
      </c>
      <c r="F135" s="11">
        <v>2.4</v>
      </c>
      <c r="G135" s="11">
        <v>4.7</v>
      </c>
      <c r="H135" s="11">
        <v>1.1000000000000001</v>
      </c>
      <c r="I135" s="11">
        <v>1.1000000000000001</v>
      </c>
      <c r="J135" s="11">
        <v>-0.3</v>
      </c>
      <c r="K135" s="11">
        <v>3.5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</row>
    <row r="136" spans="1:60" ht="15.75" x14ac:dyDescent="0.25">
      <c r="A136" s="12" t="s">
        <v>596</v>
      </c>
      <c r="B136" s="11">
        <v>0.7</v>
      </c>
      <c r="C136" s="11">
        <v>0.5</v>
      </c>
      <c r="D136" s="11">
        <v>1</v>
      </c>
      <c r="E136" s="11">
        <v>0.2</v>
      </c>
      <c r="F136" s="11">
        <v>0.8</v>
      </c>
      <c r="G136" s="11">
        <v>1.3</v>
      </c>
      <c r="H136" s="11">
        <v>-2.1</v>
      </c>
      <c r="I136" s="11">
        <v>0.8</v>
      </c>
      <c r="J136" s="11">
        <v>-0.4</v>
      </c>
      <c r="K136" s="11">
        <v>3.3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</row>
    <row r="137" spans="1:60" ht="15.75" x14ac:dyDescent="0.25">
      <c r="A137" s="12" t="s">
        <v>597</v>
      </c>
      <c r="B137" s="11">
        <v>-0.2</v>
      </c>
      <c r="C137" s="11">
        <v>-0.3</v>
      </c>
      <c r="D137" s="11">
        <v>-0.2</v>
      </c>
      <c r="E137" s="11">
        <v>-0.4</v>
      </c>
      <c r="F137" s="11">
        <v>-1.2</v>
      </c>
      <c r="G137" s="11">
        <v>-3.3</v>
      </c>
      <c r="H137" s="11">
        <v>3.5</v>
      </c>
      <c r="I137" s="11">
        <v>-0.7</v>
      </c>
      <c r="J137" s="11">
        <v>0</v>
      </c>
      <c r="K137" s="11">
        <v>1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</row>
    <row r="138" spans="1:60" ht="15.75" x14ac:dyDescent="0.25">
      <c r="A138" s="12" t="s">
        <v>598</v>
      </c>
      <c r="B138" s="11">
        <v>-0.6</v>
      </c>
      <c r="C138" s="11">
        <v>-0.4</v>
      </c>
      <c r="D138" s="11">
        <v>0.3</v>
      </c>
      <c r="E138" s="11">
        <v>-0.9</v>
      </c>
      <c r="F138" s="11">
        <v>-1.2</v>
      </c>
      <c r="G138" s="11">
        <v>1</v>
      </c>
      <c r="H138" s="11">
        <v>-2.2999999999999998</v>
      </c>
      <c r="I138" s="11">
        <v>-1.2</v>
      </c>
      <c r="J138" s="11">
        <v>-0.8</v>
      </c>
      <c r="K138" s="11">
        <v>-2.6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</row>
    <row r="139" spans="1:60" ht="15.75" x14ac:dyDescent="0.25">
      <c r="A139" s="12" t="s">
        <v>599</v>
      </c>
      <c r="B139" s="11">
        <v>0.3</v>
      </c>
      <c r="C139" s="11">
        <v>0.5</v>
      </c>
      <c r="D139" s="11">
        <v>0.2</v>
      </c>
      <c r="E139" s="11">
        <v>0.9</v>
      </c>
      <c r="F139" s="11">
        <v>2.2999999999999998</v>
      </c>
      <c r="G139" s="11">
        <v>1.8</v>
      </c>
      <c r="H139" s="11">
        <v>-0.2</v>
      </c>
      <c r="I139" s="11">
        <v>0.4</v>
      </c>
      <c r="J139" s="11">
        <v>-0.3</v>
      </c>
      <c r="K139" s="11">
        <v>-2.2000000000000002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</row>
    <row r="140" spans="1:60" ht="15.75" x14ac:dyDescent="0.25">
      <c r="A140" s="12" t="s">
        <v>600</v>
      </c>
      <c r="B140" s="11">
        <v>-0.5</v>
      </c>
      <c r="C140" s="11">
        <v>-0.4</v>
      </c>
      <c r="D140" s="11">
        <v>-1.4</v>
      </c>
      <c r="E140" s="11">
        <v>0</v>
      </c>
      <c r="F140" s="11">
        <v>-0.5</v>
      </c>
      <c r="G140" s="11">
        <v>-1.8</v>
      </c>
      <c r="H140" s="11">
        <v>2.6</v>
      </c>
      <c r="I140" s="11">
        <v>-0.5</v>
      </c>
      <c r="J140" s="11">
        <v>3.8</v>
      </c>
      <c r="K140" s="11">
        <v>-1.2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</row>
    <row r="141" spans="1:60" ht="15.75" x14ac:dyDescent="0.25">
      <c r="A141" s="12" t="s">
        <v>601</v>
      </c>
      <c r="B141" s="11">
        <v>0.9</v>
      </c>
      <c r="C141" s="11">
        <v>1</v>
      </c>
      <c r="D141" s="11">
        <v>1.2</v>
      </c>
      <c r="E141" s="11">
        <v>1.1000000000000001</v>
      </c>
      <c r="F141" s="11">
        <v>-0.4</v>
      </c>
      <c r="G141" s="11">
        <v>1.5</v>
      </c>
      <c r="H141" s="11">
        <v>1.4</v>
      </c>
      <c r="I141" s="11">
        <v>1.5</v>
      </c>
      <c r="J141" s="11">
        <v>-0.9</v>
      </c>
      <c r="K141" s="11">
        <v>-1.4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</row>
    <row r="142" spans="1:60" ht="15.75" x14ac:dyDescent="0.25">
      <c r="A142" s="12" t="s">
        <v>602</v>
      </c>
      <c r="B142" s="11">
        <v>-0.3</v>
      </c>
      <c r="C142" s="11">
        <v>-0.4</v>
      </c>
      <c r="D142" s="11">
        <v>0</v>
      </c>
      <c r="E142" s="11">
        <v>-0.6</v>
      </c>
      <c r="F142" s="11">
        <v>-1.2</v>
      </c>
      <c r="G142" s="11">
        <v>-0.2</v>
      </c>
      <c r="H142" s="11">
        <v>-0.8</v>
      </c>
      <c r="I142" s="11">
        <v>-0.5</v>
      </c>
      <c r="J142" s="11">
        <v>-1</v>
      </c>
      <c r="K142" s="11">
        <v>1.2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</row>
    <row r="143" spans="1:60" ht="15.75" x14ac:dyDescent="0.25">
      <c r="A143" s="12" t="s">
        <v>603</v>
      </c>
      <c r="B143" s="11">
        <v>0</v>
      </c>
      <c r="C143" s="11">
        <v>0.5</v>
      </c>
      <c r="D143" s="11">
        <v>-0.2</v>
      </c>
      <c r="E143" s="11">
        <v>0.9</v>
      </c>
      <c r="F143" s="11">
        <v>3.7</v>
      </c>
      <c r="G143" s="11">
        <v>0.9</v>
      </c>
      <c r="H143" s="11">
        <v>-0.2</v>
      </c>
      <c r="I143" s="11">
        <v>0.4</v>
      </c>
      <c r="J143" s="11">
        <v>2.4</v>
      </c>
      <c r="K143" s="11">
        <v>-6.5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</row>
    <row r="144" spans="1:60" ht="15.75" x14ac:dyDescent="0.25">
      <c r="A144" s="12" t="s">
        <v>604</v>
      </c>
      <c r="B144" s="11">
        <v>0.5</v>
      </c>
      <c r="C144" s="11">
        <v>0.2</v>
      </c>
      <c r="D144" s="11">
        <v>0.3</v>
      </c>
      <c r="E144" s="11">
        <v>0.5</v>
      </c>
      <c r="F144" s="11">
        <v>-2.1</v>
      </c>
      <c r="G144" s="11">
        <v>1.2</v>
      </c>
      <c r="H144" s="11">
        <v>0.4</v>
      </c>
      <c r="I144" s="11">
        <v>1.3</v>
      </c>
      <c r="J144" s="11">
        <v>-2.9</v>
      </c>
      <c r="K144" s="11">
        <v>3.9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</row>
    <row r="145" spans="1:60" ht="15.75" x14ac:dyDescent="0.25">
      <c r="A145" s="12" t="s">
        <v>605</v>
      </c>
      <c r="B145" s="11">
        <v>1.1000000000000001</v>
      </c>
      <c r="C145" s="11">
        <v>1.1000000000000001</v>
      </c>
      <c r="D145" s="11">
        <v>0.7</v>
      </c>
      <c r="E145" s="11">
        <v>1.6</v>
      </c>
      <c r="F145" s="11">
        <v>1.6</v>
      </c>
      <c r="G145" s="11">
        <v>0.4</v>
      </c>
      <c r="H145" s="11">
        <v>2.2999999999999998</v>
      </c>
      <c r="I145" s="11">
        <v>1.9</v>
      </c>
      <c r="J145" s="11">
        <v>-1</v>
      </c>
      <c r="K145" s="11">
        <v>1.5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</row>
    <row r="146" spans="1:60" ht="15.75" x14ac:dyDescent="0.25">
      <c r="A146" s="12" t="s">
        <v>606</v>
      </c>
      <c r="B146" s="11">
        <v>0.6</v>
      </c>
      <c r="C146" s="11">
        <v>0.3</v>
      </c>
      <c r="D146" s="11">
        <v>0.4</v>
      </c>
      <c r="E146" s="11">
        <v>0</v>
      </c>
      <c r="F146" s="11">
        <v>0.8</v>
      </c>
      <c r="G146" s="11">
        <v>0.3</v>
      </c>
      <c r="H146" s="11">
        <v>1.1000000000000001</v>
      </c>
      <c r="I146" s="11">
        <v>-1.5</v>
      </c>
      <c r="J146" s="11">
        <v>1.7</v>
      </c>
      <c r="K146" s="11">
        <v>4.4000000000000004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</row>
    <row r="147" spans="1:60" ht="15.75" x14ac:dyDescent="0.25">
      <c r="A147" s="12" t="s">
        <v>607</v>
      </c>
      <c r="B147" s="11">
        <v>-0.2</v>
      </c>
      <c r="C147" s="11">
        <v>0.1</v>
      </c>
      <c r="D147" s="11">
        <v>0.3</v>
      </c>
      <c r="E147" s="11">
        <v>0.1</v>
      </c>
      <c r="F147" s="11">
        <v>2.2000000000000002</v>
      </c>
      <c r="G147" s="11">
        <v>0.6</v>
      </c>
      <c r="H147" s="11">
        <v>-0.4</v>
      </c>
      <c r="I147" s="11">
        <v>-1</v>
      </c>
      <c r="J147" s="11">
        <v>-2.2999999999999998</v>
      </c>
      <c r="K147" s="11">
        <v>-3.8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</row>
    <row r="148" spans="1:60" ht="15.75" x14ac:dyDescent="0.25">
      <c r="A148" s="12" t="s">
        <v>608</v>
      </c>
      <c r="B148" s="11">
        <v>0.4</v>
      </c>
      <c r="C148" s="11">
        <v>0.6</v>
      </c>
      <c r="D148" s="11">
        <v>-0.4</v>
      </c>
      <c r="E148" s="11">
        <v>1.2</v>
      </c>
      <c r="F148" s="11">
        <v>0</v>
      </c>
      <c r="G148" s="11">
        <v>0.3</v>
      </c>
      <c r="H148" s="11">
        <v>2.9</v>
      </c>
      <c r="I148" s="11">
        <v>1.1000000000000001</v>
      </c>
      <c r="J148" s="11">
        <v>1.9</v>
      </c>
      <c r="K148" s="11">
        <v>-1.2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</row>
    <row r="149" spans="1:60" ht="15.75" x14ac:dyDescent="0.25">
      <c r="A149" s="12" t="s">
        <v>609</v>
      </c>
      <c r="B149" s="11">
        <v>-0.1</v>
      </c>
      <c r="C149" s="11">
        <v>-0.1</v>
      </c>
      <c r="D149" s="11">
        <v>1.3</v>
      </c>
      <c r="E149" s="11">
        <v>-1</v>
      </c>
      <c r="F149" s="11">
        <v>-0.5</v>
      </c>
      <c r="G149" s="11">
        <v>-2.8</v>
      </c>
      <c r="H149" s="11">
        <v>-1.4</v>
      </c>
      <c r="I149" s="11">
        <v>0.5</v>
      </c>
      <c r="J149" s="11">
        <v>-2.7</v>
      </c>
      <c r="K149" s="11">
        <v>0.7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</row>
    <row r="150" spans="1:60" ht="15.75" x14ac:dyDescent="0.25">
      <c r="A150" s="12" t="s">
        <v>610</v>
      </c>
      <c r="B150" s="11">
        <v>0.7</v>
      </c>
      <c r="C150" s="11">
        <v>0.5</v>
      </c>
      <c r="D150" s="11">
        <v>-0.6</v>
      </c>
      <c r="E150" s="11">
        <v>1.3</v>
      </c>
      <c r="F150" s="11">
        <v>1.9</v>
      </c>
      <c r="G150" s="11">
        <v>3.1</v>
      </c>
      <c r="H150" s="11">
        <v>1</v>
      </c>
      <c r="I150" s="11">
        <v>-0.1</v>
      </c>
      <c r="J150" s="11">
        <v>0.5</v>
      </c>
      <c r="K150" s="11">
        <v>3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</row>
    <row r="151" spans="1:60" ht="15.75" x14ac:dyDescent="0.25">
      <c r="A151" s="12" t="s">
        <v>611</v>
      </c>
      <c r="B151" s="11">
        <v>0.5</v>
      </c>
      <c r="C151" s="11">
        <v>0.3</v>
      </c>
      <c r="D151" s="11">
        <v>0</v>
      </c>
      <c r="E151" s="11">
        <v>0.5</v>
      </c>
      <c r="F151" s="11">
        <v>0.1</v>
      </c>
      <c r="G151" s="11">
        <v>0.5</v>
      </c>
      <c r="H151" s="11">
        <v>1.1000000000000001</v>
      </c>
      <c r="I151" s="11">
        <v>0.2</v>
      </c>
      <c r="J151" s="11">
        <v>1.3</v>
      </c>
      <c r="K151" s="11">
        <v>2.4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</row>
    <row r="152" spans="1:60" ht="15.75" x14ac:dyDescent="0.25">
      <c r="A152" s="12" t="s">
        <v>612</v>
      </c>
      <c r="B152" s="11">
        <v>0.7</v>
      </c>
      <c r="C152" s="11">
        <v>0.8</v>
      </c>
      <c r="D152" s="11">
        <v>2.6</v>
      </c>
      <c r="E152" s="11">
        <v>-0.5</v>
      </c>
      <c r="F152" s="11">
        <v>2</v>
      </c>
      <c r="G152" s="11">
        <v>0.4</v>
      </c>
      <c r="H152" s="11">
        <v>1.1000000000000001</v>
      </c>
      <c r="I152" s="11">
        <v>-4.3</v>
      </c>
      <c r="J152" s="11">
        <v>-1.2</v>
      </c>
      <c r="K152" s="11">
        <v>0.5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</row>
    <row r="153" spans="1:60" ht="15.75" x14ac:dyDescent="0.25">
      <c r="A153" s="12" t="s">
        <v>613</v>
      </c>
      <c r="B153" s="11">
        <v>2</v>
      </c>
      <c r="C153" s="11">
        <v>2</v>
      </c>
      <c r="D153" s="11">
        <v>-0.4</v>
      </c>
      <c r="E153" s="11">
        <v>3.6</v>
      </c>
      <c r="F153" s="11">
        <v>3.4</v>
      </c>
      <c r="G153" s="11">
        <v>2.1</v>
      </c>
      <c r="H153" s="11">
        <v>3.5</v>
      </c>
      <c r="I153" s="11">
        <v>5.0999999999999996</v>
      </c>
      <c r="J153" s="11">
        <v>5.2</v>
      </c>
      <c r="K153" s="11">
        <v>1.9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</row>
    <row r="154" spans="1:60" ht="15.75" x14ac:dyDescent="0.25">
      <c r="A154" s="12" t="s">
        <v>614</v>
      </c>
      <c r="B154" s="11">
        <v>-1.9</v>
      </c>
      <c r="C154" s="11">
        <v>-2.1</v>
      </c>
      <c r="D154" s="11">
        <v>-1.2</v>
      </c>
      <c r="E154" s="11">
        <v>-3.3</v>
      </c>
      <c r="F154" s="11">
        <v>-1.2</v>
      </c>
      <c r="G154" s="11">
        <v>-2.7</v>
      </c>
      <c r="H154" s="11">
        <v>-7.1</v>
      </c>
      <c r="I154" s="11">
        <v>-1.6</v>
      </c>
      <c r="J154" s="11">
        <v>2.2999999999999998</v>
      </c>
      <c r="K154" s="11">
        <v>0.2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</row>
    <row r="155" spans="1:60" ht="15.75" x14ac:dyDescent="0.25">
      <c r="A155" s="12" t="s">
        <v>615</v>
      </c>
      <c r="B155" s="11">
        <v>0.4</v>
      </c>
      <c r="C155" s="11">
        <v>0.9</v>
      </c>
      <c r="D155" s="11">
        <v>0.3</v>
      </c>
      <c r="E155" s="11">
        <v>1.5</v>
      </c>
      <c r="F155" s="11">
        <v>-1.2</v>
      </c>
      <c r="G155" s="11">
        <v>2.1</v>
      </c>
      <c r="H155" s="11">
        <v>5.3</v>
      </c>
      <c r="I155" s="11">
        <v>-0.4</v>
      </c>
      <c r="J155" s="11">
        <v>-0.9</v>
      </c>
      <c r="K155" s="11">
        <v>-5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</row>
    <row r="156" spans="1:60" ht="15.75" x14ac:dyDescent="0.25">
      <c r="A156" s="12" t="s">
        <v>616</v>
      </c>
      <c r="B156" s="11">
        <v>1.8</v>
      </c>
      <c r="C156" s="11">
        <v>-0.3</v>
      </c>
      <c r="D156" s="11">
        <v>1.5</v>
      </c>
      <c r="E156" s="11">
        <v>-1.5</v>
      </c>
      <c r="F156" s="11">
        <v>-0.2</v>
      </c>
      <c r="G156" s="11">
        <v>-0.2</v>
      </c>
      <c r="H156" s="11">
        <v>-3.6</v>
      </c>
      <c r="I156" s="11">
        <v>-1.4</v>
      </c>
      <c r="J156" s="11">
        <v>-2</v>
      </c>
      <c r="K156" s="11">
        <v>24.7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</row>
    <row r="157" spans="1:60" ht="15.75" x14ac:dyDescent="0.25">
      <c r="A157" s="12" t="s">
        <v>617</v>
      </c>
      <c r="B157" s="11">
        <v>-1.4</v>
      </c>
      <c r="C157" s="11">
        <v>-0.2</v>
      </c>
      <c r="D157" s="11">
        <v>-2.6</v>
      </c>
      <c r="E157" s="11">
        <v>1.4</v>
      </c>
      <c r="F157" s="11">
        <v>-0.8</v>
      </c>
      <c r="G157" s="11">
        <v>3.4</v>
      </c>
      <c r="H157" s="11">
        <v>1.6</v>
      </c>
      <c r="I157" s="11">
        <v>0.9</v>
      </c>
      <c r="J157" s="11">
        <v>3.2</v>
      </c>
      <c r="K157" s="11">
        <v>-11.9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</row>
    <row r="158" spans="1:60" ht="15.75" x14ac:dyDescent="0.25">
      <c r="A158" s="12" t="s">
        <v>618</v>
      </c>
      <c r="B158" s="11">
        <v>0</v>
      </c>
      <c r="C158" s="11">
        <v>0.4</v>
      </c>
      <c r="D158" s="11">
        <v>0.7</v>
      </c>
      <c r="E158" s="11">
        <v>0.6</v>
      </c>
      <c r="F158" s="11">
        <v>0.6</v>
      </c>
      <c r="G158" s="11">
        <v>-1.3</v>
      </c>
      <c r="H158" s="11">
        <v>1.3</v>
      </c>
      <c r="I158" s="11">
        <v>1.5</v>
      </c>
      <c r="J158" s="11">
        <v>-3.8</v>
      </c>
      <c r="K158" s="11">
        <v>-3.9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</row>
    <row r="159" spans="1:60" ht="15.75" x14ac:dyDescent="0.25">
      <c r="A159" s="12" t="s">
        <v>619</v>
      </c>
      <c r="B159" s="11">
        <v>-0.3</v>
      </c>
      <c r="C159" s="11">
        <v>0.3</v>
      </c>
      <c r="D159" s="11">
        <v>-0.6</v>
      </c>
      <c r="E159" s="11">
        <v>1.1000000000000001</v>
      </c>
      <c r="F159" s="11">
        <v>1</v>
      </c>
      <c r="G159" s="11">
        <v>2.1</v>
      </c>
      <c r="H159" s="11">
        <v>-0.1</v>
      </c>
      <c r="I159" s="11">
        <v>1.3</v>
      </c>
      <c r="J159" s="11">
        <v>0.2</v>
      </c>
      <c r="K159" s="11">
        <v>-7.2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</row>
    <row r="160" spans="1:60" ht="15.75" x14ac:dyDescent="0.25">
      <c r="A160" s="12" t="s">
        <v>620</v>
      </c>
      <c r="B160" s="11">
        <v>1.5</v>
      </c>
      <c r="C160" s="11">
        <v>1.1000000000000001</v>
      </c>
      <c r="D160" s="11">
        <v>1.6</v>
      </c>
      <c r="E160" s="11">
        <v>0.6</v>
      </c>
      <c r="F160" s="11">
        <v>-0.2</v>
      </c>
      <c r="G160" s="11">
        <v>1</v>
      </c>
      <c r="H160" s="11">
        <v>1</v>
      </c>
      <c r="I160" s="11">
        <v>0.5</v>
      </c>
      <c r="J160" s="11">
        <v>2.6</v>
      </c>
      <c r="K160" s="11">
        <v>5.4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</row>
    <row r="161" spans="1:60" ht="15.75" x14ac:dyDescent="0.25">
      <c r="A161" s="12" t="s">
        <v>621</v>
      </c>
      <c r="B161" s="11">
        <v>-0.1</v>
      </c>
      <c r="C161" s="11">
        <v>-0.1</v>
      </c>
      <c r="D161" s="11">
        <v>0.2</v>
      </c>
      <c r="E161" s="11">
        <v>-0.4</v>
      </c>
      <c r="F161" s="11">
        <v>0.6</v>
      </c>
      <c r="G161" s="11">
        <v>0.1</v>
      </c>
      <c r="H161" s="11">
        <v>-0.9</v>
      </c>
      <c r="I161" s="11">
        <v>-0.9</v>
      </c>
      <c r="J161" s="11">
        <v>0.3</v>
      </c>
      <c r="K161" s="11">
        <v>0.1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</row>
    <row r="162" spans="1:60" ht="15.75" x14ac:dyDescent="0.25">
      <c r="A162" s="12" t="s">
        <v>622</v>
      </c>
      <c r="B162" s="11">
        <v>0.7</v>
      </c>
      <c r="C162" s="11">
        <v>0.8</v>
      </c>
      <c r="D162" s="11">
        <v>-0.1</v>
      </c>
      <c r="E162" s="11">
        <v>1.4</v>
      </c>
      <c r="F162" s="11">
        <v>1.1000000000000001</v>
      </c>
      <c r="G162" s="11">
        <v>4.8</v>
      </c>
      <c r="H162" s="11">
        <v>0</v>
      </c>
      <c r="I162" s="11">
        <v>0.1</v>
      </c>
      <c r="J162" s="11">
        <v>2.4</v>
      </c>
      <c r="K162" s="11">
        <v>-0.3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</row>
    <row r="163" spans="1:60" ht="15.75" x14ac:dyDescent="0.25">
      <c r="A163" s="12" t="s">
        <v>623</v>
      </c>
      <c r="B163" s="11">
        <v>0</v>
      </c>
      <c r="C163" s="11">
        <v>-0.1</v>
      </c>
      <c r="D163" s="11">
        <v>0.4</v>
      </c>
      <c r="E163" s="11">
        <v>-0.6</v>
      </c>
      <c r="F163" s="11">
        <v>-0.7</v>
      </c>
      <c r="G163" s="11">
        <v>-4.4000000000000004</v>
      </c>
      <c r="H163" s="11">
        <v>3.7</v>
      </c>
      <c r="I163" s="11">
        <v>-0.9</v>
      </c>
      <c r="J163" s="11">
        <v>0.9</v>
      </c>
      <c r="K163" s="11">
        <v>0.6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</row>
    <row r="164" spans="1:60" ht="15.75" x14ac:dyDescent="0.25">
      <c r="A164" s="12" t="s">
        <v>624</v>
      </c>
      <c r="B164" s="11">
        <v>0.1</v>
      </c>
      <c r="C164" s="11">
        <v>0.4</v>
      </c>
      <c r="D164" s="11">
        <v>0</v>
      </c>
      <c r="E164" s="11">
        <v>0.4</v>
      </c>
      <c r="F164" s="11">
        <v>0.3</v>
      </c>
      <c r="G164" s="11">
        <v>0.6</v>
      </c>
      <c r="H164" s="11">
        <v>-0.8</v>
      </c>
      <c r="I164" s="11">
        <v>1.3</v>
      </c>
      <c r="J164" s="11">
        <v>3.8</v>
      </c>
      <c r="K164" s="11">
        <v>-3.1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</row>
    <row r="165" spans="1:60" ht="15.75" x14ac:dyDescent="0.25">
      <c r="A165" s="12" t="s">
        <v>625</v>
      </c>
      <c r="B165" s="11">
        <v>1.6</v>
      </c>
      <c r="C165" s="11">
        <v>1.6</v>
      </c>
      <c r="D165" s="11">
        <v>1</v>
      </c>
      <c r="E165" s="11">
        <v>3.2</v>
      </c>
      <c r="F165" s="11">
        <v>2.4</v>
      </c>
      <c r="G165" s="11">
        <v>7.9</v>
      </c>
      <c r="H165" s="11">
        <v>1</v>
      </c>
      <c r="I165" s="11">
        <v>1.6</v>
      </c>
      <c r="J165" s="11">
        <v>-8.5</v>
      </c>
      <c r="K165" s="11">
        <v>1.8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</row>
    <row r="166" spans="1:60" ht="15.75" x14ac:dyDescent="0.25">
      <c r="A166" s="12" t="s">
        <v>626</v>
      </c>
      <c r="B166" s="11">
        <v>3.8</v>
      </c>
      <c r="C166" s="11">
        <v>4.0999999999999996</v>
      </c>
      <c r="D166" s="11">
        <v>7.5</v>
      </c>
      <c r="E166" s="11">
        <v>2.2999999999999998</v>
      </c>
      <c r="F166" s="11">
        <v>0.1</v>
      </c>
      <c r="G166" s="11">
        <v>-4.4000000000000004</v>
      </c>
      <c r="H166" s="11">
        <v>10.7</v>
      </c>
      <c r="I166" s="11">
        <v>2.5</v>
      </c>
      <c r="J166" s="11">
        <v>-5.2</v>
      </c>
      <c r="K166" s="11">
        <v>0.8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</row>
    <row r="167" spans="1:60" ht="15.75" x14ac:dyDescent="0.25">
      <c r="A167" s="12" t="s">
        <v>627</v>
      </c>
      <c r="B167" s="11">
        <v>-0.1</v>
      </c>
      <c r="C167" s="11">
        <v>-0.1</v>
      </c>
      <c r="D167" s="11">
        <v>0.4</v>
      </c>
      <c r="E167" s="11">
        <v>-0.9</v>
      </c>
      <c r="F167" s="11">
        <v>0.2</v>
      </c>
      <c r="G167" s="11">
        <v>-2.1</v>
      </c>
      <c r="H167" s="11">
        <v>1.6</v>
      </c>
      <c r="I167" s="11">
        <v>-2.8</v>
      </c>
      <c r="J167" s="11">
        <v>3.4</v>
      </c>
      <c r="K167" s="1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</row>
    <row r="168" spans="1:60" ht="15.75" x14ac:dyDescent="0.25">
      <c r="A168" s="12" t="s">
        <v>628</v>
      </c>
      <c r="B168" s="11">
        <v>0.3</v>
      </c>
      <c r="C168" s="11">
        <v>0.6</v>
      </c>
      <c r="D168" s="11">
        <v>-0.7</v>
      </c>
      <c r="E168" s="11">
        <v>1.2</v>
      </c>
      <c r="F168" s="11">
        <v>1.1000000000000001</v>
      </c>
      <c r="G168" s="11">
        <v>0.1</v>
      </c>
      <c r="H168" s="11">
        <v>1.1000000000000001</v>
      </c>
      <c r="I168" s="11">
        <v>2.2000000000000002</v>
      </c>
      <c r="J168" s="11">
        <v>5.4</v>
      </c>
      <c r="K168" s="11">
        <v>-2.5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</row>
    <row r="169" spans="1:60" ht="15.75" x14ac:dyDescent="0.25">
      <c r="A169" s="12" t="s">
        <v>629</v>
      </c>
      <c r="B169" s="11">
        <v>1.8</v>
      </c>
      <c r="C169" s="11">
        <v>1.7</v>
      </c>
      <c r="D169" s="11">
        <v>1.7</v>
      </c>
      <c r="E169" s="11">
        <v>1.9</v>
      </c>
      <c r="F169" s="11">
        <v>1.1000000000000001</v>
      </c>
      <c r="G169" s="11">
        <v>3.6</v>
      </c>
      <c r="H169" s="11">
        <v>0.8</v>
      </c>
      <c r="I169" s="11">
        <v>2</v>
      </c>
      <c r="J169" s="11">
        <v>0.3</v>
      </c>
      <c r="K169" s="11">
        <v>2.9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</row>
    <row r="170" spans="1:60" ht="15.75" x14ac:dyDescent="0.25">
      <c r="A170" s="12" t="s">
        <v>630</v>
      </c>
      <c r="B170" s="11">
        <v>-0.3</v>
      </c>
      <c r="C170" s="11">
        <v>-0.6</v>
      </c>
      <c r="D170" s="11">
        <v>-0.7</v>
      </c>
      <c r="E170" s="11">
        <v>-0.5</v>
      </c>
      <c r="F170" s="11">
        <v>-1</v>
      </c>
      <c r="G170" s="11">
        <v>-0.8</v>
      </c>
      <c r="H170" s="11">
        <v>-0.6</v>
      </c>
      <c r="I170" s="11">
        <v>0.1</v>
      </c>
      <c r="J170" s="11">
        <v>-1.4</v>
      </c>
      <c r="K170" s="11">
        <v>2.9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</row>
    <row r="171" spans="1:60" ht="15.75" x14ac:dyDescent="0.25">
      <c r="A171" s="12" t="s">
        <v>631</v>
      </c>
      <c r="B171" s="11">
        <v>0.9</v>
      </c>
      <c r="C171" s="11">
        <v>1.1000000000000001</v>
      </c>
      <c r="D171" s="11">
        <v>0.3</v>
      </c>
      <c r="E171" s="11">
        <v>1.2</v>
      </c>
      <c r="F171" s="11">
        <v>0.8</v>
      </c>
      <c r="G171" s="11">
        <v>0.6</v>
      </c>
      <c r="H171" s="11">
        <v>0.7</v>
      </c>
      <c r="I171" s="11">
        <v>2.5</v>
      </c>
      <c r="J171" s="11">
        <v>5.5</v>
      </c>
      <c r="K171" s="11">
        <v>-0.8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</row>
    <row r="172" spans="1:60" ht="15.75" x14ac:dyDescent="0.25">
      <c r="A172" s="12" t="s">
        <v>632</v>
      </c>
      <c r="B172" s="11">
        <v>-0.1</v>
      </c>
      <c r="C172" s="11">
        <v>-0.1</v>
      </c>
      <c r="D172" s="11">
        <v>0.3</v>
      </c>
      <c r="E172" s="11">
        <v>0.3</v>
      </c>
      <c r="F172" s="11">
        <v>0</v>
      </c>
      <c r="G172" s="11">
        <v>0</v>
      </c>
      <c r="H172" s="11">
        <v>1.5</v>
      </c>
      <c r="I172" s="11">
        <v>-0.4</v>
      </c>
      <c r="J172" s="11">
        <v>-6.3</v>
      </c>
      <c r="K172" s="11">
        <v>-0.1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</row>
    <row r="173" spans="1:60" ht="15.75" x14ac:dyDescent="0.25">
      <c r="A173" s="12" t="s">
        <v>633</v>
      </c>
      <c r="B173" s="11">
        <v>0.4</v>
      </c>
      <c r="C173" s="11">
        <v>0.6</v>
      </c>
      <c r="D173" s="11">
        <v>0.1</v>
      </c>
      <c r="E173" s="11">
        <v>0.8</v>
      </c>
      <c r="F173" s="11">
        <v>0</v>
      </c>
      <c r="G173" s="11">
        <v>4.5999999999999996</v>
      </c>
      <c r="H173" s="11">
        <v>-0.9</v>
      </c>
      <c r="I173" s="11">
        <v>-0.2</v>
      </c>
      <c r="J173" s="11">
        <v>2.9</v>
      </c>
      <c r="K173" s="11">
        <v>-1.8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</row>
    <row r="174" spans="1:60" ht="15.75" x14ac:dyDescent="0.25">
      <c r="A174" s="12" t="s">
        <v>634</v>
      </c>
      <c r="B174" s="11">
        <v>1</v>
      </c>
      <c r="C174" s="11">
        <v>1</v>
      </c>
      <c r="D174" s="11">
        <v>1.4</v>
      </c>
      <c r="E174" s="11">
        <v>0.6</v>
      </c>
      <c r="F174" s="11">
        <v>-0.4</v>
      </c>
      <c r="G174" s="11">
        <v>-3.2</v>
      </c>
      <c r="H174" s="11">
        <v>4</v>
      </c>
      <c r="I174" s="11">
        <v>1.5</v>
      </c>
      <c r="J174" s="11">
        <v>0.8</v>
      </c>
      <c r="K174" s="11">
        <v>2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</row>
    <row r="175" spans="1:60" ht="15.75" x14ac:dyDescent="0.25">
      <c r="A175" s="12" t="s">
        <v>635</v>
      </c>
      <c r="B175" s="11">
        <v>1</v>
      </c>
      <c r="C175" s="11">
        <v>1</v>
      </c>
      <c r="D175" s="11">
        <v>0.8</v>
      </c>
      <c r="E175" s="11">
        <v>1.4</v>
      </c>
      <c r="F175" s="11">
        <v>1.5</v>
      </c>
      <c r="G175" s="11">
        <v>5.0999999999999996</v>
      </c>
      <c r="H175" s="11">
        <v>-2.1</v>
      </c>
      <c r="I175" s="11">
        <v>1.6</v>
      </c>
      <c r="J175" s="11">
        <v>-1</v>
      </c>
      <c r="K175" s="11">
        <v>0.7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</row>
    <row r="176" spans="1:60" ht="15.75" x14ac:dyDescent="0.25">
      <c r="A176" s="12" t="s">
        <v>636</v>
      </c>
      <c r="B176" s="11">
        <v>1.4</v>
      </c>
      <c r="C176" s="11">
        <v>1.1000000000000001</v>
      </c>
      <c r="D176" s="11">
        <v>0.4</v>
      </c>
      <c r="E176" s="11">
        <v>1.7</v>
      </c>
      <c r="F176" s="11">
        <v>0.7</v>
      </c>
      <c r="G176" s="11">
        <v>0</v>
      </c>
      <c r="H176" s="11">
        <v>2</v>
      </c>
      <c r="I176" s="11">
        <v>3.4</v>
      </c>
      <c r="J176" s="11">
        <v>2</v>
      </c>
      <c r="K176" s="11">
        <v>4.3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</row>
    <row r="177" spans="1:60" ht="15.75" x14ac:dyDescent="0.25">
      <c r="A177" s="12" t="s">
        <v>637</v>
      </c>
      <c r="B177" s="11">
        <v>-0.8</v>
      </c>
      <c r="C177" s="11">
        <v>-0.6</v>
      </c>
      <c r="D177" s="11">
        <v>-0.7</v>
      </c>
      <c r="E177" s="11">
        <v>-0.6</v>
      </c>
      <c r="F177" s="11">
        <v>-0.7</v>
      </c>
      <c r="G177" s="11">
        <v>-0.5</v>
      </c>
      <c r="H177" s="11">
        <v>-2.2999999999999998</v>
      </c>
      <c r="I177" s="11">
        <v>1</v>
      </c>
      <c r="J177" s="11">
        <v>-0.7</v>
      </c>
      <c r="K177" s="11">
        <v>-2.5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</row>
    <row r="178" spans="1:60" ht="15.75" x14ac:dyDescent="0.25">
      <c r="A178" s="12" t="s">
        <v>638</v>
      </c>
      <c r="B178" s="11">
        <v>1.4</v>
      </c>
      <c r="C178" s="11">
        <v>1.6</v>
      </c>
      <c r="D178" s="11">
        <v>1</v>
      </c>
      <c r="E178" s="11">
        <v>2.1</v>
      </c>
      <c r="F178" s="11">
        <v>1.5</v>
      </c>
      <c r="G178" s="11">
        <v>3</v>
      </c>
      <c r="H178" s="11">
        <v>2.9</v>
      </c>
      <c r="I178" s="11">
        <v>1.1000000000000001</v>
      </c>
      <c r="J178" s="11">
        <v>0.6</v>
      </c>
      <c r="K178" s="11">
        <v>-0.1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</row>
    <row r="179" spans="1:60" ht="15.75" x14ac:dyDescent="0.25">
      <c r="A179" s="12" t="s">
        <v>639</v>
      </c>
      <c r="B179" s="11">
        <v>0.4</v>
      </c>
      <c r="C179" s="11">
        <v>0.3</v>
      </c>
      <c r="D179" s="11">
        <v>-0.2</v>
      </c>
      <c r="E179" s="11">
        <v>0.8</v>
      </c>
      <c r="F179" s="11">
        <v>-0.1</v>
      </c>
      <c r="G179" s="11">
        <v>-0.5</v>
      </c>
      <c r="H179" s="11">
        <v>1.8</v>
      </c>
      <c r="I179" s="11">
        <v>1.5</v>
      </c>
      <c r="J179" s="11">
        <v>-1.6</v>
      </c>
      <c r="K179" s="11">
        <v>1.9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</row>
    <row r="180" spans="1:60" ht="15.75" x14ac:dyDescent="0.25">
      <c r="A180" s="12" t="s">
        <v>640</v>
      </c>
      <c r="B180" s="11">
        <v>1.5</v>
      </c>
      <c r="C180" s="11">
        <v>1.7</v>
      </c>
      <c r="D180" s="11">
        <v>0.5</v>
      </c>
      <c r="E180" s="11">
        <v>2.7</v>
      </c>
      <c r="F180" s="11">
        <v>1.1000000000000001</v>
      </c>
      <c r="G180" s="11">
        <v>7</v>
      </c>
      <c r="H180" s="11">
        <v>-0.7</v>
      </c>
      <c r="I180" s="11">
        <v>2.9</v>
      </c>
      <c r="J180" s="11">
        <v>0.6</v>
      </c>
      <c r="K180" s="11">
        <v>0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</row>
    <row r="181" spans="1:60" ht="15.75" x14ac:dyDescent="0.25">
      <c r="A181" s="12" t="s">
        <v>641</v>
      </c>
      <c r="B181" s="11">
        <v>-0.9</v>
      </c>
      <c r="C181" s="11">
        <v>-0.9</v>
      </c>
      <c r="D181" s="11">
        <v>0.4</v>
      </c>
      <c r="E181" s="11">
        <v>-2</v>
      </c>
      <c r="F181" s="11">
        <v>0</v>
      </c>
      <c r="G181" s="11">
        <v>-7.5</v>
      </c>
      <c r="H181" s="11">
        <v>2.2999999999999998</v>
      </c>
      <c r="I181" s="11">
        <v>-2</v>
      </c>
      <c r="J181" s="11">
        <v>0.7</v>
      </c>
      <c r="K181" s="11">
        <v>-1.2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</row>
    <row r="182" spans="1:60" ht="15.75" x14ac:dyDescent="0.25">
      <c r="A182" s="12" t="s">
        <v>642</v>
      </c>
      <c r="B182" s="11">
        <v>-1.6</v>
      </c>
      <c r="C182" s="11">
        <v>-1.2</v>
      </c>
      <c r="D182" s="11">
        <v>-0.3</v>
      </c>
      <c r="E182" s="11">
        <v>-2.2999999999999998</v>
      </c>
      <c r="F182" s="11">
        <v>-3.4</v>
      </c>
      <c r="G182" s="11">
        <v>2.2999999999999998</v>
      </c>
      <c r="H182" s="11">
        <v>-4.0999999999999996</v>
      </c>
      <c r="I182" s="11">
        <v>-3.8</v>
      </c>
      <c r="J182" s="11">
        <v>3.4</v>
      </c>
      <c r="K182" s="11">
        <v>-6.1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</row>
    <row r="183" spans="1:60" ht="15.75" x14ac:dyDescent="0.25">
      <c r="A183" s="12" t="s">
        <v>643</v>
      </c>
      <c r="B183" s="11">
        <v>1.4</v>
      </c>
      <c r="C183" s="11">
        <v>1.7</v>
      </c>
      <c r="D183" s="11">
        <v>0.8</v>
      </c>
      <c r="E183" s="11">
        <v>2.2999999999999998</v>
      </c>
      <c r="F183" s="11">
        <v>5.7</v>
      </c>
      <c r="G183" s="11">
        <v>2.2999999999999998</v>
      </c>
      <c r="H183" s="11">
        <v>1.3</v>
      </c>
      <c r="I183" s="11">
        <v>1.4</v>
      </c>
      <c r="J183" s="11">
        <v>1.9</v>
      </c>
      <c r="K183" s="11">
        <v>-1.3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</row>
    <row r="184" spans="1:60" ht="15.75" x14ac:dyDescent="0.25">
      <c r="A184" s="12" t="s">
        <v>644</v>
      </c>
      <c r="B184" s="11">
        <v>0.2</v>
      </c>
      <c r="C184" s="11">
        <v>0.1</v>
      </c>
      <c r="D184" s="11">
        <v>-0.2</v>
      </c>
      <c r="E184" s="11">
        <v>0</v>
      </c>
      <c r="F184" s="11">
        <v>-2.1</v>
      </c>
      <c r="G184" s="11">
        <v>1.9</v>
      </c>
      <c r="H184" s="11">
        <v>0</v>
      </c>
      <c r="I184" s="11">
        <v>-0.3</v>
      </c>
      <c r="J184" s="11">
        <v>3.7</v>
      </c>
      <c r="K184" s="11">
        <v>1.2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</row>
    <row r="185" spans="1:60" ht="15.75" x14ac:dyDescent="0.25">
      <c r="A185" s="12" t="s">
        <v>645</v>
      </c>
      <c r="B185" s="11">
        <v>-0.1</v>
      </c>
      <c r="C185" s="11">
        <v>-0.4</v>
      </c>
      <c r="D185" s="11">
        <v>0</v>
      </c>
      <c r="E185" s="11">
        <v>-0.2</v>
      </c>
      <c r="F185" s="11">
        <v>1.2</v>
      </c>
      <c r="G185" s="11">
        <v>-3.5</v>
      </c>
      <c r="H185" s="11">
        <v>1.8</v>
      </c>
      <c r="I185" s="11">
        <v>0.4</v>
      </c>
      <c r="J185" s="11">
        <v>-6.2</v>
      </c>
      <c r="K185" s="11">
        <v>3.1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</row>
    <row r="186" spans="1:60" ht="15.75" x14ac:dyDescent="0.25">
      <c r="A186" s="12" t="s">
        <v>646</v>
      </c>
      <c r="B186" s="11">
        <v>0.5</v>
      </c>
      <c r="C186" s="11">
        <v>0.5</v>
      </c>
      <c r="D186" s="11">
        <v>0.1</v>
      </c>
      <c r="E186" s="11">
        <v>0.9</v>
      </c>
      <c r="F186" s="11">
        <v>0.7</v>
      </c>
      <c r="G186" s="11">
        <v>3</v>
      </c>
      <c r="H186" s="11">
        <v>0</v>
      </c>
      <c r="I186" s="11">
        <v>0.1</v>
      </c>
      <c r="J186" s="11">
        <v>-0.3</v>
      </c>
      <c r="K186" s="11">
        <v>-0.4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</row>
    <row r="187" spans="1:60" ht="15.75" x14ac:dyDescent="0.25">
      <c r="A187" s="12" t="s">
        <v>647</v>
      </c>
      <c r="B187" s="11">
        <v>0.6</v>
      </c>
      <c r="C187" s="11">
        <v>0.6</v>
      </c>
      <c r="D187" s="11">
        <v>0.4</v>
      </c>
      <c r="E187" s="11">
        <v>0.8</v>
      </c>
      <c r="F187" s="11">
        <v>0.2</v>
      </c>
      <c r="G187" s="11">
        <v>-0.2</v>
      </c>
      <c r="H187" s="11">
        <v>1.1000000000000001</v>
      </c>
      <c r="I187" s="11">
        <v>1.8</v>
      </c>
      <c r="J187" s="11">
        <v>0.1</v>
      </c>
      <c r="K187" s="11">
        <v>0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</row>
    <row r="188" spans="1:60" ht="15.75" x14ac:dyDescent="0.25">
      <c r="A188" s="12" t="s">
        <v>648</v>
      </c>
      <c r="B188" s="11">
        <v>0.2</v>
      </c>
      <c r="C188" s="11">
        <v>-0.2</v>
      </c>
      <c r="D188" s="11">
        <v>1.5</v>
      </c>
      <c r="E188" s="11">
        <v>-0.8</v>
      </c>
      <c r="F188" s="11">
        <v>-1.2</v>
      </c>
      <c r="G188" s="11">
        <v>4.7</v>
      </c>
      <c r="H188" s="11">
        <v>-3.4</v>
      </c>
      <c r="I188" s="11">
        <v>-3.1</v>
      </c>
      <c r="J188" s="11">
        <v>-7.3</v>
      </c>
      <c r="K188" s="11">
        <v>4.4000000000000004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</row>
    <row r="189" spans="1:60" ht="15.75" x14ac:dyDescent="0.25">
      <c r="A189" s="12" t="s">
        <v>649</v>
      </c>
      <c r="B189" s="11">
        <v>-0.9</v>
      </c>
      <c r="C189" s="11">
        <v>-1.3</v>
      </c>
      <c r="D189" s="11">
        <v>-2</v>
      </c>
      <c r="E189" s="11">
        <v>-0.5</v>
      </c>
      <c r="F189" s="11">
        <v>0.1</v>
      </c>
      <c r="G189" s="11">
        <v>-3</v>
      </c>
      <c r="H189" s="11">
        <v>-0.3</v>
      </c>
      <c r="I189" s="11">
        <v>1.3</v>
      </c>
      <c r="J189" s="11">
        <v>-4.9000000000000004</v>
      </c>
      <c r="K189" s="11">
        <v>4.3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</row>
    <row r="190" spans="1:60" ht="15.75" x14ac:dyDescent="0.25">
      <c r="A190" s="12" t="s">
        <v>650</v>
      </c>
      <c r="B190" s="11">
        <v>-0.1</v>
      </c>
      <c r="C190" s="11">
        <v>0.1</v>
      </c>
      <c r="D190" s="11">
        <v>0.5</v>
      </c>
      <c r="E190" s="11">
        <v>0.1</v>
      </c>
      <c r="F190" s="11">
        <v>-1</v>
      </c>
      <c r="G190" s="11">
        <v>0.3</v>
      </c>
      <c r="H190" s="11">
        <v>0.4</v>
      </c>
      <c r="I190" s="11">
        <v>0.4</v>
      </c>
      <c r="J190" s="11">
        <v>-4.5</v>
      </c>
      <c r="K190" s="11">
        <v>-1.9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</row>
    <row r="191" spans="1:60" ht="15.75" x14ac:dyDescent="0.25">
      <c r="A191" s="12" t="s">
        <v>651</v>
      </c>
      <c r="B191" s="11">
        <v>0.5</v>
      </c>
      <c r="C191" s="11">
        <v>0.5</v>
      </c>
      <c r="D191" s="11">
        <v>0.6</v>
      </c>
      <c r="E191" s="11">
        <v>0.6</v>
      </c>
      <c r="F191" s="11">
        <v>0.8</v>
      </c>
      <c r="G191" s="11">
        <v>1.6</v>
      </c>
      <c r="H191" s="11">
        <v>-0.2</v>
      </c>
      <c r="I191" s="11">
        <v>0.1</v>
      </c>
      <c r="J191" s="11">
        <v>-1</v>
      </c>
      <c r="K191" s="11">
        <v>1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</row>
    <row r="192" spans="1:60" ht="15.75" x14ac:dyDescent="0.25">
      <c r="A192" s="12" t="s">
        <v>652</v>
      </c>
      <c r="B192" s="11">
        <v>0.6</v>
      </c>
      <c r="C192" s="11">
        <v>1.3</v>
      </c>
      <c r="D192" s="11">
        <v>1.4</v>
      </c>
      <c r="E192" s="11">
        <v>0.8</v>
      </c>
      <c r="F192" s="11">
        <v>1.6</v>
      </c>
      <c r="G192" s="11">
        <v>-0.1</v>
      </c>
      <c r="H192" s="11">
        <v>2</v>
      </c>
      <c r="I192" s="11">
        <v>0.1</v>
      </c>
      <c r="J192" s="11">
        <v>7.1</v>
      </c>
      <c r="K192" s="11">
        <v>-7.2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</row>
    <row r="193" spans="1:60" ht="15.75" x14ac:dyDescent="0.25">
      <c r="A193" s="12" t="s">
        <v>653</v>
      </c>
      <c r="B193" s="11">
        <v>-0.5</v>
      </c>
      <c r="C193" s="11">
        <v>-0.9</v>
      </c>
      <c r="D193" s="11">
        <v>-1.6</v>
      </c>
      <c r="E193" s="11">
        <v>-0.4</v>
      </c>
      <c r="F193" s="11">
        <v>-0.4</v>
      </c>
      <c r="G193" s="11">
        <v>-2.8</v>
      </c>
      <c r="H193" s="11">
        <v>1.9</v>
      </c>
      <c r="I193" s="11">
        <v>-0.1</v>
      </c>
      <c r="J193" s="11">
        <v>-1.2</v>
      </c>
      <c r="K193" s="11">
        <v>4.5999999999999996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</row>
    <row r="194" spans="1:60" ht="15.75" x14ac:dyDescent="0.25">
      <c r="A194" s="12" t="s">
        <v>654</v>
      </c>
      <c r="B194" s="11">
        <v>1.5</v>
      </c>
      <c r="C194" s="11">
        <v>1.4</v>
      </c>
      <c r="D194" s="11">
        <v>1.7</v>
      </c>
      <c r="E194" s="11">
        <v>1.2</v>
      </c>
      <c r="F194" s="11">
        <v>1</v>
      </c>
      <c r="G194" s="11">
        <v>3.9</v>
      </c>
      <c r="H194" s="11">
        <v>-0.8</v>
      </c>
      <c r="I194" s="11">
        <v>0.8</v>
      </c>
      <c r="J194" s="11">
        <v>-0.1</v>
      </c>
      <c r="K194" s="11">
        <v>3.2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</row>
    <row r="195" spans="1:60" ht="15.75" x14ac:dyDescent="0.25">
      <c r="A195" s="12" t="s">
        <v>655</v>
      </c>
      <c r="B195" s="11">
        <v>0.1</v>
      </c>
      <c r="C195" s="11">
        <v>0</v>
      </c>
      <c r="D195" s="11">
        <v>-0.3</v>
      </c>
      <c r="E195" s="11">
        <v>0.1</v>
      </c>
      <c r="F195" s="11">
        <v>0.6</v>
      </c>
      <c r="G195" s="11">
        <v>0.6</v>
      </c>
      <c r="H195" s="11">
        <v>-0.1</v>
      </c>
      <c r="I195" s="11">
        <v>-0.5</v>
      </c>
      <c r="J195" s="11">
        <v>1</v>
      </c>
      <c r="K195" s="11">
        <v>1.4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</row>
    <row r="196" spans="1:60" ht="15.75" x14ac:dyDescent="0.25">
      <c r="A196" s="12" t="s">
        <v>656</v>
      </c>
      <c r="B196" s="11">
        <v>0.3</v>
      </c>
      <c r="C196" s="11">
        <v>0.1</v>
      </c>
      <c r="D196" s="11">
        <v>1</v>
      </c>
      <c r="E196" s="11">
        <v>-0.5</v>
      </c>
      <c r="F196" s="11">
        <v>-0.5</v>
      </c>
      <c r="G196" s="11">
        <v>-3.2</v>
      </c>
      <c r="H196" s="11">
        <v>-0.1</v>
      </c>
      <c r="I196" s="11">
        <v>1.5</v>
      </c>
      <c r="J196" s="11">
        <v>0</v>
      </c>
      <c r="K196" s="11">
        <v>1.6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</row>
    <row r="197" spans="1:60" ht="15.75" x14ac:dyDescent="0.25">
      <c r="A197" s="12" t="s">
        <v>657</v>
      </c>
      <c r="B197" s="11">
        <v>0.6</v>
      </c>
      <c r="C197" s="11">
        <v>0.8</v>
      </c>
      <c r="D197" s="11">
        <v>-0.6</v>
      </c>
      <c r="E197" s="11">
        <v>1.7</v>
      </c>
      <c r="F197" s="11">
        <v>0.1</v>
      </c>
      <c r="G197" s="11">
        <v>4.4000000000000004</v>
      </c>
      <c r="H197" s="11">
        <v>0.6</v>
      </c>
      <c r="I197" s="11">
        <v>1.1000000000000001</v>
      </c>
      <c r="J197" s="11">
        <v>2.5</v>
      </c>
      <c r="K197" s="11">
        <v>-0.9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</row>
    <row r="198" spans="1:60" ht="15.75" x14ac:dyDescent="0.25">
      <c r="A198" s="12" t="s">
        <v>658</v>
      </c>
      <c r="B198" s="11">
        <v>0.2</v>
      </c>
      <c r="C198" s="11">
        <v>0.2</v>
      </c>
      <c r="D198" s="11">
        <v>-0.5</v>
      </c>
      <c r="E198" s="11">
        <v>0.8</v>
      </c>
      <c r="F198" s="11">
        <v>2.8</v>
      </c>
      <c r="G198" s="11">
        <v>-0.4</v>
      </c>
      <c r="H198" s="11">
        <v>1</v>
      </c>
      <c r="I198" s="11">
        <v>0.5</v>
      </c>
      <c r="J198" s="11">
        <v>0.2</v>
      </c>
      <c r="K198" s="11">
        <v>-0.6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</row>
    <row r="199" spans="1:60" ht="15.75" x14ac:dyDescent="0.25">
      <c r="A199" s="12" t="s">
        <v>659</v>
      </c>
      <c r="B199" s="11">
        <v>-0.4</v>
      </c>
      <c r="C199" s="11">
        <v>-0.3</v>
      </c>
      <c r="D199" s="11">
        <v>-0.7</v>
      </c>
      <c r="E199" s="11">
        <v>-0.3</v>
      </c>
      <c r="F199" s="11">
        <v>-2.2999999999999998</v>
      </c>
      <c r="G199" s="11">
        <v>-0.9</v>
      </c>
      <c r="H199" s="11">
        <v>-1.6</v>
      </c>
      <c r="I199" s="11">
        <v>2.2999999999999998</v>
      </c>
      <c r="J199" s="11">
        <v>3.3</v>
      </c>
      <c r="K199" s="11">
        <v>-1.5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</row>
    <row r="200" spans="1:60" ht="15.75" x14ac:dyDescent="0.25">
      <c r="A200" s="12" t="s">
        <v>660</v>
      </c>
      <c r="B200" s="11">
        <v>0.2</v>
      </c>
      <c r="C200" s="11">
        <v>0.6</v>
      </c>
      <c r="D200" s="11">
        <v>1.5</v>
      </c>
      <c r="E200" s="11">
        <v>0.2</v>
      </c>
      <c r="F200" s="11">
        <v>0.8</v>
      </c>
      <c r="G200" s="11">
        <v>1.3</v>
      </c>
      <c r="H200" s="11">
        <v>0.2</v>
      </c>
      <c r="I200" s="11">
        <v>-1</v>
      </c>
      <c r="J200" s="11">
        <v>-3.5</v>
      </c>
      <c r="K200" s="11">
        <v>-3.3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</row>
    <row r="201" spans="1:60" ht="15.75" x14ac:dyDescent="0.25">
      <c r="A201" s="12" t="s">
        <v>661</v>
      </c>
      <c r="B201" s="11">
        <v>1.9</v>
      </c>
      <c r="C201" s="11">
        <v>2</v>
      </c>
      <c r="D201" s="11">
        <v>0.9</v>
      </c>
      <c r="E201" s="11">
        <v>2.8</v>
      </c>
      <c r="F201" s="11">
        <v>0.7</v>
      </c>
      <c r="G201" s="11">
        <v>3.2</v>
      </c>
      <c r="H201" s="11">
        <v>2.2999999999999998</v>
      </c>
      <c r="I201" s="11">
        <v>3.9</v>
      </c>
      <c r="J201" s="11">
        <v>4.3</v>
      </c>
      <c r="K201" s="11">
        <v>0.1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</row>
    <row r="202" spans="1:60" ht="15.75" x14ac:dyDescent="0.25">
      <c r="A202" s="12" t="s">
        <v>662</v>
      </c>
      <c r="B202" s="11">
        <v>-0.5</v>
      </c>
      <c r="C202" s="11">
        <v>-0.4</v>
      </c>
      <c r="D202" s="11">
        <v>-0.7</v>
      </c>
      <c r="E202" s="11">
        <v>-0.3</v>
      </c>
      <c r="F202" s="11">
        <v>0.6</v>
      </c>
      <c r="G202" s="11">
        <v>-0.9</v>
      </c>
      <c r="H202" s="11">
        <v>0.1</v>
      </c>
      <c r="I202" s="11">
        <v>-0.7</v>
      </c>
      <c r="J202" s="11">
        <v>0.5</v>
      </c>
      <c r="K202" s="11">
        <v>-0.7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</row>
    <row r="203" spans="1:60" ht="15.75" x14ac:dyDescent="0.25">
      <c r="A203" s="12" t="s">
        <v>663</v>
      </c>
      <c r="B203" s="11">
        <v>1</v>
      </c>
      <c r="C203" s="11">
        <v>1.1000000000000001</v>
      </c>
      <c r="D203" s="11">
        <v>0.6</v>
      </c>
      <c r="E203" s="11">
        <v>1.3</v>
      </c>
      <c r="F203" s="11">
        <v>0.2</v>
      </c>
      <c r="G203" s="11">
        <v>2.4</v>
      </c>
      <c r="H203" s="11">
        <v>1</v>
      </c>
      <c r="I203" s="11">
        <v>1.3</v>
      </c>
      <c r="J203" s="11">
        <v>2.2999999999999998</v>
      </c>
      <c r="K203" s="11">
        <v>0.5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</row>
    <row r="204" spans="1:60" ht="15.75" x14ac:dyDescent="0.25">
      <c r="A204" s="12" t="s">
        <v>664</v>
      </c>
      <c r="B204" s="11">
        <v>0.2</v>
      </c>
      <c r="C204" s="11">
        <v>-0.1</v>
      </c>
      <c r="D204" s="11">
        <v>0.3</v>
      </c>
      <c r="E204" s="11">
        <v>-0.3</v>
      </c>
      <c r="F204" s="11">
        <v>-0.2</v>
      </c>
      <c r="G204" s="11">
        <v>0.5</v>
      </c>
      <c r="H204" s="11">
        <v>-0.3</v>
      </c>
      <c r="I204" s="11">
        <v>-1</v>
      </c>
      <c r="J204" s="11">
        <v>-1.2</v>
      </c>
      <c r="K204" s="11">
        <v>3.8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</row>
    <row r="205" spans="1:60" ht="15.75" x14ac:dyDescent="0.25">
      <c r="A205" s="12" t="s">
        <v>665</v>
      </c>
      <c r="B205" s="11">
        <v>0.2</v>
      </c>
      <c r="C205" s="11">
        <v>0.8</v>
      </c>
      <c r="D205" s="11">
        <v>0.7</v>
      </c>
      <c r="E205" s="11">
        <v>0.8</v>
      </c>
      <c r="F205" s="11">
        <v>1.6</v>
      </c>
      <c r="G205" s="11">
        <v>1</v>
      </c>
      <c r="H205" s="11">
        <v>0</v>
      </c>
      <c r="I205" s="11">
        <v>1</v>
      </c>
      <c r="J205" s="11">
        <v>0.6</v>
      </c>
      <c r="K205" s="11">
        <v>-5.0999999999999996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</row>
    <row r="206" spans="1:60" ht="15.75" x14ac:dyDescent="0.25">
      <c r="A206" s="12" t="s">
        <v>666</v>
      </c>
      <c r="B206" s="11">
        <v>0.7</v>
      </c>
      <c r="C206" s="11">
        <v>0.3</v>
      </c>
      <c r="D206" s="11">
        <v>0.2</v>
      </c>
      <c r="E206" s="11">
        <v>0.3</v>
      </c>
      <c r="F206" s="11">
        <v>-0.9</v>
      </c>
      <c r="G206" s="11">
        <v>-0.7</v>
      </c>
      <c r="H206" s="11">
        <v>0.5</v>
      </c>
      <c r="I206" s="11">
        <v>1.6</v>
      </c>
      <c r="J206" s="11">
        <v>2.1</v>
      </c>
      <c r="K206" s="11">
        <v>4.8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</row>
    <row r="207" spans="1:60" ht="15.75" x14ac:dyDescent="0.25">
      <c r="A207" s="12" t="s">
        <v>667</v>
      </c>
      <c r="B207" s="11">
        <v>0.1</v>
      </c>
      <c r="C207" s="11">
        <v>0.1</v>
      </c>
      <c r="D207" s="11">
        <v>0</v>
      </c>
      <c r="E207" s="11">
        <v>0.2</v>
      </c>
      <c r="F207" s="11">
        <v>0.2</v>
      </c>
      <c r="G207" s="11">
        <v>-1.4</v>
      </c>
      <c r="H207" s="11">
        <v>2</v>
      </c>
      <c r="I207" s="11">
        <v>0.1</v>
      </c>
      <c r="J207" s="11">
        <v>-1.3</v>
      </c>
      <c r="K207" s="11">
        <v>0.7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</row>
    <row r="208" spans="1:60" ht="15.75" x14ac:dyDescent="0.25">
      <c r="A208" s="12" t="s">
        <v>668</v>
      </c>
      <c r="B208" s="11">
        <v>0.2</v>
      </c>
      <c r="C208" s="11">
        <v>0</v>
      </c>
      <c r="D208" s="11">
        <v>1.2</v>
      </c>
      <c r="E208" s="11">
        <v>-0.5</v>
      </c>
      <c r="F208" s="11">
        <v>1.8</v>
      </c>
      <c r="G208" s="11">
        <v>3</v>
      </c>
      <c r="H208" s="11">
        <v>-1.8</v>
      </c>
      <c r="I208" s="11">
        <v>-3.5</v>
      </c>
      <c r="J208" s="11">
        <v>-6</v>
      </c>
      <c r="K208" s="11">
        <v>2.6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</row>
    <row r="209" spans="1:60" ht="15.75" x14ac:dyDescent="0.25">
      <c r="A209" s="12" t="s">
        <v>669</v>
      </c>
      <c r="B209" s="11">
        <v>0.4</v>
      </c>
      <c r="C209" s="11">
        <v>0.6</v>
      </c>
      <c r="D209" s="11">
        <v>-0.7</v>
      </c>
      <c r="E209" s="11">
        <v>1</v>
      </c>
      <c r="F209" s="11">
        <v>-0.3</v>
      </c>
      <c r="G209" s="11">
        <v>-0.7</v>
      </c>
      <c r="H209" s="11">
        <v>1.6</v>
      </c>
      <c r="I209" s="11">
        <v>2.8</v>
      </c>
      <c r="J209" s="11">
        <v>7.6</v>
      </c>
      <c r="K209" s="11">
        <v>-2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</row>
    <row r="210" spans="1:60" ht="15.75" x14ac:dyDescent="0.25">
      <c r="A210" s="12" t="s">
        <v>670</v>
      </c>
      <c r="B210" s="11">
        <v>-0.1</v>
      </c>
      <c r="C210" s="11">
        <v>-0.8</v>
      </c>
      <c r="D210" s="11">
        <v>0.3</v>
      </c>
      <c r="E210" s="11">
        <v>-1.3</v>
      </c>
      <c r="F210" s="11">
        <v>-1.8</v>
      </c>
      <c r="G210" s="11">
        <v>1.6</v>
      </c>
      <c r="H210" s="11">
        <v>-3</v>
      </c>
      <c r="I210" s="11">
        <v>-2.1</v>
      </c>
      <c r="J210" s="11">
        <v>-4.4000000000000004</v>
      </c>
      <c r="K210" s="11">
        <v>7.1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</row>
    <row r="211" spans="1:60" ht="15.75" x14ac:dyDescent="0.25">
      <c r="A211" s="12" t="s">
        <v>671</v>
      </c>
      <c r="B211" s="11">
        <v>-0.5</v>
      </c>
      <c r="C211" s="11">
        <v>0.4</v>
      </c>
      <c r="D211" s="11">
        <v>-0.2</v>
      </c>
      <c r="E211" s="11">
        <v>0.8</v>
      </c>
      <c r="F211" s="11">
        <v>1</v>
      </c>
      <c r="G211" s="11">
        <v>-0.8</v>
      </c>
      <c r="H211" s="11">
        <v>3.1</v>
      </c>
      <c r="I211" s="11">
        <v>0.1</v>
      </c>
      <c r="J211" s="11">
        <v>0.3</v>
      </c>
      <c r="K211" s="11">
        <v>-8.3000000000000007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</row>
    <row r="212" spans="1:60" ht="15.75" x14ac:dyDescent="0.25">
      <c r="A212" s="12" t="s">
        <v>672</v>
      </c>
      <c r="B212" s="11">
        <v>-0.4</v>
      </c>
      <c r="C212" s="11">
        <v>-0.4</v>
      </c>
      <c r="D212" s="11">
        <v>0</v>
      </c>
      <c r="E212" s="11">
        <v>-1.1000000000000001</v>
      </c>
      <c r="F212" s="11">
        <v>-0.1</v>
      </c>
      <c r="G212" s="11">
        <v>-2.2000000000000002</v>
      </c>
      <c r="H212" s="11">
        <v>-2.2999999999999998</v>
      </c>
      <c r="I212" s="11">
        <v>0.3</v>
      </c>
      <c r="J212" s="11">
        <v>4.3</v>
      </c>
      <c r="K212" s="11">
        <v>-0.8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</row>
    <row r="213" spans="1:60" ht="15.75" x14ac:dyDescent="0.25">
      <c r="A213" s="12" t="s">
        <v>673</v>
      </c>
      <c r="B213" s="11">
        <v>0.1</v>
      </c>
      <c r="C213" s="11">
        <v>0.6</v>
      </c>
      <c r="D213" s="11">
        <v>1.4</v>
      </c>
      <c r="E213" s="11">
        <v>0.1</v>
      </c>
      <c r="F213" s="11">
        <v>0.6</v>
      </c>
      <c r="G213" s="11">
        <v>1.1000000000000001</v>
      </c>
      <c r="H213" s="11">
        <v>-0.3</v>
      </c>
      <c r="I213" s="11">
        <v>-0.9</v>
      </c>
      <c r="J213" s="11">
        <v>-1.7</v>
      </c>
      <c r="K213" s="11">
        <v>-4.5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</row>
    <row r="214" spans="1:60" ht="15.75" x14ac:dyDescent="0.25">
      <c r="A214" s="12" t="s">
        <v>674</v>
      </c>
      <c r="B214" s="11">
        <v>0</v>
      </c>
      <c r="C214" s="11">
        <v>-0.4</v>
      </c>
      <c r="D214" s="11">
        <v>-1.6</v>
      </c>
      <c r="E214" s="11">
        <v>0.3</v>
      </c>
      <c r="F214" s="11">
        <v>0</v>
      </c>
      <c r="G214" s="11">
        <v>2.8</v>
      </c>
      <c r="H214" s="11">
        <v>-1</v>
      </c>
      <c r="I214" s="11">
        <v>-0.5</v>
      </c>
      <c r="J214" s="11">
        <v>2.2000000000000002</v>
      </c>
      <c r="K214" s="11">
        <v>4.8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</row>
    <row r="215" spans="1:60" ht="15.75" x14ac:dyDescent="0.25">
      <c r="A215" s="12" t="s">
        <v>675</v>
      </c>
      <c r="B215" s="11">
        <v>-1.1000000000000001</v>
      </c>
      <c r="C215" s="11">
        <v>-1</v>
      </c>
      <c r="D215" s="11">
        <v>-0.5</v>
      </c>
      <c r="E215" s="11">
        <v>-1</v>
      </c>
      <c r="F215" s="11">
        <v>1.3</v>
      </c>
      <c r="G215" s="11">
        <v>-2.7</v>
      </c>
      <c r="H215" s="11">
        <v>-3.2</v>
      </c>
      <c r="I215" s="11">
        <v>1</v>
      </c>
      <c r="J215" s="11">
        <v>-4.8</v>
      </c>
      <c r="K215" s="11">
        <v>-2.8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</row>
    <row r="216" spans="1:60" ht="15.75" x14ac:dyDescent="0.25">
      <c r="A216" s="12" t="s">
        <v>676</v>
      </c>
      <c r="B216" s="11">
        <v>0.9</v>
      </c>
      <c r="C216" s="11">
        <v>0.8</v>
      </c>
      <c r="D216" s="11">
        <v>1</v>
      </c>
      <c r="E216" s="11">
        <v>0.7</v>
      </c>
      <c r="F216" s="11">
        <v>-3.8</v>
      </c>
      <c r="G216" s="11">
        <v>2.1</v>
      </c>
      <c r="H216" s="11">
        <v>3.7</v>
      </c>
      <c r="I216" s="11">
        <v>-0.4</v>
      </c>
      <c r="J216" s="11">
        <v>0</v>
      </c>
      <c r="K216" s="11">
        <v>1.5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</row>
    <row r="217" spans="1:60" ht="15.75" x14ac:dyDescent="0.25">
      <c r="A217" s="12" t="s">
        <v>677</v>
      </c>
      <c r="B217" s="11">
        <v>-0.5</v>
      </c>
      <c r="C217" s="11">
        <v>-0.7</v>
      </c>
      <c r="D217" s="11">
        <v>-0.3</v>
      </c>
      <c r="E217" s="11">
        <v>-0.9</v>
      </c>
      <c r="F217" s="11">
        <v>-2</v>
      </c>
      <c r="G217" s="11">
        <v>-0.5</v>
      </c>
      <c r="H217" s="11">
        <v>-3</v>
      </c>
      <c r="I217" s="11">
        <v>1</v>
      </c>
      <c r="J217" s="11">
        <v>-2.8</v>
      </c>
      <c r="K217" s="11">
        <v>2.2999999999999998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</row>
    <row r="218" spans="1:60" ht="15.75" x14ac:dyDescent="0.25">
      <c r="A218" s="12" t="s">
        <v>678</v>
      </c>
      <c r="B218" s="11">
        <v>0.6</v>
      </c>
      <c r="C218" s="11">
        <v>0.4</v>
      </c>
      <c r="D218" s="11">
        <v>0.2</v>
      </c>
      <c r="E218" s="11">
        <v>0.8</v>
      </c>
      <c r="F218" s="11">
        <v>1.3</v>
      </c>
      <c r="G218" s="11">
        <v>2</v>
      </c>
      <c r="H218" s="11">
        <v>-0.6</v>
      </c>
      <c r="I218" s="11">
        <v>0.5</v>
      </c>
      <c r="J218" s="11">
        <v>-1.2</v>
      </c>
      <c r="K218" s="11">
        <v>2.1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</row>
    <row r="219" spans="1:60" ht="15.75" x14ac:dyDescent="0.25">
      <c r="A219" s="12" t="s">
        <v>679</v>
      </c>
      <c r="B219" s="11">
        <v>-0.3</v>
      </c>
      <c r="C219" s="11">
        <v>-0.1</v>
      </c>
      <c r="D219" s="11">
        <v>0.5</v>
      </c>
      <c r="E219" s="11">
        <v>-0.5</v>
      </c>
      <c r="F219" s="11">
        <v>-1.3</v>
      </c>
      <c r="G219" s="11">
        <v>-2</v>
      </c>
      <c r="H219" s="11">
        <v>-1.1000000000000001</v>
      </c>
      <c r="I219" s="11">
        <v>1.7</v>
      </c>
      <c r="J219" s="11">
        <v>-1.3</v>
      </c>
      <c r="K219" s="11">
        <v>-2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</row>
    <row r="220" spans="1:60" ht="15.75" x14ac:dyDescent="0.25">
      <c r="A220" s="12" t="s">
        <v>680</v>
      </c>
      <c r="B220" s="11">
        <v>-0.8</v>
      </c>
      <c r="C220" s="11">
        <v>-0.2</v>
      </c>
      <c r="D220" s="11">
        <v>-0.8</v>
      </c>
      <c r="E220" s="11">
        <v>0.3</v>
      </c>
      <c r="F220" s="11">
        <v>1.1000000000000001</v>
      </c>
      <c r="G220" s="11">
        <v>-0.2</v>
      </c>
      <c r="H220" s="11">
        <v>-0.5</v>
      </c>
      <c r="I220" s="11">
        <v>0.9</v>
      </c>
      <c r="J220" s="11">
        <v>-0.1</v>
      </c>
      <c r="K220" s="11">
        <v>-7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</row>
    <row r="221" spans="1:60" ht="15.75" x14ac:dyDescent="0.25">
      <c r="A221" s="12" t="s">
        <v>681</v>
      </c>
      <c r="B221" s="11">
        <v>0.2</v>
      </c>
      <c r="C221" s="11">
        <v>0.3</v>
      </c>
      <c r="D221" s="11">
        <v>0.3</v>
      </c>
      <c r="E221" s="11">
        <v>0.5</v>
      </c>
      <c r="F221" s="11">
        <v>1</v>
      </c>
      <c r="G221" s="11">
        <v>0.4</v>
      </c>
      <c r="H221" s="11">
        <v>1.5</v>
      </c>
      <c r="I221" s="11">
        <v>-0.6</v>
      </c>
      <c r="J221" s="11">
        <v>-1.2</v>
      </c>
      <c r="K221" s="11">
        <v>-1.7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</row>
    <row r="222" spans="1:60" ht="15.75" x14ac:dyDescent="0.25">
      <c r="A222" s="12" t="s">
        <v>682</v>
      </c>
      <c r="B222" s="11">
        <v>0.4</v>
      </c>
      <c r="C222" s="11">
        <v>0.6</v>
      </c>
      <c r="D222" s="11">
        <v>0.7</v>
      </c>
      <c r="E222" s="11">
        <v>0.4</v>
      </c>
      <c r="F222" s="11">
        <v>-0.1</v>
      </c>
      <c r="G222" s="11">
        <v>-0.1</v>
      </c>
      <c r="H222" s="11">
        <v>0.5</v>
      </c>
      <c r="I222" s="11">
        <v>1</v>
      </c>
      <c r="J222" s="11">
        <v>2</v>
      </c>
      <c r="K222" s="11">
        <v>-2.2000000000000002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</row>
    <row r="223" spans="1:60" ht="15.75" x14ac:dyDescent="0.25">
      <c r="A223" s="12" t="s">
        <v>683</v>
      </c>
      <c r="B223" s="11">
        <v>0.9</v>
      </c>
      <c r="C223" s="11">
        <v>0.7</v>
      </c>
      <c r="D223" s="11">
        <v>0.6</v>
      </c>
      <c r="E223" s="11">
        <v>1</v>
      </c>
      <c r="F223" s="11">
        <v>2.2999999999999998</v>
      </c>
      <c r="G223" s="11">
        <v>4.7</v>
      </c>
      <c r="H223" s="11">
        <v>-0.6</v>
      </c>
      <c r="I223" s="11">
        <v>-1.4</v>
      </c>
      <c r="J223" s="11">
        <v>-1</v>
      </c>
      <c r="K223" s="11">
        <v>2.1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</row>
    <row r="224" spans="1:60" ht="15.75" x14ac:dyDescent="0.25">
      <c r="A224" s="12" t="s">
        <v>684</v>
      </c>
      <c r="B224" s="11">
        <v>-0.7</v>
      </c>
      <c r="C224" s="11">
        <v>-0.7</v>
      </c>
      <c r="D224" s="11">
        <v>-1.2</v>
      </c>
      <c r="E224" s="11">
        <v>-0.5</v>
      </c>
      <c r="F224" s="11">
        <v>0</v>
      </c>
      <c r="G224" s="11">
        <v>-2.2999999999999998</v>
      </c>
      <c r="H224" s="11">
        <v>1.4</v>
      </c>
      <c r="I224" s="11">
        <v>-0.7</v>
      </c>
      <c r="J224" s="11">
        <v>1.3</v>
      </c>
      <c r="K224" s="11">
        <v>-0.1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</row>
    <row r="225" spans="1:60" ht="15.75" x14ac:dyDescent="0.25">
      <c r="A225" s="12" t="s">
        <v>685</v>
      </c>
      <c r="B225" s="11">
        <v>1.4</v>
      </c>
      <c r="C225" s="11">
        <v>-0.1</v>
      </c>
      <c r="D225" s="11">
        <v>-0.2</v>
      </c>
      <c r="E225" s="11">
        <v>0.1</v>
      </c>
      <c r="F225" s="11">
        <v>-0.5</v>
      </c>
      <c r="G225" s="11">
        <v>-0.7</v>
      </c>
      <c r="H225" s="11">
        <v>-0.1</v>
      </c>
      <c r="I225" s="11">
        <v>1.1000000000000001</v>
      </c>
      <c r="J225" s="11">
        <v>-0.6</v>
      </c>
      <c r="K225" s="11">
        <v>16.7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</row>
    <row r="226" spans="1:60" ht="15.75" x14ac:dyDescent="0.25">
      <c r="A226" s="12" t="s">
        <v>686</v>
      </c>
      <c r="B226" s="11">
        <v>-0.1</v>
      </c>
      <c r="C226" s="11">
        <v>0</v>
      </c>
      <c r="D226" s="11">
        <v>0.8</v>
      </c>
      <c r="E226" s="11">
        <v>-0.5</v>
      </c>
      <c r="F226" s="11">
        <v>-0.7</v>
      </c>
      <c r="G226" s="11">
        <v>1.7</v>
      </c>
      <c r="H226" s="11">
        <v>-0.8</v>
      </c>
      <c r="I226" s="11">
        <v>-2.2000000000000002</v>
      </c>
      <c r="J226" s="11">
        <v>-1</v>
      </c>
      <c r="K226" s="11">
        <v>-1.4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</row>
    <row r="227" spans="1:60" ht="15.75" x14ac:dyDescent="0.25">
      <c r="A227" s="12" t="s">
        <v>687</v>
      </c>
      <c r="B227" s="11">
        <v>0.9</v>
      </c>
      <c r="C227" s="11">
        <v>0.6</v>
      </c>
      <c r="D227" s="11">
        <v>0.5</v>
      </c>
      <c r="E227" s="11">
        <v>0.1</v>
      </c>
      <c r="F227" s="11">
        <v>3.2</v>
      </c>
      <c r="G227" s="11">
        <v>0.8</v>
      </c>
      <c r="H227" s="11">
        <v>1.2</v>
      </c>
      <c r="I227" s="11">
        <v>-3</v>
      </c>
      <c r="J227" s="11">
        <v>6.9</v>
      </c>
      <c r="K227" s="11">
        <v>4.2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</row>
    <row r="228" spans="1:60" ht="15.75" x14ac:dyDescent="0.25">
      <c r="A228" s="12" t="s">
        <v>688</v>
      </c>
      <c r="B228" s="11">
        <v>-0.6</v>
      </c>
      <c r="C228" s="11">
        <v>0</v>
      </c>
      <c r="D228" s="11">
        <v>-1.2</v>
      </c>
      <c r="E228" s="11">
        <v>1.5</v>
      </c>
      <c r="F228" s="11">
        <v>1.1000000000000001</v>
      </c>
      <c r="G228" s="11">
        <v>1</v>
      </c>
      <c r="H228" s="11">
        <v>2</v>
      </c>
      <c r="I228" s="11">
        <v>1.7</v>
      </c>
      <c r="J228" s="11">
        <v>-5.4</v>
      </c>
      <c r="K228" s="11">
        <v>-5.6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</row>
    <row r="229" spans="1:60" ht="15.75" x14ac:dyDescent="0.25">
      <c r="A229" s="12" t="s">
        <v>689</v>
      </c>
      <c r="B229" s="11">
        <v>0.8</v>
      </c>
      <c r="C229" s="11">
        <v>0.6</v>
      </c>
      <c r="D229" s="11">
        <v>0.5</v>
      </c>
      <c r="E229" s="11">
        <v>0.5</v>
      </c>
      <c r="F229" s="11">
        <v>-1.1000000000000001</v>
      </c>
      <c r="G229" s="11">
        <v>2.5</v>
      </c>
      <c r="H229" s="11">
        <v>-0.1</v>
      </c>
      <c r="I229" s="11">
        <v>0.3</v>
      </c>
      <c r="J229" s="11">
        <v>1.9</v>
      </c>
      <c r="K229" s="11">
        <v>2.6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</row>
    <row r="230" spans="1:60" ht="15.75" x14ac:dyDescent="0.25">
      <c r="A230" s="12" t="s">
        <v>690</v>
      </c>
      <c r="B230" s="11">
        <v>0.3</v>
      </c>
      <c r="C230" s="11">
        <v>0.4</v>
      </c>
      <c r="D230" s="11">
        <v>1.6</v>
      </c>
      <c r="E230" s="11">
        <v>-0.5</v>
      </c>
      <c r="F230" s="11">
        <v>-3.2</v>
      </c>
      <c r="G230" s="11">
        <v>-1.3</v>
      </c>
      <c r="H230" s="11">
        <v>1.2</v>
      </c>
      <c r="I230" s="11">
        <v>0.2</v>
      </c>
      <c r="J230" s="11">
        <v>0.9</v>
      </c>
      <c r="K230" s="11">
        <v>-0.6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</row>
    <row r="231" spans="1:60" ht="15.75" x14ac:dyDescent="0.25">
      <c r="A231" s="12" t="s">
        <v>691</v>
      </c>
      <c r="B231" s="11">
        <v>-0.1</v>
      </c>
      <c r="C231" s="11">
        <v>-0.2</v>
      </c>
      <c r="D231" s="11">
        <v>0.8</v>
      </c>
      <c r="E231" s="11">
        <v>-0.4</v>
      </c>
      <c r="F231" s="11">
        <v>2.6</v>
      </c>
      <c r="G231" s="11">
        <v>1.7</v>
      </c>
      <c r="H231" s="11">
        <v>-4.3</v>
      </c>
      <c r="I231" s="11">
        <v>-0.6</v>
      </c>
      <c r="J231" s="11">
        <v>-6.7</v>
      </c>
      <c r="K231" s="11">
        <v>0.1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</row>
    <row r="232" spans="1:60" ht="15.75" x14ac:dyDescent="0.25">
      <c r="A232" s="12" t="s">
        <v>692</v>
      </c>
      <c r="B232" s="11">
        <v>0.1</v>
      </c>
      <c r="C232" s="11">
        <v>0.2</v>
      </c>
      <c r="D232" s="11">
        <v>-1.6</v>
      </c>
      <c r="E232" s="11">
        <v>1</v>
      </c>
      <c r="F232" s="11">
        <v>0.3</v>
      </c>
      <c r="G232" s="11">
        <v>-0.8</v>
      </c>
      <c r="H232" s="11">
        <v>4.2</v>
      </c>
      <c r="I232" s="11">
        <v>0.5</v>
      </c>
      <c r="J232" s="11">
        <v>9.3000000000000007</v>
      </c>
      <c r="K232" s="11">
        <v>-1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</row>
    <row r="233" spans="1:60" ht="15.75" x14ac:dyDescent="0.25">
      <c r="A233" s="12" t="s">
        <v>693</v>
      </c>
      <c r="B233" s="11">
        <v>-0.3</v>
      </c>
      <c r="C233" s="11">
        <v>-0.7</v>
      </c>
      <c r="D233" s="11">
        <v>0.3</v>
      </c>
      <c r="E233" s="11">
        <v>-1.3</v>
      </c>
      <c r="F233" s="11">
        <v>-1.5</v>
      </c>
      <c r="G233" s="11">
        <v>-2.2000000000000002</v>
      </c>
      <c r="H233" s="11">
        <v>-1.8</v>
      </c>
      <c r="I233" s="11">
        <v>0.1</v>
      </c>
      <c r="J233" s="11">
        <v>-2.1</v>
      </c>
      <c r="K233" s="11">
        <v>2.5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</row>
    <row r="234" spans="1:60" ht="15.75" x14ac:dyDescent="0.25">
      <c r="A234" s="12" t="s">
        <v>694</v>
      </c>
      <c r="B234" s="11">
        <v>1.3</v>
      </c>
      <c r="C234" s="11">
        <v>1.4</v>
      </c>
      <c r="D234" s="11">
        <v>0.2</v>
      </c>
      <c r="E234" s="11">
        <v>2.2999999999999998</v>
      </c>
      <c r="F234" s="11">
        <v>2.1</v>
      </c>
      <c r="G234" s="11">
        <v>4.5</v>
      </c>
      <c r="H234" s="11">
        <v>1</v>
      </c>
      <c r="I234" s="11">
        <v>1.5</v>
      </c>
      <c r="J234" s="11">
        <v>1.2</v>
      </c>
      <c r="K234" s="11">
        <v>0.8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</row>
    <row r="235" spans="1:60" ht="15.75" x14ac:dyDescent="0.25">
      <c r="A235" s="12" t="s">
        <v>695</v>
      </c>
      <c r="B235" s="11">
        <v>0.1</v>
      </c>
      <c r="C235" s="11">
        <v>0.2</v>
      </c>
      <c r="D235" s="11">
        <v>0</v>
      </c>
      <c r="E235" s="11">
        <v>0.4</v>
      </c>
      <c r="F235" s="11">
        <v>-0.3</v>
      </c>
      <c r="G235" s="11">
        <v>1.2</v>
      </c>
      <c r="H235" s="11">
        <v>1</v>
      </c>
      <c r="I235" s="11">
        <v>-0.3</v>
      </c>
      <c r="J235" s="11">
        <v>-0.2</v>
      </c>
      <c r="K235" s="11">
        <v>-0.8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</row>
    <row r="236" spans="1:60" ht="15.75" x14ac:dyDescent="0.25">
      <c r="A236" s="12" t="s">
        <v>696</v>
      </c>
      <c r="B236" s="11">
        <v>0.7</v>
      </c>
      <c r="C236" s="11">
        <v>1.3</v>
      </c>
      <c r="D236" s="11">
        <v>0.9</v>
      </c>
      <c r="E236" s="11">
        <v>1.7</v>
      </c>
      <c r="F236" s="11">
        <v>2</v>
      </c>
      <c r="G236" s="11">
        <v>0.5</v>
      </c>
      <c r="H236" s="11">
        <v>3</v>
      </c>
      <c r="I236" s="11">
        <v>1.7</v>
      </c>
      <c r="J236" s="11">
        <v>0</v>
      </c>
      <c r="K236" s="11">
        <v>-4.3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</row>
    <row r="237" spans="1:60" ht="15.75" x14ac:dyDescent="0.25">
      <c r="A237" s="12" t="s">
        <v>697</v>
      </c>
      <c r="B237" s="11">
        <v>-0.7</v>
      </c>
      <c r="C237" s="11">
        <v>-1.4</v>
      </c>
      <c r="D237" s="11">
        <v>-0.4</v>
      </c>
      <c r="E237" s="11">
        <v>-2.5</v>
      </c>
      <c r="F237" s="11">
        <v>-0.9</v>
      </c>
      <c r="G237" s="11">
        <v>-6.5</v>
      </c>
      <c r="H237" s="11">
        <v>-0.8</v>
      </c>
      <c r="I237" s="11">
        <v>-1.2</v>
      </c>
      <c r="J237" s="11">
        <v>0.8</v>
      </c>
      <c r="K237" s="11">
        <v>5.7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</row>
    <row r="238" spans="1:60" ht="15.75" x14ac:dyDescent="0.25">
      <c r="A238" s="12" t="s">
        <v>698</v>
      </c>
      <c r="B238" s="11">
        <v>1.2</v>
      </c>
      <c r="C238" s="11">
        <v>1.3</v>
      </c>
      <c r="D238" s="11">
        <v>0.2</v>
      </c>
      <c r="E238" s="11">
        <v>2.2999999999999998</v>
      </c>
      <c r="F238" s="11">
        <v>-0.7</v>
      </c>
      <c r="G238" s="11">
        <v>6.6</v>
      </c>
      <c r="H238" s="11">
        <v>1.4</v>
      </c>
      <c r="I238" s="11">
        <v>1</v>
      </c>
      <c r="J238" s="11">
        <v>0.4</v>
      </c>
      <c r="K238" s="1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</row>
    <row r="239" spans="1:60" ht="15.75" x14ac:dyDescent="0.25">
      <c r="A239" s="12" t="s">
        <v>699</v>
      </c>
      <c r="B239" s="11">
        <v>0.4</v>
      </c>
      <c r="C239" s="11">
        <v>0.3</v>
      </c>
      <c r="D239" s="11">
        <v>-0.2</v>
      </c>
      <c r="E239" s="11">
        <v>0.8</v>
      </c>
      <c r="F239" s="11">
        <v>1.6</v>
      </c>
      <c r="G239" s="11">
        <v>0.9</v>
      </c>
      <c r="H239" s="11">
        <v>-0.4</v>
      </c>
      <c r="I239" s="11">
        <v>1.1000000000000001</v>
      </c>
      <c r="J239" s="11">
        <v>-1</v>
      </c>
      <c r="K239" s="11">
        <v>1.7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</row>
    <row r="240" spans="1:60" ht="15.75" x14ac:dyDescent="0.25">
      <c r="A240" s="12" t="s">
        <v>700</v>
      </c>
      <c r="B240" s="11">
        <v>0.5</v>
      </c>
      <c r="C240" s="11">
        <v>0</v>
      </c>
      <c r="D240" s="11">
        <v>0.2</v>
      </c>
      <c r="E240" s="11">
        <v>-0.2</v>
      </c>
      <c r="F240" s="11">
        <v>-1.2</v>
      </c>
      <c r="G240" s="11">
        <v>3.5</v>
      </c>
      <c r="H240" s="11">
        <v>-2.6</v>
      </c>
      <c r="I240" s="11">
        <v>-1.2</v>
      </c>
      <c r="J240" s="11">
        <v>1.2</v>
      </c>
      <c r="K240" s="11">
        <v>4.7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</row>
    <row r="241" spans="1:60" ht="15.75" x14ac:dyDescent="0.25">
      <c r="A241" s="12" t="s">
        <v>701</v>
      </c>
      <c r="B241" s="11">
        <v>-0.8</v>
      </c>
      <c r="C241" s="11">
        <v>-0.2</v>
      </c>
      <c r="D241" s="11">
        <v>-0.3</v>
      </c>
      <c r="E241" s="11">
        <v>-0.2</v>
      </c>
      <c r="F241" s="11">
        <v>0</v>
      </c>
      <c r="G241" s="11">
        <v>-4.0999999999999996</v>
      </c>
      <c r="H241" s="11">
        <v>1.7</v>
      </c>
      <c r="I241" s="11">
        <v>1.8</v>
      </c>
      <c r="J241" s="11">
        <v>0.6</v>
      </c>
      <c r="K241" s="11">
        <v>-5.5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</row>
    <row r="242" spans="1:60" ht="15.75" x14ac:dyDescent="0.25">
      <c r="A242" s="12" t="s">
        <v>702</v>
      </c>
      <c r="B242" s="11">
        <v>0</v>
      </c>
      <c r="C242" s="11">
        <v>0</v>
      </c>
      <c r="D242" s="11">
        <v>-1</v>
      </c>
      <c r="E242" s="11">
        <v>0.6</v>
      </c>
      <c r="F242" s="11">
        <v>2.9</v>
      </c>
      <c r="G242" s="11">
        <v>-0.7</v>
      </c>
      <c r="H242" s="11">
        <v>0.7</v>
      </c>
      <c r="I242" s="11">
        <v>0.5</v>
      </c>
      <c r="J242" s="11">
        <v>1.1000000000000001</v>
      </c>
      <c r="K242" s="11">
        <v>0.8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</row>
    <row r="243" spans="1:60" ht="15.75" x14ac:dyDescent="0.25">
      <c r="A243" s="12" t="s">
        <v>703</v>
      </c>
      <c r="B243" s="11">
        <v>0</v>
      </c>
      <c r="C243" s="11">
        <v>0.2</v>
      </c>
      <c r="D243" s="11">
        <v>0.3</v>
      </c>
      <c r="E243" s="11">
        <v>0.1</v>
      </c>
      <c r="F243" s="11">
        <v>1.4</v>
      </c>
      <c r="G243" s="11">
        <v>-0.4</v>
      </c>
      <c r="H243" s="11">
        <v>1.3</v>
      </c>
      <c r="I243" s="11">
        <v>-1.1000000000000001</v>
      </c>
      <c r="J243" s="11">
        <v>-0.7</v>
      </c>
      <c r="K243" s="11">
        <v>-1.2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</row>
    <row r="244" spans="1:60" ht="15.75" x14ac:dyDescent="0.25">
      <c r="A244" s="12" t="s">
        <v>704</v>
      </c>
      <c r="B244" s="11">
        <v>0.8</v>
      </c>
      <c r="C244" s="11">
        <v>0.8</v>
      </c>
      <c r="D244" s="11">
        <v>2</v>
      </c>
      <c r="E244" s="11">
        <v>-0.1</v>
      </c>
      <c r="F244" s="11">
        <v>-0.7</v>
      </c>
      <c r="G244" s="11">
        <v>1.9</v>
      </c>
      <c r="H244" s="11">
        <v>-2.1</v>
      </c>
      <c r="I244" s="11">
        <v>0.2</v>
      </c>
      <c r="J244" s="11">
        <v>-0.9</v>
      </c>
      <c r="K244" s="11">
        <v>1.2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</row>
    <row r="245" spans="1:60" ht="15.75" x14ac:dyDescent="0.25">
      <c r="A245" s="12" t="s">
        <v>705</v>
      </c>
      <c r="B245" s="11">
        <v>-0.1</v>
      </c>
      <c r="C245" s="11">
        <v>-0.2</v>
      </c>
      <c r="D245" s="11">
        <v>-1</v>
      </c>
      <c r="E245" s="11">
        <v>0.5</v>
      </c>
      <c r="F245" s="11">
        <v>0.5</v>
      </c>
      <c r="G245" s="11">
        <v>2.1</v>
      </c>
      <c r="H245" s="11">
        <v>-1.4</v>
      </c>
      <c r="I245" s="11">
        <v>0.4</v>
      </c>
      <c r="J245" s="11">
        <v>-0.8</v>
      </c>
      <c r="K245" s="11">
        <v>0.7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</row>
    <row r="246" spans="1:60" ht="15.75" x14ac:dyDescent="0.25">
      <c r="A246" s="12" t="s">
        <v>706</v>
      </c>
      <c r="B246" s="11">
        <v>-0.7</v>
      </c>
      <c r="C246" s="11">
        <v>-0.7</v>
      </c>
      <c r="D246" s="11">
        <v>-0.7</v>
      </c>
      <c r="E246" s="11">
        <v>-0.8</v>
      </c>
      <c r="F246" s="11">
        <v>0.9</v>
      </c>
      <c r="G246" s="11">
        <v>-3</v>
      </c>
      <c r="H246" s="11">
        <v>0.2</v>
      </c>
      <c r="I246" s="11">
        <v>-0.4</v>
      </c>
      <c r="J246" s="11">
        <v>1</v>
      </c>
      <c r="K246" s="11">
        <v>-0.6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</row>
    <row r="247" spans="1:60" ht="15.75" x14ac:dyDescent="0.25">
      <c r="A247" s="12" t="s">
        <v>707</v>
      </c>
      <c r="B247" s="11">
        <v>-0.1</v>
      </c>
      <c r="C247" s="11">
        <v>-0.1</v>
      </c>
      <c r="D247" s="11">
        <v>0.3</v>
      </c>
      <c r="E247" s="11">
        <v>-0.4</v>
      </c>
      <c r="F247" s="11">
        <v>-0.5</v>
      </c>
      <c r="G247" s="11">
        <v>0</v>
      </c>
      <c r="H247" s="11">
        <v>-2</v>
      </c>
      <c r="I247" s="11">
        <v>0.5</v>
      </c>
      <c r="J247" s="11">
        <v>1.1000000000000001</v>
      </c>
      <c r="K247" s="11">
        <v>-0.4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</row>
    <row r="248" spans="1:60" ht="15.75" x14ac:dyDescent="0.25">
      <c r="A248" s="12" t="s">
        <v>708</v>
      </c>
      <c r="B248" s="11">
        <v>0.3</v>
      </c>
      <c r="C248" s="11">
        <v>0.1</v>
      </c>
      <c r="D248" s="11">
        <v>0.1</v>
      </c>
      <c r="E248" s="11">
        <v>0.4</v>
      </c>
      <c r="F248" s="11">
        <v>-3.3</v>
      </c>
      <c r="G248" s="11">
        <v>1.1000000000000001</v>
      </c>
      <c r="H248" s="11">
        <v>2.1</v>
      </c>
      <c r="I248" s="11">
        <v>0.7</v>
      </c>
      <c r="J248" s="11">
        <v>-3.5</v>
      </c>
      <c r="K248" s="11">
        <v>1.9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</row>
    <row r="249" spans="1:60" ht="15.75" x14ac:dyDescent="0.25">
      <c r="A249" s="12" t="s">
        <v>709</v>
      </c>
      <c r="B249" s="11">
        <v>-0.3</v>
      </c>
      <c r="C249" s="11">
        <v>0</v>
      </c>
      <c r="D249" s="11">
        <v>0.4</v>
      </c>
      <c r="E249" s="11">
        <v>-0.6</v>
      </c>
      <c r="F249" s="11">
        <v>-0.7</v>
      </c>
      <c r="G249" s="11">
        <v>-2.4</v>
      </c>
      <c r="H249" s="11">
        <v>0.6</v>
      </c>
      <c r="I249" s="11">
        <v>0.1</v>
      </c>
      <c r="J249" s="11">
        <v>2.8</v>
      </c>
      <c r="K249" s="11">
        <v>-2.6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</row>
    <row r="250" spans="1:60" ht="15.75" x14ac:dyDescent="0.25">
      <c r="A250" s="12" t="s">
        <v>710</v>
      </c>
      <c r="B250" s="11">
        <v>1.4</v>
      </c>
      <c r="C250" s="11">
        <v>1.7</v>
      </c>
      <c r="D250" s="11">
        <v>0.5</v>
      </c>
      <c r="E250" s="11">
        <v>2.7</v>
      </c>
      <c r="F250" s="11">
        <v>1.1000000000000001</v>
      </c>
      <c r="G250" s="11">
        <v>6.9</v>
      </c>
      <c r="H250" s="11">
        <v>-1.7</v>
      </c>
      <c r="I250" s="11">
        <v>3.5</v>
      </c>
      <c r="J250" s="11">
        <v>1.8</v>
      </c>
      <c r="K250" s="11">
        <v>-0.9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</row>
    <row r="251" spans="1:60" ht="15.75" x14ac:dyDescent="0.25">
      <c r="A251" s="12" t="s">
        <v>711</v>
      </c>
      <c r="B251" s="11">
        <v>-1.9</v>
      </c>
      <c r="C251" s="11">
        <v>-2.1</v>
      </c>
      <c r="D251" s="11">
        <v>-1.4</v>
      </c>
      <c r="E251" s="11">
        <v>-2.6</v>
      </c>
      <c r="F251" s="11">
        <v>-3.2</v>
      </c>
      <c r="G251" s="11">
        <v>-5</v>
      </c>
      <c r="H251" s="11">
        <v>-1.8</v>
      </c>
      <c r="I251" s="11">
        <v>-0.8</v>
      </c>
      <c r="J251" s="11">
        <v>-2.4</v>
      </c>
      <c r="K251" s="11">
        <v>-0.3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</row>
    <row r="252" spans="1:60" ht="15.75" x14ac:dyDescent="0.25">
      <c r="A252" s="12" t="s">
        <v>712</v>
      </c>
      <c r="B252" s="11">
        <v>-0.1</v>
      </c>
      <c r="C252" s="11">
        <v>-0.1</v>
      </c>
      <c r="D252" s="11">
        <v>-0.8</v>
      </c>
      <c r="E252" s="11">
        <v>0.6</v>
      </c>
      <c r="F252" s="11">
        <v>0.4</v>
      </c>
      <c r="G252" s="11">
        <v>-0.9</v>
      </c>
      <c r="H252" s="11">
        <v>3.7</v>
      </c>
      <c r="I252" s="11">
        <v>-0.4</v>
      </c>
      <c r="J252" s="11">
        <v>-1.6</v>
      </c>
      <c r="K252" s="11">
        <v>0.5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</row>
    <row r="253" spans="1:60" ht="15.75" x14ac:dyDescent="0.25">
      <c r="A253" s="12" t="s">
        <v>713</v>
      </c>
      <c r="B253" s="11">
        <v>2.2000000000000002</v>
      </c>
      <c r="C253" s="11">
        <v>2.6</v>
      </c>
      <c r="D253" s="11">
        <v>1.9</v>
      </c>
      <c r="E253" s="11">
        <v>3.4</v>
      </c>
      <c r="F253" s="11">
        <v>0</v>
      </c>
      <c r="G253" s="11">
        <v>12</v>
      </c>
      <c r="H253" s="11">
        <v>-1.5</v>
      </c>
      <c r="I253" s="11">
        <v>1.7</v>
      </c>
      <c r="J253" s="11">
        <v>-0.6</v>
      </c>
      <c r="K253" s="11">
        <v>-1.3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</row>
    <row r="254" spans="1:60" ht="15.75" x14ac:dyDescent="0.25">
      <c r="A254" s="12" t="s">
        <v>714</v>
      </c>
      <c r="B254" s="11">
        <v>-3.4</v>
      </c>
      <c r="C254" s="11">
        <v>-3.5</v>
      </c>
      <c r="D254" s="11">
        <v>-2.9</v>
      </c>
      <c r="E254" s="11">
        <v>-4.3</v>
      </c>
      <c r="F254" s="11">
        <v>-1.8</v>
      </c>
      <c r="G254" s="11">
        <v>-9.4</v>
      </c>
      <c r="H254" s="11">
        <v>-2.7</v>
      </c>
      <c r="I254" s="11">
        <v>-1.9</v>
      </c>
      <c r="J254" s="11">
        <v>-0.4</v>
      </c>
      <c r="K254" s="11">
        <v>-2.6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</row>
    <row r="255" spans="1:60" ht="15.75" x14ac:dyDescent="0.25">
      <c r="A255" s="12" t="s">
        <v>715</v>
      </c>
      <c r="B255" s="11">
        <v>0.1</v>
      </c>
      <c r="C255" s="11">
        <v>-0.3</v>
      </c>
      <c r="D255" s="11">
        <v>0.4</v>
      </c>
      <c r="E255" s="11">
        <v>-0.5</v>
      </c>
      <c r="F255" s="11">
        <v>-0.2</v>
      </c>
      <c r="G255" s="11">
        <v>0.9</v>
      </c>
      <c r="H255" s="11">
        <v>-1.7</v>
      </c>
      <c r="I255" s="11">
        <v>-1</v>
      </c>
      <c r="J255" s="11">
        <v>-4.0999999999999996</v>
      </c>
      <c r="K255" s="11">
        <v>2.9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</row>
    <row r="256" spans="1:60" ht="15.75" x14ac:dyDescent="0.25">
      <c r="A256" s="12" t="s">
        <v>716</v>
      </c>
      <c r="B256" s="11">
        <v>0.1</v>
      </c>
      <c r="C256" s="11">
        <v>0.2</v>
      </c>
      <c r="D256" s="11">
        <v>-0.8</v>
      </c>
      <c r="E256" s="11">
        <v>0.7</v>
      </c>
      <c r="F256" s="11">
        <v>-0.1</v>
      </c>
      <c r="G256" s="11">
        <v>2.1</v>
      </c>
      <c r="H256" s="11">
        <v>0.7</v>
      </c>
      <c r="I256" s="11">
        <v>-0.2</v>
      </c>
      <c r="J256" s="11">
        <v>3.3</v>
      </c>
      <c r="K256" s="11">
        <v>-0.8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</row>
    <row r="257" spans="1:60" ht="15.75" x14ac:dyDescent="0.25">
      <c r="A257" s="12" t="s">
        <v>717</v>
      </c>
      <c r="B257" s="11">
        <v>0.2</v>
      </c>
      <c r="C257" s="11">
        <v>0.2</v>
      </c>
      <c r="D257" s="11">
        <v>0.3</v>
      </c>
      <c r="E257" s="11">
        <v>0</v>
      </c>
      <c r="F257" s="11">
        <v>-0.5</v>
      </c>
      <c r="G257" s="11">
        <v>1.5</v>
      </c>
      <c r="H257" s="11">
        <v>-2.8</v>
      </c>
      <c r="I257" s="11">
        <v>1.1000000000000001</v>
      </c>
      <c r="J257" s="11">
        <v>2.2999999999999998</v>
      </c>
      <c r="K257" s="11">
        <v>0.1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</row>
    <row r="258" spans="1:60" ht="15.75" x14ac:dyDescent="0.25">
      <c r="A258" s="12" t="s">
        <v>718</v>
      </c>
      <c r="B258" s="11">
        <v>-0.7</v>
      </c>
      <c r="C258" s="11">
        <v>-0.6</v>
      </c>
      <c r="D258" s="11">
        <v>0.9</v>
      </c>
      <c r="E258" s="11">
        <v>-2.1</v>
      </c>
      <c r="F258" s="11">
        <v>-0.5</v>
      </c>
      <c r="G258" s="11">
        <v>-2.1</v>
      </c>
      <c r="H258" s="11">
        <v>-2.5</v>
      </c>
      <c r="I258" s="11">
        <v>-2.6</v>
      </c>
      <c r="J258" s="11">
        <v>0</v>
      </c>
      <c r="K258" s="11">
        <v>-1.5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</row>
    <row r="259" spans="1:60" ht="15.75" x14ac:dyDescent="0.25">
      <c r="A259" s="12" t="s">
        <v>719</v>
      </c>
      <c r="B259" s="11">
        <v>0.4</v>
      </c>
      <c r="C259" s="11">
        <v>0.3</v>
      </c>
      <c r="D259" s="11">
        <v>-0.5</v>
      </c>
      <c r="E259" s="11">
        <v>0.6</v>
      </c>
      <c r="F259" s="11">
        <v>0.4</v>
      </c>
      <c r="G259" s="11">
        <v>1.7</v>
      </c>
      <c r="H259" s="11">
        <v>1.8</v>
      </c>
      <c r="I259" s="11">
        <v>-1.2</v>
      </c>
      <c r="J259" s="11">
        <v>4.7</v>
      </c>
      <c r="K259" s="11">
        <v>1.2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</row>
    <row r="260" spans="1:60" ht="15.75" x14ac:dyDescent="0.25">
      <c r="A260" s="12" t="s">
        <v>720</v>
      </c>
      <c r="B260" s="11">
        <v>-0.2</v>
      </c>
      <c r="C260" s="11">
        <v>0.2</v>
      </c>
      <c r="D260" s="11">
        <v>-0.8</v>
      </c>
      <c r="E260" s="11">
        <v>1</v>
      </c>
      <c r="F260" s="11">
        <v>4.2</v>
      </c>
      <c r="G260" s="11">
        <v>-0.8</v>
      </c>
      <c r="H260" s="11">
        <v>-0.1</v>
      </c>
      <c r="I260" s="11">
        <v>1.6</v>
      </c>
      <c r="J260" s="11">
        <v>1.2</v>
      </c>
      <c r="K260" s="11">
        <v>-3.3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</row>
    <row r="261" spans="1:60" ht="15.75" x14ac:dyDescent="0.25">
      <c r="A261" s="12" t="s">
        <v>721</v>
      </c>
      <c r="B261" s="11">
        <v>1.5</v>
      </c>
      <c r="C261" s="11">
        <v>0.7</v>
      </c>
      <c r="D261" s="11">
        <v>1.3</v>
      </c>
      <c r="E261" s="11">
        <v>0.5</v>
      </c>
      <c r="F261" s="11">
        <v>-2.9</v>
      </c>
      <c r="G261" s="11">
        <v>4</v>
      </c>
      <c r="H261" s="11">
        <v>0.4</v>
      </c>
      <c r="I261" s="11">
        <v>-0.8</v>
      </c>
      <c r="J261" s="11">
        <v>-2.8</v>
      </c>
      <c r="K261" s="11">
        <v>7.8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</row>
    <row r="262" spans="1:60" ht="15.75" x14ac:dyDescent="0.25">
      <c r="A262" s="12" t="s">
        <v>722</v>
      </c>
      <c r="B262" s="11">
        <v>-1.9</v>
      </c>
      <c r="C262" s="11">
        <v>-1.5</v>
      </c>
      <c r="D262" s="11">
        <v>0.3</v>
      </c>
      <c r="E262" s="11">
        <v>-2.7</v>
      </c>
      <c r="F262" s="11">
        <v>-3.3</v>
      </c>
      <c r="G262" s="11">
        <v>-1.1000000000000001</v>
      </c>
      <c r="H262" s="11">
        <v>-3.6</v>
      </c>
      <c r="I262" s="11">
        <v>-3.2</v>
      </c>
      <c r="J262" s="11">
        <v>-5.6</v>
      </c>
      <c r="K262" s="11">
        <v>-5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</row>
    <row r="263" spans="1:60" ht="15.75" x14ac:dyDescent="0.25">
      <c r="A263" s="12" t="s">
        <v>723</v>
      </c>
      <c r="B263" s="11">
        <v>1</v>
      </c>
      <c r="C263" s="11">
        <v>1.3</v>
      </c>
      <c r="D263" s="11">
        <v>0.5</v>
      </c>
      <c r="E263" s="11">
        <v>1.3</v>
      </c>
      <c r="F263" s="11">
        <v>3.9</v>
      </c>
      <c r="G263" s="11">
        <v>1.5</v>
      </c>
      <c r="H263" s="11">
        <v>-0.6</v>
      </c>
      <c r="I263" s="11">
        <v>1.2</v>
      </c>
      <c r="J263" s="11">
        <v>8.4</v>
      </c>
      <c r="K263" s="11">
        <v>-0.8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</row>
    <row r="264" spans="1:60" ht="15.75" x14ac:dyDescent="0.25">
      <c r="A264" s="12" t="s">
        <v>724</v>
      </c>
      <c r="B264" s="11">
        <v>0.6</v>
      </c>
      <c r="C264" s="11">
        <v>0.6</v>
      </c>
      <c r="D264" s="11">
        <v>0.9</v>
      </c>
      <c r="E264" s="11">
        <v>0.2</v>
      </c>
      <c r="F264" s="11">
        <v>0.1</v>
      </c>
      <c r="G264" s="11">
        <v>0.4</v>
      </c>
      <c r="H264" s="11">
        <v>-0.5</v>
      </c>
      <c r="I264" s="11">
        <v>0.5</v>
      </c>
      <c r="J264" s="11">
        <v>2.2000000000000002</v>
      </c>
      <c r="K264" s="11">
        <v>0.2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</row>
    <row r="265" spans="1:60" ht="15.75" x14ac:dyDescent="0.25">
      <c r="A265" s="12" t="s">
        <v>725</v>
      </c>
      <c r="B265" s="11">
        <v>-0.4</v>
      </c>
      <c r="C265" s="11">
        <v>-0.6</v>
      </c>
      <c r="D265" s="11">
        <v>-0.6</v>
      </c>
      <c r="E265" s="11">
        <v>-0.6</v>
      </c>
      <c r="F265" s="11">
        <v>0.9</v>
      </c>
      <c r="G265" s="11">
        <v>-1.4</v>
      </c>
      <c r="H265" s="11">
        <v>-0.2</v>
      </c>
      <c r="I265" s="11">
        <v>-1.1000000000000001</v>
      </c>
      <c r="J265" s="11">
        <v>-0.1</v>
      </c>
      <c r="K265" s="11">
        <v>1.1000000000000001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</row>
    <row r="266" spans="1:60" ht="15.75" x14ac:dyDescent="0.25">
      <c r="A266" s="12" t="s">
        <v>726</v>
      </c>
      <c r="B266" s="11">
        <v>1.2</v>
      </c>
      <c r="C266" s="11">
        <v>1.1000000000000001</v>
      </c>
      <c r="D266" s="11">
        <v>1.4</v>
      </c>
      <c r="E266" s="11">
        <v>1.1000000000000001</v>
      </c>
      <c r="F266" s="11">
        <v>-1</v>
      </c>
      <c r="G266" s="11">
        <v>2.2000000000000002</v>
      </c>
      <c r="H266" s="11">
        <v>0.2</v>
      </c>
      <c r="I266" s="11">
        <v>1.8</v>
      </c>
      <c r="J266" s="11">
        <v>-0.7</v>
      </c>
      <c r="K266" s="11">
        <v>1.3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</row>
    <row r="267" spans="1:60" ht="15.75" x14ac:dyDescent="0.25">
      <c r="A267" s="12" t="s">
        <v>727</v>
      </c>
      <c r="B267" s="11">
        <v>0.1</v>
      </c>
      <c r="C267" s="11">
        <v>0.4</v>
      </c>
      <c r="D267" s="11">
        <v>-0.7</v>
      </c>
      <c r="E267" s="11">
        <v>1.1000000000000001</v>
      </c>
      <c r="F267" s="11">
        <v>0.7</v>
      </c>
      <c r="G267" s="11">
        <v>-0.6</v>
      </c>
      <c r="H267" s="11">
        <v>2.9</v>
      </c>
      <c r="I267" s="11">
        <v>1.6</v>
      </c>
      <c r="J267" s="11">
        <v>4.4000000000000004</v>
      </c>
      <c r="K267" s="11">
        <v>-2.6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</row>
    <row r="268" spans="1:60" ht="15.75" x14ac:dyDescent="0.25">
      <c r="A268" s="12" t="s">
        <v>728</v>
      </c>
      <c r="B268" s="11">
        <v>0.1</v>
      </c>
      <c r="C268" s="11">
        <v>0</v>
      </c>
      <c r="D268" s="11">
        <v>0.4</v>
      </c>
      <c r="E268" s="11">
        <v>-0.6</v>
      </c>
      <c r="F268" s="11">
        <v>0.1</v>
      </c>
      <c r="G268" s="11">
        <v>-0.5</v>
      </c>
      <c r="H268" s="11">
        <v>-0.3</v>
      </c>
      <c r="I268" s="11">
        <v>-1.2</v>
      </c>
      <c r="J268" s="11">
        <v>1.8</v>
      </c>
      <c r="K268" s="11">
        <v>1.3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</row>
    <row r="269" spans="1:60" ht="15.75" x14ac:dyDescent="0.25">
      <c r="A269" s="12" t="s">
        <v>729</v>
      </c>
      <c r="B269" s="11">
        <v>-0.3</v>
      </c>
      <c r="C269" s="11">
        <v>-0.2</v>
      </c>
      <c r="D269" s="11">
        <v>-0.4</v>
      </c>
      <c r="E269" s="11">
        <v>-0.2</v>
      </c>
      <c r="F269" s="11">
        <v>0.5</v>
      </c>
      <c r="G269" s="11">
        <v>0.2</v>
      </c>
      <c r="H269" s="11">
        <v>-0.2</v>
      </c>
      <c r="I269" s="11">
        <v>-1</v>
      </c>
      <c r="J269" s="11">
        <v>2.2999999999999998</v>
      </c>
      <c r="K269" s="11">
        <v>-1.1000000000000001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</row>
    <row r="270" spans="1:60" ht="15.75" x14ac:dyDescent="0.25">
      <c r="A270" s="12" t="s">
        <v>730</v>
      </c>
      <c r="B270" s="11">
        <v>0.3</v>
      </c>
      <c r="C270" s="11">
        <v>0.1</v>
      </c>
      <c r="D270" s="11">
        <v>-0.9</v>
      </c>
      <c r="E270" s="11">
        <v>1.3</v>
      </c>
      <c r="F270" s="11">
        <v>1.6</v>
      </c>
      <c r="G270" s="11">
        <v>2.2000000000000002</v>
      </c>
      <c r="H270" s="11">
        <v>0.5</v>
      </c>
      <c r="I270" s="11">
        <v>1</v>
      </c>
      <c r="J270" s="11">
        <v>-2.4</v>
      </c>
      <c r="K270" s="11">
        <v>2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</row>
    <row r="271" spans="1:60" ht="15.75" x14ac:dyDescent="0.25">
      <c r="A271" s="12" t="s">
        <v>731</v>
      </c>
      <c r="B271" s="11">
        <v>-0.5</v>
      </c>
      <c r="C271" s="11">
        <v>0.1</v>
      </c>
      <c r="D271" s="11">
        <v>0</v>
      </c>
      <c r="E271" s="11">
        <v>0</v>
      </c>
      <c r="F271" s="11">
        <v>-1</v>
      </c>
      <c r="G271" s="11">
        <v>-1.4</v>
      </c>
      <c r="H271" s="11">
        <v>0.1</v>
      </c>
      <c r="I271" s="11">
        <v>1.8</v>
      </c>
      <c r="J271" s="11">
        <v>3.2</v>
      </c>
      <c r="K271" s="11">
        <v>-6.1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</row>
    <row r="272" spans="1:60" ht="15.75" x14ac:dyDescent="0.25">
      <c r="A272" s="12" t="s">
        <v>732</v>
      </c>
      <c r="B272" s="11">
        <v>-1.2</v>
      </c>
      <c r="C272" s="11">
        <v>-0.7</v>
      </c>
      <c r="D272" s="11">
        <v>0.2</v>
      </c>
      <c r="E272" s="11">
        <v>-1.4</v>
      </c>
      <c r="F272" s="11">
        <v>0.1</v>
      </c>
      <c r="G272" s="11">
        <v>-2.2999999999999998</v>
      </c>
      <c r="H272" s="11">
        <v>-0.2</v>
      </c>
      <c r="I272" s="11">
        <v>-2.5</v>
      </c>
      <c r="J272" s="11">
        <v>-1</v>
      </c>
      <c r="K272" s="11">
        <v>-6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</row>
    <row r="273" spans="1:60" ht="15.75" x14ac:dyDescent="0.25">
      <c r="A273" s="12" t="s">
        <v>733</v>
      </c>
      <c r="B273" s="11">
        <v>-2.9</v>
      </c>
      <c r="C273" s="11">
        <v>-2.9</v>
      </c>
      <c r="D273" s="11">
        <v>-1</v>
      </c>
      <c r="E273" s="11">
        <v>-4.3</v>
      </c>
      <c r="F273" s="11">
        <v>0.2</v>
      </c>
      <c r="G273" s="11">
        <v>5.6</v>
      </c>
      <c r="H273" s="11">
        <v>-14.6</v>
      </c>
      <c r="I273" s="11">
        <v>-8</v>
      </c>
      <c r="J273" s="11">
        <v>-7.2</v>
      </c>
      <c r="K273" s="11">
        <v>-3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</row>
    <row r="274" spans="1:60" ht="15.75" x14ac:dyDescent="0.25">
      <c r="A274" s="12" t="s">
        <v>734</v>
      </c>
      <c r="B274" s="11">
        <v>3.1</v>
      </c>
      <c r="C274" s="11">
        <v>3.1</v>
      </c>
      <c r="D274" s="11">
        <v>-0.5</v>
      </c>
      <c r="E274" s="11">
        <v>6.7</v>
      </c>
      <c r="F274" s="11">
        <v>2.8</v>
      </c>
      <c r="G274" s="11">
        <v>2.5</v>
      </c>
      <c r="H274" s="11">
        <v>12.9</v>
      </c>
      <c r="I274" s="11">
        <v>9.1</v>
      </c>
      <c r="J274" s="11">
        <v>4.0999999999999996</v>
      </c>
      <c r="K274" s="11">
        <v>2.5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</row>
    <row r="275" spans="1:60" ht="15.75" x14ac:dyDescent="0.25">
      <c r="A275" s="12" t="s">
        <v>735</v>
      </c>
      <c r="B275" s="11">
        <v>-0.5</v>
      </c>
      <c r="C275" s="11">
        <v>-0.7</v>
      </c>
      <c r="D275" s="11">
        <v>-0.8</v>
      </c>
      <c r="E275" s="11">
        <v>-0.8</v>
      </c>
      <c r="F275" s="11">
        <v>-0.2</v>
      </c>
      <c r="G275" s="11">
        <v>-1</v>
      </c>
      <c r="H275" s="11">
        <v>1</v>
      </c>
      <c r="I275" s="11">
        <v>-2.2000000000000002</v>
      </c>
      <c r="J275" s="11">
        <v>2</v>
      </c>
      <c r="K275" s="11">
        <v>1.1000000000000001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</row>
    <row r="276" spans="1:60" ht="15.75" x14ac:dyDescent="0.25">
      <c r="A276" s="12" t="s">
        <v>736</v>
      </c>
      <c r="B276" s="11">
        <v>0.5</v>
      </c>
      <c r="C276" s="11">
        <v>0.6</v>
      </c>
      <c r="D276" s="11">
        <v>1.2</v>
      </c>
      <c r="E276" s="11">
        <v>0</v>
      </c>
      <c r="F276" s="11">
        <v>0.4</v>
      </c>
      <c r="G276" s="11">
        <v>1.8</v>
      </c>
      <c r="H276" s="11">
        <v>-3.8</v>
      </c>
      <c r="I276" s="11">
        <v>0.8</v>
      </c>
      <c r="J276" s="11">
        <v>0.4</v>
      </c>
      <c r="K276" s="11">
        <v>-0.1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</row>
    <row r="277" spans="1:60" ht="15.75" x14ac:dyDescent="0.25">
      <c r="A277" s="12" t="s">
        <v>737</v>
      </c>
      <c r="B277" s="11">
        <v>0.2</v>
      </c>
      <c r="C277" s="11">
        <v>0.1</v>
      </c>
      <c r="D277" s="11">
        <v>0.5</v>
      </c>
      <c r="E277" s="11">
        <v>-0.1</v>
      </c>
      <c r="F277" s="11">
        <v>0.8</v>
      </c>
      <c r="G277" s="11">
        <v>-2.2999999999999998</v>
      </c>
      <c r="H277" s="11">
        <v>1.9</v>
      </c>
      <c r="I277" s="11">
        <v>0.3</v>
      </c>
      <c r="J277" s="11">
        <v>-1.1000000000000001</v>
      </c>
      <c r="K277" s="11">
        <v>1.1000000000000001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</row>
    <row r="278" spans="1:60" ht="15.75" x14ac:dyDescent="0.25">
      <c r="A278" s="12" t="s">
        <v>738</v>
      </c>
      <c r="B278" s="11">
        <v>0</v>
      </c>
      <c r="C278" s="11">
        <v>0</v>
      </c>
      <c r="D278" s="11">
        <v>0.7</v>
      </c>
      <c r="E278" s="11">
        <v>-0.6</v>
      </c>
      <c r="F278" s="11">
        <v>0.9</v>
      </c>
      <c r="G278" s="11">
        <v>-0.5</v>
      </c>
      <c r="H278" s="11">
        <v>-2.1</v>
      </c>
      <c r="I278" s="11">
        <v>-0.3</v>
      </c>
      <c r="J278" s="11">
        <v>-0.7</v>
      </c>
      <c r="K278" s="11">
        <v>-0.2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</row>
    <row r="279" spans="1:60" ht="15.75" x14ac:dyDescent="0.25">
      <c r="A279" s="12" t="s">
        <v>739</v>
      </c>
      <c r="B279" s="11">
        <v>0.3</v>
      </c>
      <c r="C279" s="11">
        <v>0.2</v>
      </c>
      <c r="D279" s="11">
        <v>-2</v>
      </c>
      <c r="E279" s="11">
        <v>1.8</v>
      </c>
      <c r="F279" s="11">
        <v>-1.9</v>
      </c>
      <c r="G279" s="11">
        <v>2.1</v>
      </c>
      <c r="H279" s="11">
        <v>0.8</v>
      </c>
      <c r="I279" s="11">
        <v>4.4000000000000004</v>
      </c>
      <c r="J279" s="11">
        <v>5.5</v>
      </c>
      <c r="K279" s="11">
        <v>0.9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</row>
    <row r="280" spans="1:60" ht="15.75" x14ac:dyDescent="0.25">
      <c r="A280" s="12" t="s">
        <v>740</v>
      </c>
      <c r="B280" s="11">
        <v>0.1</v>
      </c>
      <c r="C280" s="11">
        <v>0.1</v>
      </c>
      <c r="D280" s="11">
        <v>-0.6</v>
      </c>
      <c r="E280" s="11">
        <v>0.4</v>
      </c>
      <c r="F280" s="11">
        <v>1.3</v>
      </c>
      <c r="G280" s="11">
        <v>-0.5</v>
      </c>
      <c r="H280" s="11">
        <v>-0.1</v>
      </c>
      <c r="I280" s="11">
        <v>1.2</v>
      </c>
      <c r="J280" s="11">
        <v>3.7</v>
      </c>
      <c r="K280" s="11">
        <v>-0.7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</row>
    <row r="281" spans="1:60" ht="15.75" x14ac:dyDescent="0.25">
      <c r="A281" s="12" t="s">
        <v>741</v>
      </c>
      <c r="B281" s="11">
        <v>-1.1000000000000001</v>
      </c>
      <c r="C281" s="11">
        <v>-1.2</v>
      </c>
      <c r="D281" s="11">
        <v>-0.4</v>
      </c>
      <c r="E281" s="11">
        <v>-1.7</v>
      </c>
      <c r="F281" s="11">
        <v>-0.7</v>
      </c>
      <c r="G281" s="11">
        <v>-0.9</v>
      </c>
      <c r="H281" s="11">
        <v>-1.9</v>
      </c>
      <c r="I281" s="11">
        <v>-3.1</v>
      </c>
      <c r="J281" s="11">
        <v>-2.7</v>
      </c>
      <c r="K281" s="11">
        <v>-0.7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</row>
    <row r="282" spans="1:60" ht="15.75" x14ac:dyDescent="0.25">
      <c r="A282" s="12" t="s">
        <v>742</v>
      </c>
      <c r="B282" s="11">
        <v>0.4</v>
      </c>
      <c r="C282" s="11">
        <v>0.1</v>
      </c>
      <c r="D282" s="11">
        <v>0</v>
      </c>
      <c r="E282" s="11">
        <v>0.2</v>
      </c>
      <c r="F282" s="11">
        <v>-0.7</v>
      </c>
      <c r="G282" s="11">
        <v>1.4</v>
      </c>
      <c r="H282" s="11">
        <v>-1.8</v>
      </c>
      <c r="I282" s="11">
        <v>1.1000000000000001</v>
      </c>
      <c r="J282" s="11">
        <v>0.8</v>
      </c>
      <c r="K282" s="11">
        <v>2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</row>
    <row r="283" spans="1:60" ht="15.75" x14ac:dyDescent="0.25">
      <c r="A283" s="12" t="s">
        <v>743</v>
      </c>
      <c r="B283" s="11">
        <v>-0.1</v>
      </c>
      <c r="C283" s="11">
        <v>-0.1</v>
      </c>
      <c r="D283" s="11">
        <v>0.7</v>
      </c>
      <c r="E283" s="11">
        <v>-0.6</v>
      </c>
      <c r="F283" s="11">
        <v>-1.7</v>
      </c>
      <c r="G283" s="11">
        <v>-1</v>
      </c>
      <c r="H283" s="11">
        <v>-2.5</v>
      </c>
      <c r="I283" s="11">
        <v>1.7</v>
      </c>
      <c r="J283" s="11">
        <v>-2.6</v>
      </c>
      <c r="K283" s="11">
        <v>0.4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</row>
    <row r="284" spans="1:60" ht="15.75" x14ac:dyDescent="0.25">
      <c r="A284" s="12" t="s">
        <v>744</v>
      </c>
      <c r="B284" s="11">
        <v>-2.7</v>
      </c>
      <c r="C284" s="11">
        <v>-1.9</v>
      </c>
      <c r="D284" s="11">
        <v>-1.9</v>
      </c>
      <c r="E284" s="11">
        <v>-2.5</v>
      </c>
      <c r="F284" s="11">
        <v>2</v>
      </c>
      <c r="G284" s="11">
        <v>-5.4</v>
      </c>
      <c r="H284" s="11">
        <v>-0.4</v>
      </c>
      <c r="I284" s="11">
        <v>-3.9</v>
      </c>
      <c r="J284" s="11">
        <v>4.4000000000000004</v>
      </c>
      <c r="K284" s="11">
        <v>-9.5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</row>
    <row r="285" spans="1:60" ht="15.75" x14ac:dyDescent="0.25">
      <c r="A285" s="12" t="s">
        <v>745</v>
      </c>
      <c r="B285" s="11">
        <v>2.5</v>
      </c>
      <c r="C285" s="11">
        <v>1.4</v>
      </c>
      <c r="D285" s="11">
        <v>-0.1</v>
      </c>
      <c r="E285" s="11">
        <v>3</v>
      </c>
      <c r="F285" s="11">
        <v>4</v>
      </c>
      <c r="G285" s="11">
        <v>6.5</v>
      </c>
      <c r="H285" s="11">
        <v>0.7</v>
      </c>
      <c r="I285" s="11">
        <v>1</v>
      </c>
      <c r="J285" s="11">
        <v>0.1</v>
      </c>
      <c r="K285" s="11">
        <v>12.4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</row>
    <row r="286" spans="1:60" ht="15.75" x14ac:dyDescent="0.25">
      <c r="A286" s="12" t="s">
        <v>746</v>
      </c>
      <c r="B286" s="11">
        <v>-0.6</v>
      </c>
      <c r="C286" s="11">
        <v>-0.5</v>
      </c>
      <c r="D286" s="11">
        <v>-0.2</v>
      </c>
      <c r="E286" s="11">
        <v>-1</v>
      </c>
      <c r="F286" s="11">
        <v>-3.4</v>
      </c>
      <c r="G286" s="11">
        <v>-0.6</v>
      </c>
      <c r="H286" s="11">
        <v>-0.1</v>
      </c>
      <c r="I286" s="11">
        <v>-0.7</v>
      </c>
      <c r="J286" s="11">
        <v>0.5</v>
      </c>
      <c r="K286" s="11">
        <v>-0.8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</row>
    <row r="287" spans="1:60" ht="15.75" x14ac:dyDescent="0.25">
      <c r="A287" s="12" t="s">
        <v>747</v>
      </c>
      <c r="B287" s="11">
        <v>-0.1</v>
      </c>
      <c r="C287" s="11">
        <v>0.1</v>
      </c>
      <c r="D287" s="11">
        <v>1.5</v>
      </c>
      <c r="E287" s="11">
        <v>-1</v>
      </c>
      <c r="F287" s="11">
        <v>0.1</v>
      </c>
      <c r="G287" s="11">
        <v>-0.8</v>
      </c>
      <c r="H287" s="11">
        <v>-0.9</v>
      </c>
      <c r="I287" s="11">
        <v>-2.1</v>
      </c>
      <c r="J287" s="11">
        <v>-1.9</v>
      </c>
      <c r="K287" s="11">
        <v>-1.8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</row>
    <row r="288" spans="1:60" ht="15.75" x14ac:dyDescent="0.25">
      <c r="A288" s="12" t="s">
        <v>748</v>
      </c>
      <c r="B288" s="11">
        <v>1.5</v>
      </c>
      <c r="C288" s="11">
        <v>1.3</v>
      </c>
      <c r="D288" s="11">
        <v>1.1000000000000001</v>
      </c>
      <c r="E288" s="11">
        <v>1.6</v>
      </c>
      <c r="F288" s="11">
        <v>-0.8</v>
      </c>
      <c r="G288" s="11">
        <v>5.9</v>
      </c>
      <c r="H288" s="11">
        <v>-1</v>
      </c>
      <c r="I288" s="11">
        <v>0.7</v>
      </c>
      <c r="J288" s="11">
        <v>0.2</v>
      </c>
      <c r="K288" s="11">
        <v>3.4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</row>
    <row r="289" spans="1:60" ht="15.75" x14ac:dyDescent="0.25">
      <c r="A289" s="12" t="s">
        <v>749</v>
      </c>
      <c r="B289" s="11">
        <v>-2.1</v>
      </c>
      <c r="C289" s="11">
        <v>-2.1</v>
      </c>
      <c r="D289" s="11">
        <v>-3.2</v>
      </c>
      <c r="E289" s="11">
        <v>-1.7</v>
      </c>
      <c r="F289" s="11">
        <v>-1.1000000000000001</v>
      </c>
      <c r="G289" s="11">
        <v>-4.7</v>
      </c>
      <c r="H289" s="11">
        <v>-0.4</v>
      </c>
      <c r="I289" s="11">
        <v>0</v>
      </c>
      <c r="J289" s="11">
        <v>2.9</v>
      </c>
      <c r="K289" s="11">
        <v>-1.9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</row>
    <row r="290" spans="1:60" ht="15.75" x14ac:dyDescent="0.25">
      <c r="A290" s="12" t="s">
        <v>750</v>
      </c>
      <c r="B290" s="11">
        <v>-0.3</v>
      </c>
      <c r="C290" s="11">
        <v>-0.3</v>
      </c>
      <c r="D290" s="11">
        <v>-0.3</v>
      </c>
      <c r="E290" s="11">
        <v>-0.8</v>
      </c>
      <c r="F290" s="11">
        <v>0.8</v>
      </c>
      <c r="G290" s="11">
        <v>-0.7</v>
      </c>
      <c r="H290" s="11">
        <v>-0.5</v>
      </c>
      <c r="I290" s="11">
        <v>-1.9</v>
      </c>
      <c r="J290" s="11">
        <v>2.6</v>
      </c>
      <c r="K290" s="11">
        <v>0.3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</row>
    <row r="291" spans="1:60" ht="15.75" x14ac:dyDescent="0.25">
      <c r="A291" s="12" t="s">
        <v>751</v>
      </c>
      <c r="B291" s="11">
        <v>0.3</v>
      </c>
      <c r="C291" s="11">
        <v>0.4</v>
      </c>
      <c r="D291" s="11">
        <v>0.9</v>
      </c>
      <c r="E291" s="11">
        <v>0.2</v>
      </c>
      <c r="F291" s="11">
        <v>0.6</v>
      </c>
      <c r="G291" s="11">
        <v>0.8</v>
      </c>
      <c r="H291" s="11">
        <v>0.1</v>
      </c>
      <c r="I291" s="11">
        <v>-0.7</v>
      </c>
      <c r="J291" s="11">
        <v>-1.3</v>
      </c>
      <c r="K291" s="11">
        <v>-0.6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</row>
    <row r="292" spans="1:60" ht="15.75" x14ac:dyDescent="0.25">
      <c r="A292" s="12" t="s">
        <v>752</v>
      </c>
      <c r="B292" s="11">
        <v>-0.1</v>
      </c>
      <c r="C292" s="11">
        <v>-0.1</v>
      </c>
      <c r="D292" s="11">
        <v>0.4</v>
      </c>
      <c r="E292" s="11">
        <v>-1</v>
      </c>
      <c r="F292" s="11">
        <v>-0.4</v>
      </c>
      <c r="G292" s="11">
        <v>-2.8</v>
      </c>
      <c r="H292" s="11">
        <v>-0.7</v>
      </c>
      <c r="I292" s="11">
        <v>0.2</v>
      </c>
      <c r="J292" s="11">
        <v>3.4</v>
      </c>
      <c r="K292" s="11">
        <v>-0.4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</row>
    <row r="293" spans="1:60" ht="15.75" x14ac:dyDescent="0.25">
      <c r="A293" s="12" t="s">
        <v>753</v>
      </c>
      <c r="B293" s="11">
        <v>0.3</v>
      </c>
      <c r="C293" s="11">
        <v>0.2</v>
      </c>
      <c r="D293" s="11">
        <v>0</v>
      </c>
      <c r="E293" s="11">
        <v>0.5</v>
      </c>
      <c r="F293" s="11">
        <v>0.5</v>
      </c>
      <c r="G293" s="11">
        <v>0.2</v>
      </c>
      <c r="H293" s="11">
        <v>1.2</v>
      </c>
      <c r="I293" s="11">
        <v>0.5</v>
      </c>
      <c r="J293" s="11">
        <v>-0.8</v>
      </c>
      <c r="K293" s="11">
        <v>0.8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</row>
    <row r="294" spans="1:60" ht="15.75" x14ac:dyDescent="0.25">
      <c r="A294" s="12" t="s">
        <v>754</v>
      </c>
      <c r="B294" s="11">
        <v>1</v>
      </c>
      <c r="C294" s="11">
        <v>0.9</v>
      </c>
      <c r="D294" s="11">
        <v>0.8</v>
      </c>
      <c r="E294" s="11">
        <v>1</v>
      </c>
      <c r="F294" s="11">
        <v>-0.9</v>
      </c>
      <c r="G294" s="11">
        <v>1.2</v>
      </c>
      <c r="H294" s="11">
        <v>0.5</v>
      </c>
      <c r="I294" s="11">
        <v>2.4</v>
      </c>
      <c r="J294" s="11">
        <v>0</v>
      </c>
      <c r="K294" s="11">
        <v>1.9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</row>
    <row r="295" spans="1:60" ht="15.75" x14ac:dyDescent="0.25">
      <c r="A295" s="12" t="s">
        <v>755</v>
      </c>
      <c r="B295" s="11">
        <v>-0.6</v>
      </c>
      <c r="C295" s="11">
        <v>-1</v>
      </c>
      <c r="D295" s="11">
        <v>-0.7</v>
      </c>
      <c r="E295" s="11">
        <v>-1.8</v>
      </c>
      <c r="F295" s="11">
        <v>-2.1</v>
      </c>
      <c r="G295" s="11">
        <v>-0.1</v>
      </c>
      <c r="H295" s="11">
        <v>-3.7</v>
      </c>
      <c r="I295" s="11">
        <v>-2</v>
      </c>
      <c r="J295" s="11">
        <v>2.4</v>
      </c>
      <c r="K295" s="11">
        <v>2.5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</row>
    <row r="296" spans="1:60" ht="15.75" x14ac:dyDescent="0.25">
      <c r="A296" s="12" t="s">
        <v>756</v>
      </c>
      <c r="B296" s="11">
        <v>0.2</v>
      </c>
      <c r="C296" s="11">
        <v>0.5</v>
      </c>
      <c r="D296" s="11">
        <v>0.2</v>
      </c>
      <c r="E296" s="11">
        <v>1.1000000000000001</v>
      </c>
      <c r="F296" s="11">
        <v>3.4</v>
      </c>
      <c r="G296" s="11">
        <v>3</v>
      </c>
      <c r="H296" s="11">
        <v>0.1</v>
      </c>
      <c r="I296" s="11">
        <v>-1.5</v>
      </c>
      <c r="J296" s="11">
        <v>-1.5</v>
      </c>
      <c r="K296" s="11">
        <v>-2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</row>
    <row r="297" spans="1:60" ht="15.75" x14ac:dyDescent="0.25">
      <c r="A297" s="12" t="s">
        <v>757</v>
      </c>
      <c r="B297" s="11">
        <v>0.3</v>
      </c>
      <c r="C297" s="11">
        <v>0.3</v>
      </c>
      <c r="D297" s="11">
        <v>-0.4</v>
      </c>
      <c r="E297" s="11">
        <v>0.8</v>
      </c>
      <c r="F297" s="11">
        <v>0.3</v>
      </c>
      <c r="G297" s="11">
        <v>-1.2</v>
      </c>
      <c r="H297" s="11">
        <v>0</v>
      </c>
      <c r="I297" s="11">
        <v>3.6</v>
      </c>
      <c r="J297" s="11">
        <v>1.4</v>
      </c>
      <c r="K297" s="11">
        <v>0.4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</row>
    <row r="298" spans="1:60" ht="15.75" x14ac:dyDescent="0.25">
      <c r="A298" s="12" t="s">
        <v>758</v>
      </c>
      <c r="B298" s="11">
        <v>-0.7</v>
      </c>
      <c r="C298" s="11">
        <v>-0.6</v>
      </c>
      <c r="D298" s="11">
        <v>0.5</v>
      </c>
      <c r="E298" s="11">
        <v>-1.5</v>
      </c>
      <c r="F298" s="11">
        <v>-0.2</v>
      </c>
      <c r="G298" s="11">
        <v>-1.2</v>
      </c>
      <c r="H298" s="11">
        <v>-0.6</v>
      </c>
      <c r="I298" s="11">
        <v>-3.3</v>
      </c>
      <c r="J298" s="11">
        <v>-1.2</v>
      </c>
      <c r="K298" s="11">
        <v>-1.9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</row>
    <row r="299" spans="1:60" ht="15.75" x14ac:dyDescent="0.25">
      <c r="A299" s="12" t="s">
        <v>759</v>
      </c>
      <c r="B299" s="11">
        <v>2.1</v>
      </c>
      <c r="C299" s="11">
        <v>1.8</v>
      </c>
      <c r="D299" s="11">
        <v>-0.5</v>
      </c>
      <c r="E299" s="11">
        <v>4</v>
      </c>
      <c r="F299" s="11">
        <v>6.4</v>
      </c>
      <c r="G299" s="11">
        <v>3.2</v>
      </c>
      <c r="H299" s="11">
        <v>3.5</v>
      </c>
      <c r="I299" s="11">
        <v>3.6</v>
      </c>
      <c r="J299" s="11">
        <v>2.1</v>
      </c>
      <c r="K299" s="11">
        <v>5.0999999999999996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</row>
    <row r="300" spans="1:60" ht="15.75" x14ac:dyDescent="0.25">
      <c r="A300" s="12" t="s">
        <v>760</v>
      </c>
      <c r="B300" s="11">
        <v>-3</v>
      </c>
      <c r="C300" s="11">
        <v>-1.8</v>
      </c>
      <c r="D300" s="11">
        <v>-0.6</v>
      </c>
      <c r="E300" s="11">
        <v>-3.3</v>
      </c>
      <c r="F300" s="11">
        <v>-2.2000000000000002</v>
      </c>
      <c r="G300" s="11">
        <v>-4.8</v>
      </c>
      <c r="H300" s="11">
        <v>0</v>
      </c>
      <c r="I300" s="11">
        <v>-4.8</v>
      </c>
      <c r="J300" s="11">
        <v>0.4</v>
      </c>
      <c r="K300" s="11">
        <v>-11.1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</row>
    <row r="301" spans="1:60" ht="15.75" x14ac:dyDescent="0.25">
      <c r="A301" s="12" t="s">
        <v>761</v>
      </c>
      <c r="B301" s="11">
        <v>1.3</v>
      </c>
      <c r="C301" s="11">
        <v>1</v>
      </c>
      <c r="D301" s="11">
        <v>0.5</v>
      </c>
      <c r="E301" s="11">
        <v>1.2</v>
      </c>
      <c r="F301" s="11">
        <v>1.9</v>
      </c>
      <c r="G301" s="11">
        <v>1.2</v>
      </c>
      <c r="H301" s="11">
        <v>0.6</v>
      </c>
      <c r="I301" s="11">
        <v>1.3</v>
      </c>
      <c r="J301" s="11">
        <v>2.6</v>
      </c>
      <c r="K301" s="11">
        <v>4.0999999999999996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</row>
    <row r="302" spans="1:60" ht="15.75" x14ac:dyDescent="0.25">
      <c r="A302" s="12" t="s">
        <v>762</v>
      </c>
      <c r="B302" s="11">
        <v>0.2</v>
      </c>
      <c r="C302" s="11">
        <v>0.7</v>
      </c>
      <c r="D302" s="11">
        <v>0.3</v>
      </c>
      <c r="E302" s="11">
        <v>1.4</v>
      </c>
      <c r="F302" s="11">
        <v>0.4</v>
      </c>
      <c r="G302" s="11">
        <v>2</v>
      </c>
      <c r="H302" s="11">
        <v>-0.9</v>
      </c>
      <c r="I302" s="11">
        <v>3.1</v>
      </c>
      <c r="J302" s="11">
        <v>-2</v>
      </c>
      <c r="K302" s="11">
        <v>-3.3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</row>
    <row r="303" spans="1:60" ht="15.75" x14ac:dyDescent="0.25">
      <c r="A303" s="12" t="s">
        <v>763</v>
      </c>
      <c r="B303" s="11">
        <v>0</v>
      </c>
      <c r="C303" s="11">
        <v>-0.4</v>
      </c>
      <c r="D303" s="11">
        <v>-0.6</v>
      </c>
      <c r="E303" s="11">
        <v>-0.9</v>
      </c>
      <c r="F303" s="11">
        <v>-0.7</v>
      </c>
      <c r="G303" s="11">
        <v>-0.6</v>
      </c>
      <c r="H303" s="11">
        <v>-1.8</v>
      </c>
      <c r="I303" s="11">
        <v>-0.9</v>
      </c>
      <c r="J303" s="11">
        <v>5</v>
      </c>
      <c r="K303" s="11">
        <v>3.3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</row>
    <row r="304" spans="1:60" ht="15.75" x14ac:dyDescent="0.25">
      <c r="A304" s="12" t="s">
        <v>764</v>
      </c>
      <c r="B304" s="11">
        <v>0.2</v>
      </c>
      <c r="C304" s="11">
        <v>0.2</v>
      </c>
      <c r="D304" s="11">
        <v>1</v>
      </c>
      <c r="E304" s="11">
        <v>0.2</v>
      </c>
      <c r="F304" s="11">
        <v>-1.5</v>
      </c>
      <c r="G304" s="11">
        <v>0.1</v>
      </c>
      <c r="H304" s="11">
        <v>-1.7</v>
      </c>
      <c r="I304" s="11">
        <v>2.8</v>
      </c>
      <c r="J304" s="11">
        <v>-5.7</v>
      </c>
      <c r="K304" s="11">
        <v>0.3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</row>
    <row r="305" spans="1:60" ht="15.75" x14ac:dyDescent="0.25">
      <c r="A305" s="12" t="s">
        <v>765</v>
      </c>
      <c r="B305" s="11">
        <v>0.3</v>
      </c>
      <c r="C305" s="11">
        <v>0.2</v>
      </c>
      <c r="D305" s="11">
        <v>-0.1</v>
      </c>
      <c r="E305" s="11">
        <v>0.1</v>
      </c>
      <c r="F305" s="11">
        <v>1.4</v>
      </c>
      <c r="G305" s="11">
        <v>2</v>
      </c>
      <c r="H305" s="11">
        <v>0.1</v>
      </c>
      <c r="I305" s="11">
        <v>-2.5</v>
      </c>
      <c r="J305" s="11">
        <v>3.9</v>
      </c>
      <c r="K305" s="11">
        <v>0.8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</row>
    <row r="306" spans="1:60" ht="15.75" x14ac:dyDescent="0.25">
      <c r="A306" s="12" t="s">
        <v>766</v>
      </c>
      <c r="B306" s="11">
        <v>-0.6</v>
      </c>
      <c r="C306" s="11">
        <v>-0.4</v>
      </c>
      <c r="D306" s="11">
        <v>-0.9</v>
      </c>
      <c r="E306" s="11">
        <v>-0.3</v>
      </c>
      <c r="F306" s="11">
        <v>-0.7</v>
      </c>
      <c r="G306" s="11">
        <v>-0.8</v>
      </c>
      <c r="H306" s="11">
        <v>0.1</v>
      </c>
      <c r="I306" s="11">
        <v>0.3</v>
      </c>
      <c r="J306" s="11">
        <v>2.2999999999999998</v>
      </c>
      <c r="K306" s="11">
        <v>-2.2999999999999998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</row>
    <row r="307" spans="1:60" ht="15.75" x14ac:dyDescent="0.25">
      <c r="A307" s="12" t="s">
        <v>767</v>
      </c>
      <c r="B307" s="11">
        <v>-0.5</v>
      </c>
      <c r="C307" s="11">
        <v>-0.4</v>
      </c>
      <c r="D307" s="11">
        <v>0.1</v>
      </c>
      <c r="E307" s="11">
        <v>-0.8</v>
      </c>
      <c r="F307" s="11">
        <v>-0.3</v>
      </c>
      <c r="G307" s="11">
        <v>-4.0999999999999996</v>
      </c>
      <c r="H307" s="11">
        <v>0.6</v>
      </c>
      <c r="I307" s="11">
        <v>1.1000000000000001</v>
      </c>
      <c r="J307" s="11">
        <v>-0.2</v>
      </c>
      <c r="K307" s="11">
        <v>-1.6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</row>
    <row r="308" spans="1:60" ht="15.75" x14ac:dyDescent="0.25">
      <c r="A308" s="12" t="s">
        <v>768</v>
      </c>
      <c r="B308" s="11">
        <v>1.1000000000000001</v>
      </c>
      <c r="C308" s="11">
        <v>0.9</v>
      </c>
      <c r="D308" s="11">
        <v>0</v>
      </c>
      <c r="E308" s="11">
        <v>1.4</v>
      </c>
      <c r="F308" s="11">
        <v>0.7</v>
      </c>
      <c r="G308" s="11">
        <v>3.2</v>
      </c>
      <c r="H308" s="11">
        <v>1.6</v>
      </c>
      <c r="I308" s="11">
        <v>0.1</v>
      </c>
      <c r="J308" s="11">
        <v>3.6</v>
      </c>
      <c r="K308" s="11">
        <v>2.6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</row>
    <row r="309" spans="1:60" ht="15.75" x14ac:dyDescent="0.25">
      <c r="A309" s="12" t="s">
        <v>769</v>
      </c>
      <c r="B309" s="11">
        <v>-0.9</v>
      </c>
      <c r="C309" s="11">
        <v>-0.6</v>
      </c>
      <c r="D309" s="11">
        <v>0.3</v>
      </c>
      <c r="E309" s="11">
        <v>-2.2000000000000002</v>
      </c>
      <c r="F309" s="11">
        <v>0.3</v>
      </c>
      <c r="G309" s="11">
        <v>0.4</v>
      </c>
      <c r="H309" s="11">
        <v>-5.2</v>
      </c>
      <c r="I309" s="11">
        <v>-4.2</v>
      </c>
      <c r="J309" s="11">
        <v>3.8</v>
      </c>
      <c r="K309" s="11">
        <v>-2.8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</row>
    <row r="310" spans="1:60" ht="15.75" x14ac:dyDescent="0.25">
      <c r="A310" s="12" t="s">
        <v>770</v>
      </c>
      <c r="B310" s="11">
        <v>1.6</v>
      </c>
      <c r="C310" s="11">
        <v>1.6</v>
      </c>
      <c r="D310" s="11">
        <v>-0.5</v>
      </c>
      <c r="E310" s="11">
        <v>3.8</v>
      </c>
      <c r="F310" s="11">
        <v>2.4</v>
      </c>
      <c r="G310" s="11">
        <v>1.9</v>
      </c>
      <c r="H310" s="11">
        <v>4.0999999999999996</v>
      </c>
      <c r="I310" s="11">
        <v>6.4</v>
      </c>
      <c r="J310" s="11">
        <v>1.1000000000000001</v>
      </c>
      <c r="K310" s="11">
        <v>1.6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</row>
    <row r="311" spans="1:60" ht="15.75" x14ac:dyDescent="0.25">
      <c r="A311" s="12" t="s">
        <v>771</v>
      </c>
      <c r="B311" s="11">
        <v>-1.7</v>
      </c>
      <c r="C311" s="11">
        <v>-2.1</v>
      </c>
      <c r="D311" s="11">
        <v>-0.3</v>
      </c>
      <c r="E311" s="11">
        <v>-4.0999999999999996</v>
      </c>
      <c r="F311" s="11">
        <v>-2.7</v>
      </c>
      <c r="G311" s="11">
        <v>-4.2</v>
      </c>
      <c r="H311" s="11">
        <v>-5.4</v>
      </c>
      <c r="I311" s="11">
        <v>-4.0999999999999996</v>
      </c>
      <c r="J311" s="11">
        <v>0.2</v>
      </c>
      <c r="K311" s="11">
        <v>1.7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</row>
    <row r="312" spans="1:60" ht="15.75" x14ac:dyDescent="0.25">
      <c r="A312" s="12" t="s">
        <v>772</v>
      </c>
      <c r="B312" s="11">
        <v>-0.6</v>
      </c>
      <c r="C312" s="11">
        <v>-0.1</v>
      </c>
      <c r="D312" s="11">
        <v>-1.4</v>
      </c>
      <c r="E312" s="11">
        <v>1.4</v>
      </c>
      <c r="F312" s="11">
        <v>0.6</v>
      </c>
      <c r="G312" s="11">
        <v>0.3</v>
      </c>
      <c r="H312" s="11">
        <v>1.9</v>
      </c>
      <c r="I312" s="11">
        <v>2.6</v>
      </c>
      <c r="J312" s="11">
        <v>-1.1000000000000001</v>
      </c>
      <c r="K312" s="11">
        <v>-4.5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</row>
    <row r="313" spans="1:60" ht="15.75" x14ac:dyDescent="0.25">
      <c r="A313" s="12" t="s">
        <v>773</v>
      </c>
      <c r="B313" s="11">
        <v>1.9</v>
      </c>
      <c r="C313" s="11">
        <v>1.6</v>
      </c>
      <c r="D313" s="11">
        <v>1.5</v>
      </c>
      <c r="E313" s="11">
        <v>1.6</v>
      </c>
      <c r="F313" s="11">
        <v>0.4</v>
      </c>
      <c r="G313" s="11">
        <v>1.6</v>
      </c>
      <c r="H313" s="11">
        <v>5.8</v>
      </c>
      <c r="I313" s="11">
        <v>-0.4</v>
      </c>
      <c r="J313" s="11">
        <v>3</v>
      </c>
      <c r="K313" s="11">
        <v>4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</row>
    <row r="314" spans="1:60" ht="15.75" x14ac:dyDescent="0.25">
      <c r="A314" s="12" t="s">
        <v>774</v>
      </c>
      <c r="B314" s="11">
        <v>0.5</v>
      </c>
      <c r="C314" s="11">
        <v>0.7</v>
      </c>
      <c r="D314" s="11">
        <v>0.3</v>
      </c>
      <c r="E314" s="11">
        <v>1</v>
      </c>
      <c r="F314" s="11">
        <v>4.5</v>
      </c>
      <c r="G314" s="11">
        <v>0.8</v>
      </c>
      <c r="H314" s="11">
        <v>-3.7</v>
      </c>
      <c r="I314" s="11">
        <v>2.1</v>
      </c>
      <c r="J314" s="11">
        <v>2.1</v>
      </c>
      <c r="K314" s="11">
        <v>-1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</row>
    <row r="315" spans="1:60" ht="15.75" x14ac:dyDescent="0.25">
      <c r="A315" s="12" t="s">
        <v>775</v>
      </c>
      <c r="B315" s="11">
        <v>0.4</v>
      </c>
      <c r="C315" s="11">
        <v>0.2</v>
      </c>
      <c r="D315" s="11">
        <v>1.7</v>
      </c>
      <c r="E315" s="11">
        <v>-1.5</v>
      </c>
      <c r="F315" s="11">
        <v>-3.1</v>
      </c>
      <c r="G315" s="11">
        <v>-1.6</v>
      </c>
      <c r="H315" s="11">
        <v>0.2</v>
      </c>
      <c r="I315" s="11">
        <v>-1.4</v>
      </c>
      <c r="J315" s="11">
        <v>0.9</v>
      </c>
      <c r="K315" s="11">
        <v>1.9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</row>
    <row r="316" spans="1:60" ht="15.75" x14ac:dyDescent="0.25">
      <c r="A316" s="12" t="s">
        <v>776</v>
      </c>
      <c r="B316" s="11">
        <v>-0.5</v>
      </c>
      <c r="C316" s="11">
        <v>-0.5</v>
      </c>
      <c r="D316" s="11">
        <v>-1.5</v>
      </c>
      <c r="E316" s="11">
        <v>-0.4</v>
      </c>
      <c r="F316" s="11">
        <v>0.7</v>
      </c>
      <c r="G316" s="11">
        <v>0.6</v>
      </c>
      <c r="H316" s="11">
        <v>-3.9</v>
      </c>
      <c r="I316" s="11">
        <v>0.4</v>
      </c>
      <c r="J316" s="11">
        <v>5.3</v>
      </c>
      <c r="K316" s="11">
        <v>-0.8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</row>
    <row r="317" spans="1:60" ht="15.75" x14ac:dyDescent="0.25">
      <c r="A317" s="12" t="s">
        <v>777</v>
      </c>
      <c r="B317" s="11">
        <v>0.9</v>
      </c>
      <c r="C317" s="11">
        <v>1.2</v>
      </c>
      <c r="D317" s="11">
        <v>-0.2</v>
      </c>
      <c r="E317" s="11">
        <v>3.7</v>
      </c>
      <c r="F317" s="11">
        <v>0.6</v>
      </c>
      <c r="G317" s="11">
        <v>4.0999999999999996</v>
      </c>
      <c r="H317" s="11">
        <v>3.8</v>
      </c>
      <c r="I317" s="11">
        <v>5.2</v>
      </c>
      <c r="J317" s="11">
        <v>-5.6</v>
      </c>
      <c r="K317" s="11">
        <v>-1.4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</row>
    <row r="318" spans="1:60" ht="15.75" x14ac:dyDescent="0.25">
      <c r="A318" s="12" t="s">
        <v>778</v>
      </c>
      <c r="B318" s="11">
        <v>-0.8</v>
      </c>
      <c r="C318" s="11">
        <v>-0.6</v>
      </c>
      <c r="D318" s="11">
        <v>-0.1</v>
      </c>
      <c r="E318" s="11">
        <v>-1.4</v>
      </c>
      <c r="F318" s="11">
        <v>2.7</v>
      </c>
      <c r="G318" s="11">
        <v>-2.9</v>
      </c>
      <c r="H318" s="11">
        <v>-0.7</v>
      </c>
      <c r="I318" s="11">
        <v>-3</v>
      </c>
      <c r="J318" s="11">
        <v>1.3</v>
      </c>
      <c r="K318" s="11">
        <v>-2.2000000000000002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</row>
    <row r="319" spans="1:60" ht="15.75" x14ac:dyDescent="0.25">
      <c r="A319" s="12" t="s">
        <v>779</v>
      </c>
      <c r="B319" s="11">
        <v>0.7</v>
      </c>
      <c r="C319" s="11">
        <v>0.8</v>
      </c>
      <c r="D319" s="11">
        <v>0.9</v>
      </c>
      <c r="E319" s="11">
        <v>0.4</v>
      </c>
      <c r="F319" s="11">
        <v>-1.7</v>
      </c>
      <c r="G319" s="11">
        <v>0</v>
      </c>
      <c r="H319" s="11">
        <v>0</v>
      </c>
      <c r="I319" s="11">
        <v>2.2999999999999998</v>
      </c>
      <c r="J319" s="11">
        <v>3</v>
      </c>
      <c r="K319" s="11">
        <v>-0.2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</row>
    <row r="320" spans="1:60" ht="15.75" x14ac:dyDescent="0.25">
      <c r="A320" s="12" t="s">
        <v>780</v>
      </c>
      <c r="B320" s="11">
        <v>-0.1</v>
      </c>
      <c r="C320" s="11">
        <v>-0.3</v>
      </c>
      <c r="D320" s="11">
        <v>-1</v>
      </c>
      <c r="E320" s="11">
        <v>1.2</v>
      </c>
      <c r="F320" s="11">
        <v>1.9</v>
      </c>
      <c r="G320" s="11">
        <v>1.6</v>
      </c>
      <c r="H320" s="11">
        <v>3.2</v>
      </c>
      <c r="I320" s="11">
        <v>-0.8</v>
      </c>
      <c r="J320" s="11">
        <v>-4.9000000000000004</v>
      </c>
      <c r="K320" s="11">
        <v>1.3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</row>
    <row r="321" spans="1:60" ht="15.75" x14ac:dyDescent="0.25">
      <c r="A321" s="12" t="s">
        <v>781</v>
      </c>
      <c r="B321" s="11">
        <v>0.4</v>
      </c>
      <c r="C321" s="11">
        <v>0.5</v>
      </c>
      <c r="D321" s="11">
        <v>0.6</v>
      </c>
      <c r="E321" s="11">
        <v>0.5</v>
      </c>
      <c r="F321" s="11">
        <v>0.3</v>
      </c>
      <c r="G321" s="11">
        <v>-0.6</v>
      </c>
      <c r="H321" s="11">
        <v>2.5</v>
      </c>
      <c r="I321" s="11">
        <v>0.4</v>
      </c>
      <c r="J321" s="11">
        <v>-0.8</v>
      </c>
      <c r="K321" s="11">
        <v>-0.4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</row>
    <row r="322" spans="1:60" ht="15.75" x14ac:dyDescent="0.25">
      <c r="A322" s="12" t="s">
        <v>782</v>
      </c>
      <c r="B322" s="11">
        <v>0.4</v>
      </c>
      <c r="C322" s="11">
        <v>0.3</v>
      </c>
      <c r="D322" s="11">
        <v>-0.5</v>
      </c>
      <c r="E322" s="11">
        <v>-0.6</v>
      </c>
      <c r="F322" s="11">
        <v>0</v>
      </c>
      <c r="G322" s="11">
        <v>-0.8</v>
      </c>
      <c r="H322" s="11">
        <v>-2.2999999999999998</v>
      </c>
      <c r="I322" s="11">
        <v>0.3</v>
      </c>
      <c r="J322" s="11">
        <v>12.6</v>
      </c>
      <c r="K322" s="11">
        <v>0.6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</row>
    <row r="323" spans="1:60" ht="15.75" x14ac:dyDescent="0.25">
      <c r="A323" s="12" t="s">
        <v>783</v>
      </c>
      <c r="B323" s="11">
        <v>1.4</v>
      </c>
      <c r="C323" s="11">
        <v>0.9</v>
      </c>
      <c r="D323" s="11">
        <v>0</v>
      </c>
      <c r="E323" s="11">
        <v>2.5</v>
      </c>
      <c r="F323" s="11">
        <v>1.3</v>
      </c>
      <c r="G323" s="11">
        <v>4.3</v>
      </c>
      <c r="H323" s="11">
        <v>0.2</v>
      </c>
      <c r="I323" s="11">
        <v>3.2</v>
      </c>
      <c r="J323" s="11">
        <v>-3.7</v>
      </c>
      <c r="K323" s="11">
        <v>6.1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</row>
    <row r="324" spans="1:60" ht="15.75" x14ac:dyDescent="0.25">
      <c r="A324" s="12" t="s">
        <v>784</v>
      </c>
      <c r="B324" s="11">
        <v>-0.1</v>
      </c>
      <c r="C324" s="11">
        <v>0.5</v>
      </c>
      <c r="D324" s="11">
        <v>1.6</v>
      </c>
      <c r="E324" s="11">
        <v>-1.1000000000000001</v>
      </c>
      <c r="F324" s="11">
        <v>1.1000000000000001</v>
      </c>
      <c r="G324" s="11">
        <v>-0.9</v>
      </c>
      <c r="H324" s="11">
        <v>0.5</v>
      </c>
      <c r="I324" s="11">
        <v>-3.6</v>
      </c>
      <c r="J324" s="11">
        <v>3.4</v>
      </c>
      <c r="K324" s="11">
        <v>-4.3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</row>
    <row r="325" spans="1:60" ht="15.75" x14ac:dyDescent="0.25">
      <c r="A325" s="12" t="s">
        <v>785</v>
      </c>
      <c r="B325" s="11">
        <v>0</v>
      </c>
      <c r="C325" s="11">
        <v>0.2</v>
      </c>
      <c r="D325" s="11">
        <v>-1.2</v>
      </c>
      <c r="E325" s="11">
        <v>0.7</v>
      </c>
      <c r="F325" s="11">
        <v>-0.1</v>
      </c>
      <c r="G325" s="11">
        <v>0.7</v>
      </c>
      <c r="H325" s="11">
        <v>-1.6</v>
      </c>
      <c r="I325" s="11">
        <v>2.7</v>
      </c>
      <c r="J325" s="11">
        <v>5.3</v>
      </c>
      <c r="K325" s="11">
        <v>-1.9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</row>
    <row r="326" spans="1:60" ht="15.75" x14ac:dyDescent="0.25">
      <c r="A326" s="12" t="s">
        <v>786</v>
      </c>
      <c r="B326" s="11">
        <v>0.7</v>
      </c>
      <c r="C326" s="11">
        <v>0.4</v>
      </c>
      <c r="D326" s="11">
        <v>0.5</v>
      </c>
      <c r="E326" s="11">
        <v>1.1000000000000001</v>
      </c>
      <c r="F326" s="11">
        <v>-0.2</v>
      </c>
      <c r="G326" s="11">
        <v>-1.3</v>
      </c>
      <c r="H326" s="11">
        <v>4.3</v>
      </c>
      <c r="I326" s="11">
        <v>2.2999999999999998</v>
      </c>
      <c r="J326" s="11">
        <v>-4.3</v>
      </c>
      <c r="K326" s="11">
        <v>3.7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</row>
    <row r="327" spans="1:60" ht="15.75" x14ac:dyDescent="0.25">
      <c r="A327" s="12" t="s">
        <v>787</v>
      </c>
      <c r="B327" s="11">
        <v>-0.2</v>
      </c>
      <c r="C327" s="11">
        <v>0.1</v>
      </c>
      <c r="D327" s="11">
        <v>0.7</v>
      </c>
      <c r="E327" s="11">
        <v>-0.6</v>
      </c>
      <c r="F327" s="11">
        <v>-0.4</v>
      </c>
      <c r="G327" s="11">
        <v>0.7</v>
      </c>
      <c r="H327" s="11">
        <v>-1.7</v>
      </c>
      <c r="I327" s="11">
        <v>-1.1000000000000001</v>
      </c>
      <c r="J327" s="11">
        <v>0.7</v>
      </c>
      <c r="K327" s="11">
        <v>-2.2999999999999998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</row>
    <row r="328" spans="1:60" ht="15.75" x14ac:dyDescent="0.25">
      <c r="A328" s="12" t="s">
        <v>788</v>
      </c>
      <c r="B328" s="11">
        <v>-0.1</v>
      </c>
      <c r="C328" s="11">
        <v>-0.2</v>
      </c>
      <c r="D328" s="11">
        <v>-1.4</v>
      </c>
      <c r="E328" s="11">
        <v>1</v>
      </c>
      <c r="F328" s="11">
        <v>2.4</v>
      </c>
      <c r="G328" s="11">
        <v>1.1000000000000001</v>
      </c>
      <c r="H328" s="11">
        <v>3.5</v>
      </c>
      <c r="I328" s="11">
        <v>-1.5</v>
      </c>
      <c r="J328" s="11">
        <v>-1.3</v>
      </c>
      <c r="K328" s="11">
        <v>0.9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</row>
    <row r="329" spans="1:60" ht="15.75" x14ac:dyDescent="0.25">
      <c r="A329" s="12" t="s">
        <v>789</v>
      </c>
      <c r="B329" s="11">
        <v>-0.2</v>
      </c>
      <c r="C329" s="11">
        <v>0</v>
      </c>
      <c r="D329" s="11">
        <v>0.5</v>
      </c>
      <c r="E329" s="11">
        <v>-0.7</v>
      </c>
      <c r="F329" s="11">
        <v>-0.8</v>
      </c>
      <c r="G329" s="11">
        <v>-2</v>
      </c>
      <c r="H329" s="11">
        <v>-2.6</v>
      </c>
      <c r="I329" s="11">
        <v>1.8</v>
      </c>
      <c r="J329" s="11">
        <v>1.7</v>
      </c>
      <c r="K329" s="11">
        <v>-1.5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</row>
    <row r="330" spans="1:60" ht="15.75" x14ac:dyDescent="0.25">
      <c r="A330" s="12" t="s">
        <v>790</v>
      </c>
      <c r="B330" s="11">
        <v>0.8</v>
      </c>
      <c r="C330" s="11">
        <v>0.9</v>
      </c>
      <c r="D330" s="11">
        <v>0.6</v>
      </c>
      <c r="E330" s="11">
        <v>1.4</v>
      </c>
      <c r="F330" s="11">
        <v>1.3</v>
      </c>
      <c r="G330" s="11">
        <v>1.4</v>
      </c>
      <c r="H330" s="11">
        <v>3</v>
      </c>
      <c r="I330" s="11">
        <v>0.4</v>
      </c>
      <c r="J330" s="11">
        <v>-0.5</v>
      </c>
      <c r="K330" s="11">
        <v>0.5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</row>
    <row r="331" spans="1:60" ht="15.75" x14ac:dyDescent="0.25">
      <c r="A331" s="12" t="s">
        <v>791</v>
      </c>
      <c r="B331" s="11">
        <v>0.7</v>
      </c>
      <c r="C331" s="11">
        <v>0.7</v>
      </c>
      <c r="D331" s="11">
        <v>0.6</v>
      </c>
      <c r="E331" s="11">
        <v>0.7</v>
      </c>
      <c r="F331" s="11">
        <v>0.5</v>
      </c>
      <c r="G331" s="11">
        <v>1.3</v>
      </c>
      <c r="H331" s="11">
        <v>-1.4</v>
      </c>
      <c r="I331" s="11">
        <v>1.8</v>
      </c>
      <c r="J331" s="11">
        <v>1.4</v>
      </c>
      <c r="K331" s="11">
        <v>0.5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</row>
    <row r="332" spans="1:60" ht="15.75" x14ac:dyDescent="0.25">
      <c r="A332" s="12" t="s">
        <v>792</v>
      </c>
      <c r="B332" s="11">
        <v>1.4</v>
      </c>
      <c r="C332" s="11">
        <v>1.3</v>
      </c>
      <c r="D332" s="11">
        <v>0.2</v>
      </c>
      <c r="E332" s="11">
        <v>2</v>
      </c>
      <c r="F332" s="11">
        <v>-1.1000000000000001</v>
      </c>
      <c r="G332" s="11">
        <v>1.9</v>
      </c>
      <c r="H332" s="11">
        <v>2.2999999999999998</v>
      </c>
      <c r="I332" s="11">
        <v>4</v>
      </c>
      <c r="J332" s="11">
        <v>4</v>
      </c>
      <c r="K332" s="11">
        <v>1.9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</row>
    <row r="333" spans="1:60" ht="15.75" x14ac:dyDescent="0.25">
      <c r="A333" s="12" t="s">
        <v>793</v>
      </c>
      <c r="B333" s="11">
        <v>0</v>
      </c>
      <c r="C333" s="11">
        <v>-1.2</v>
      </c>
      <c r="D333" s="11">
        <v>-0.4</v>
      </c>
      <c r="E333" s="11">
        <v>-2.1</v>
      </c>
      <c r="F333" s="11">
        <v>1.8</v>
      </c>
      <c r="G333" s="11">
        <v>-1.7</v>
      </c>
      <c r="H333" s="11">
        <v>1.6</v>
      </c>
      <c r="I333" s="11">
        <v>-7.1</v>
      </c>
      <c r="J333" s="11">
        <v>0.1</v>
      </c>
      <c r="K333" s="11">
        <v>10.9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</row>
    <row r="334" spans="1:60" ht="15.75" x14ac:dyDescent="0.25">
      <c r="A334" s="12" t="s">
        <v>794</v>
      </c>
      <c r="B334" s="11">
        <v>0.3</v>
      </c>
      <c r="C334" s="11">
        <v>1.2</v>
      </c>
      <c r="D334" s="11">
        <v>0.1</v>
      </c>
      <c r="E334" s="11">
        <v>2.2000000000000002</v>
      </c>
      <c r="F334" s="11">
        <v>2.9</v>
      </c>
      <c r="G334" s="11">
        <v>2.2000000000000002</v>
      </c>
      <c r="H334" s="11">
        <v>-0.2</v>
      </c>
      <c r="I334" s="11">
        <v>3.2</v>
      </c>
      <c r="J334" s="11">
        <v>2</v>
      </c>
      <c r="K334" s="11">
        <v>-7.3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</row>
    <row r="335" spans="1:60" ht="15.75" x14ac:dyDescent="0.25">
      <c r="A335" s="12" t="s">
        <v>795</v>
      </c>
      <c r="B335" s="11">
        <v>0.3</v>
      </c>
      <c r="C335" s="11">
        <v>0.5</v>
      </c>
      <c r="D335" s="11">
        <v>0.6</v>
      </c>
      <c r="E335" s="11">
        <v>0.2</v>
      </c>
      <c r="F335" s="11">
        <v>-1.8</v>
      </c>
      <c r="G335" s="11">
        <v>0.2</v>
      </c>
      <c r="H335" s="11">
        <v>3.3</v>
      </c>
      <c r="I335" s="11">
        <v>-0.6</v>
      </c>
      <c r="J335" s="11">
        <v>1.8</v>
      </c>
      <c r="K335" s="11">
        <v>-1.7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</row>
    <row r="336" spans="1:60" ht="15.75" x14ac:dyDescent="0.25">
      <c r="A336" s="12" t="s">
        <v>796</v>
      </c>
      <c r="B336" s="11">
        <v>0.7</v>
      </c>
      <c r="C336" s="11">
        <v>0.4</v>
      </c>
      <c r="D336" s="11">
        <v>0.1</v>
      </c>
      <c r="E336" s="11">
        <v>0.5</v>
      </c>
      <c r="F336" s="11">
        <v>0.5</v>
      </c>
      <c r="G336" s="11">
        <v>2.4</v>
      </c>
      <c r="H336" s="11">
        <v>-1.4</v>
      </c>
      <c r="I336" s="11">
        <v>-0.1</v>
      </c>
      <c r="J336" s="11">
        <v>1.3</v>
      </c>
      <c r="K336" s="11">
        <v>3.5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</row>
    <row r="337" spans="1:60" ht="15.75" x14ac:dyDescent="0.25">
      <c r="A337" s="12" t="s">
        <v>797</v>
      </c>
      <c r="B337" s="11">
        <v>-0.5</v>
      </c>
      <c r="C337" s="11">
        <v>-0.2</v>
      </c>
      <c r="D337" s="11">
        <v>0.2</v>
      </c>
      <c r="E337" s="11">
        <v>-0.5</v>
      </c>
      <c r="F337" s="11">
        <v>-0.3</v>
      </c>
      <c r="G337" s="11">
        <v>-2.2000000000000002</v>
      </c>
      <c r="H337" s="11">
        <v>-0.3</v>
      </c>
      <c r="I337" s="11">
        <v>0.9</v>
      </c>
      <c r="J337" s="11">
        <v>-0.6</v>
      </c>
      <c r="K337" s="11">
        <v>-3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</row>
    <row r="338" spans="1:60" ht="15.75" x14ac:dyDescent="0.25">
      <c r="A338" s="12" t="s">
        <v>798</v>
      </c>
      <c r="B338" s="11">
        <v>0.7</v>
      </c>
      <c r="C338" s="11">
        <v>0.4</v>
      </c>
      <c r="D338" s="11">
        <v>0.1</v>
      </c>
      <c r="E338" s="11">
        <v>0.3</v>
      </c>
      <c r="F338" s="11">
        <v>0.1</v>
      </c>
      <c r="G338" s="11">
        <v>1.5</v>
      </c>
      <c r="H338" s="11">
        <v>0.8</v>
      </c>
      <c r="I338" s="11">
        <v>-1.3</v>
      </c>
      <c r="J338" s="11">
        <v>3.2</v>
      </c>
      <c r="K338" s="11">
        <v>3.2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</row>
    <row r="339" spans="1:60" ht="15.75" x14ac:dyDescent="0.25">
      <c r="A339" s="12" t="s">
        <v>799</v>
      </c>
      <c r="B339" s="11">
        <v>-0.2</v>
      </c>
      <c r="C339" s="11">
        <v>0.2</v>
      </c>
      <c r="D339" s="11">
        <v>-0.1</v>
      </c>
      <c r="E339" s="11">
        <v>-0.3</v>
      </c>
      <c r="F339" s="11">
        <v>2.1</v>
      </c>
      <c r="G339" s="11">
        <v>-3.9</v>
      </c>
      <c r="H339" s="11">
        <v>3.8</v>
      </c>
      <c r="I339" s="11">
        <v>-1.2</v>
      </c>
      <c r="J339" s="11">
        <v>4.7</v>
      </c>
      <c r="K339" s="11">
        <v>-3.6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</row>
    <row r="340" spans="1:60" ht="15.75" x14ac:dyDescent="0.25">
      <c r="A340" s="12" t="s">
        <v>800</v>
      </c>
      <c r="B340" s="11">
        <v>-0.6</v>
      </c>
      <c r="C340" s="11">
        <v>-1</v>
      </c>
      <c r="D340" s="11">
        <v>-1.3</v>
      </c>
      <c r="E340" s="11">
        <v>-0.1</v>
      </c>
      <c r="F340" s="11">
        <v>-1.3</v>
      </c>
      <c r="G340" s="11">
        <v>3.1</v>
      </c>
      <c r="H340" s="11">
        <v>-4.5999999999999996</v>
      </c>
      <c r="I340" s="11">
        <v>1</v>
      </c>
      <c r="J340" s="11">
        <v>-5</v>
      </c>
      <c r="K340" s="11">
        <v>2.9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</row>
    <row r="341" spans="1:60" ht="15.75" x14ac:dyDescent="0.25">
      <c r="A341" s="12" t="s">
        <v>801</v>
      </c>
      <c r="B341" s="11">
        <v>2.2000000000000002</v>
      </c>
      <c r="C341" s="11">
        <v>2</v>
      </c>
      <c r="D341" s="11">
        <v>3.3</v>
      </c>
      <c r="E341" s="11">
        <v>0.7</v>
      </c>
      <c r="F341" s="11">
        <v>1.4</v>
      </c>
      <c r="G341" s="11">
        <v>-0.7</v>
      </c>
      <c r="H341" s="11">
        <v>2.5</v>
      </c>
      <c r="I341" s="11">
        <v>0.4</v>
      </c>
      <c r="J341" s="11">
        <v>2.4</v>
      </c>
      <c r="K341" s="11">
        <v>3.9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</row>
    <row r="342" spans="1:60" ht="15.75" x14ac:dyDescent="0.25">
      <c r="A342" s="12" t="s">
        <v>802</v>
      </c>
      <c r="B342" s="11">
        <v>-1</v>
      </c>
      <c r="C342" s="11">
        <v>-1.2</v>
      </c>
      <c r="D342" s="11">
        <v>-1.7</v>
      </c>
      <c r="E342" s="11">
        <v>-0.7</v>
      </c>
      <c r="F342" s="11">
        <v>0.3</v>
      </c>
      <c r="G342" s="11">
        <v>-1.5</v>
      </c>
      <c r="H342" s="11">
        <v>-1.6</v>
      </c>
      <c r="I342" s="11">
        <v>0</v>
      </c>
      <c r="J342" s="11">
        <v>-1.1000000000000001</v>
      </c>
      <c r="K342" s="11">
        <v>0.4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</row>
    <row r="343" spans="1:60" ht="15.75" x14ac:dyDescent="0.25">
      <c r="A343" s="12" t="s">
        <v>803</v>
      </c>
      <c r="B343" s="11">
        <v>0.7</v>
      </c>
      <c r="C343" s="11">
        <v>0.7</v>
      </c>
      <c r="D343" s="11">
        <v>0.8</v>
      </c>
      <c r="E343" s="11">
        <v>0.4</v>
      </c>
      <c r="F343" s="11">
        <v>1.9</v>
      </c>
      <c r="G343" s="11">
        <v>1</v>
      </c>
      <c r="H343" s="11">
        <v>0.2</v>
      </c>
      <c r="I343" s="11">
        <v>-0.9</v>
      </c>
      <c r="J343" s="11">
        <v>1.2</v>
      </c>
      <c r="K343" s="11">
        <v>1.4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</row>
    <row r="344" spans="1:60" ht="15.75" x14ac:dyDescent="0.25">
      <c r="A344" s="12" t="s">
        <v>804</v>
      </c>
      <c r="B344" s="11">
        <v>0</v>
      </c>
      <c r="C344" s="11">
        <v>0.5</v>
      </c>
      <c r="D344" s="11">
        <v>1.4</v>
      </c>
      <c r="E344" s="11">
        <v>-0.6</v>
      </c>
      <c r="F344" s="11">
        <v>1.2</v>
      </c>
      <c r="G344" s="11">
        <v>-2.7</v>
      </c>
      <c r="H344" s="11">
        <v>1</v>
      </c>
      <c r="I344" s="11">
        <v>-0.9</v>
      </c>
      <c r="J344" s="11">
        <v>2.4</v>
      </c>
      <c r="K344" s="11">
        <v>-5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</row>
    <row r="345" spans="1:60" ht="15.75" x14ac:dyDescent="0.25">
      <c r="A345" s="12" t="s">
        <v>805</v>
      </c>
      <c r="B345" s="11">
        <v>2.5</v>
      </c>
      <c r="C345" s="11">
        <v>1.5</v>
      </c>
      <c r="D345" s="11">
        <v>0.3</v>
      </c>
      <c r="E345" s="11">
        <v>2.8</v>
      </c>
      <c r="F345" s="11">
        <v>2.4</v>
      </c>
      <c r="G345" s="11">
        <v>1.2</v>
      </c>
      <c r="H345" s="11">
        <v>3.2</v>
      </c>
      <c r="I345" s="11">
        <v>4.5</v>
      </c>
      <c r="J345" s="11">
        <v>1.5</v>
      </c>
      <c r="K345" s="11">
        <v>12.4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</row>
    <row r="346" spans="1:60" ht="15.75" x14ac:dyDescent="0.25">
      <c r="A346" s="12" t="s">
        <v>806</v>
      </c>
      <c r="B346" s="11">
        <v>-0.8</v>
      </c>
      <c r="C346" s="11">
        <v>-0.1</v>
      </c>
      <c r="D346" s="11">
        <v>0.3</v>
      </c>
      <c r="E346" s="11">
        <v>-0.6</v>
      </c>
      <c r="F346" s="11">
        <v>-0.1</v>
      </c>
      <c r="G346" s="11">
        <v>-1.6</v>
      </c>
      <c r="H346" s="11">
        <v>-1.3</v>
      </c>
      <c r="I346" s="11">
        <v>0.4</v>
      </c>
      <c r="J346" s="11">
        <v>0.3</v>
      </c>
      <c r="K346" s="11">
        <v>-6.3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</row>
    <row r="347" spans="1:60" ht="15.75" x14ac:dyDescent="0.25">
      <c r="A347" s="12" t="s">
        <v>807</v>
      </c>
      <c r="B347" s="11">
        <v>-0.3</v>
      </c>
      <c r="C347" s="11">
        <v>-0.6</v>
      </c>
      <c r="D347" s="11">
        <v>0.1</v>
      </c>
      <c r="E347" s="11">
        <v>-1.8</v>
      </c>
      <c r="F347" s="11">
        <v>-2.2000000000000002</v>
      </c>
      <c r="G347" s="11">
        <v>-2.9</v>
      </c>
      <c r="H347" s="11">
        <v>-5.0999999999999996</v>
      </c>
      <c r="I347" s="11">
        <v>1.7</v>
      </c>
      <c r="J347" s="11">
        <v>2</v>
      </c>
      <c r="K347" s="11">
        <v>2.9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</row>
    <row r="348" spans="1:60" ht="15.75" x14ac:dyDescent="0.25">
      <c r="A348" s="12" t="s">
        <v>808</v>
      </c>
      <c r="B348" s="11">
        <v>0.8</v>
      </c>
      <c r="C348" s="11">
        <v>1</v>
      </c>
      <c r="D348" s="11">
        <v>-0.7</v>
      </c>
      <c r="E348" s="11">
        <v>3.2</v>
      </c>
      <c r="F348" s="11">
        <v>1.6</v>
      </c>
      <c r="G348" s="11">
        <v>2.2999999999999998</v>
      </c>
      <c r="H348" s="11">
        <v>4.7</v>
      </c>
      <c r="I348" s="11">
        <v>4.3</v>
      </c>
      <c r="J348" s="11">
        <v>-1.4</v>
      </c>
      <c r="K348" s="11">
        <v>-1.6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</row>
    <row r="349" spans="1:60" ht="15.75" x14ac:dyDescent="0.25">
      <c r="A349" s="12" t="s">
        <v>809</v>
      </c>
      <c r="B349" s="11">
        <v>1.6</v>
      </c>
      <c r="C349" s="11">
        <v>1.5</v>
      </c>
      <c r="D349" s="11">
        <v>1.1000000000000001</v>
      </c>
      <c r="E349" s="11">
        <v>0.6</v>
      </c>
      <c r="F349" s="11">
        <v>2.4</v>
      </c>
      <c r="G349" s="11">
        <v>1.5</v>
      </c>
      <c r="H349" s="11">
        <v>2</v>
      </c>
      <c r="I349" s="11">
        <v>-2.2000000000000002</v>
      </c>
      <c r="J349" s="11">
        <v>7.9</v>
      </c>
      <c r="K349" s="11">
        <v>3.4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</row>
    <row r="350" spans="1:60" ht="15.75" x14ac:dyDescent="0.25">
      <c r="A350" s="12" t="s">
        <v>810</v>
      </c>
      <c r="B350" s="11">
        <v>-1.8</v>
      </c>
      <c r="C350" s="11">
        <v>-1.3</v>
      </c>
      <c r="D350" s="11">
        <v>-0.3</v>
      </c>
      <c r="E350" s="11">
        <v>-2.2000000000000002</v>
      </c>
      <c r="F350" s="11">
        <v>-5.0999999999999996</v>
      </c>
      <c r="G350" s="11">
        <v>-1.4</v>
      </c>
      <c r="H350" s="11">
        <v>-4.2</v>
      </c>
      <c r="I350" s="11">
        <v>0.4</v>
      </c>
      <c r="J350" s="11">
        <v>-1.6</v>
      </c>
      <c r="K350" s="11">
        <v>-6.4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</row>
    <row r="351" spans="1:60" ht="15.75" x14ac:dyDescent="0.25">
      <c r="A351" s="12" t="s">
        <v>811</v>
      </c>
      <c r="B351" s="11">
        <v>2.2000000000000002</v>
      </c>
      <c r="C351" s="11">
        <v>1.9</v>
      </c>
      <c r="D351" s="11">
        <v>0.4</v>
      </c>
      <c r="E351" s="11">
        <v>3.3</v>
      </c>
      <c r="F351" s="11">
        <v>3.6</v>
      </c>
      <c r="G351" s="11">
        <v>4.8</v>
      </c>
      <c r="H351" s="11">
        <v>3.9</v>
      </c>
      <c r="I351" s="11">
        <v>1.5</v>
      </c>
      <c r="J351" s="11">
        <v>1.5</v>
      </c>
      <c r="K351" s="11">
        <v>5.8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</row>
    <row r="352" spans="1:60" ht="15.75" x14ac:dyDescent="0.25">
      <c r="A352" s="12" t="s">
        <v>812</v>
      </c>
      <c r="B352" s="11">
        <v>-0.3</v>
      </c>
      <c r="C352" s="11">
        <v>-0.4</v>
      </c>
      <c r="D352" s="11">
        <v>0.7</v>
      </c>
      <c r="E352" s="11">
        <v>-2</v>
      </c>
      <c r="F352" s="11">
        <v>0.7</v>
      </c>
      <c r="G352" s="11">
        <v>-1.9</v>
      </c>
      <c r="H352" s="11">
        <v>-4.2</v>
      </c>
      <c r="I352" s="11">
        <v>-2.4</v>
      </c>
      <c r="J352" s="11">
        <v>2.9</v>
      </c>
      <c r="K352" s="1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</row>
    <row r="353" spans="1:60" ht="15.75" x14ac:dyDescent="0.25">
      <c r="A353" s="12" t="s">
        <v>813</v>
      </c>
      <c r="B353" s="11">
        <v>0.4</v>
      </c>
      <c r="C353" s="11">
        <v>0.5</v>
      </c>
      <c r="D353" s="11">
        <v>0.5</v>
      </c>
      <c r="E353" s="11">
        <v>0</v>
      </c>
      <c r="F353" s="11">
        <v>1.2</v>
      </c>
      <c r="G353" s="11">
        <v>-2.5</v>
      </c>
      <c r="H353" s="11">
        <v>0.1</v>
      </c>
      <c r="I353" s="11">
        <v>1.3</v>
      </c>
      <c r="J353" s="11">
        <v>2.8</v>
      </c>
      <c r="K353" s="11">
        <v>-0.6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</row>
    <row r="354" spans="1:60" ht="15.75" x14ac:dyDescent="0.25">
      <c r="A354" s="12" t="s">
        <v>814</v>
      </c>
      <c r="B354" s="11">
        <v>1.7</v>
      </c>
      <c r="C354" s="11">
        <v>1.8</v>
      </c>
      <c r="D354" s="11">
        <v>0.3</v>
      </c>
      <c r="E354" s="11">
        <v>3</v>
      </c>
      <c r="F354" s="11">
        <v>-1.6</v>
      </c>
      <c r="G354" s="11">
        <v>7.2</v>
      </c>
      <c r="H354" s="11">
        <v>3.2</v>
      </c>
      <c r="I354" s="11">
        <v>2.2999999999999998</v>
      </c>
      <c r="J354" s="11">
        <v>2.5</v>
      </c>
      <c r="K354" s="11">
        <v>0.6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</row>
    <row r="355" spans="1:60" ht="15.75" x14ac:dyDescent="0.25">
      <c r="A355" s="12" t="s">
        <v>815</v>
      </c>
      <c r="B355" s="11">
        <v>-0.6</v>
      </c>
      <c r="C355" s="11">
        <v>-0.5</v>
      </c>
      <c r="D355" s="11">
        <v>-0.4</v>
      </c>
      <c r="E355" s="11">
        <v>-1.2</v>
      </c>
      <c r="F355" s="11">
        <v>1</v>
      </c>
      <c r="G355" s="11">
        <v>-3.7</v>
      </c>
      <c r="H355" s="11">
        <v>1.9</v>
      </c>
      <c r="I355" s="11">
        <v>-2.4</v>
      </c>
      <c r="J355" s="11">
        <v>2.2999999999999998</v>
      </c>
      <c r="K355" s="11">
        <v>-1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</row>
    <row r="356" spans="1:60" ht="15.75" x14ac:dyDescent="0.25">
      <c r="A356" s="12" t="s">
        <v>816</v>
      </c>
      <c r="B356" s="11">
        <v>-1</v>
      </c>
      <c r="C356" s="11">
        <v>-1</v>
      </c>
      <c r="D356" s="11">
        <v>-1.3</v>
      </c>
      <c r="E356" s="11">
        <v>-0.8</v>
      </c>
      <c r="F356" s="11">
        <v>-1.3</v>
      </c>
      <c r="G356" s="11">
        <v>-0.6</v>
      </c>
      <c r="H356" s="11">
        <v>-2.2000000000000002</v>
      </c>
      <c r="I356" s="11">
        <v>0.4</v>
      </c>
      <c r="J356" s="11">
        <v>-0.8</v>
      </c>
      <c r="K356" s="11">
        <v>-1.3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</row>
    <row r="357" spans="1:60" ht="15.75" x14ac:dyDescent="0.25">
      <c r="A357" s="12" t="s">
        <v>817</v>
      </c>
      <c r="B357" s="11">
        <v>-0.6</v>
      </c>
      <c r="C357" s="11">
        <v>-0.6</v>
      </c>
      <c r="D357" s="11">
        <v>-0.1</v>
      </c>
      <c r="E357" s="11">
        <v>-1</v>
      </c>
      <c r="F357" s="11">
        <v>-1.7</v>
      </c>
      <c r="G357" s="11">
        <v>1.1000000000000001</v>
      </c>
      <c r="H357" s="11">
        <v>-2.2000000000000002</v>
      </c>
      <c r="I357" s="11">
        <v>-1.8</v>
      </c>
      <c r="J357" s="11">
        <v>-0.6</v>
      </c>
      <c r="K357" s="11">
        <v>-1.1000000000000001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</row>
    <row r="358" spans="1:60" ht="15.75" x14ac:dyDescent="0.25">
      <c r="A358" s="12" t="s">
        <v>818</v>
      </c>
      <c r="B358" s="11">
        <v>0.7</v>
      </c>
      <c r="C358" s="11">
        <v>0.8</v>
      </c>
      <c r="D358" s="11">
        <v>0.6</v>
      </c>
      <c r="E358" s="11">
        <v>1.3</v>
      </c>
      <c r="F358" s="11">
        <v>0.6</v>
      </c>
      <c r="G358" s="11">
        <v>1.3</v>
      </c>
      <c r="H358" s="11">
        <v>1.3</v>
      </c>
      <c r="I358" s="11">
        <v>1.9</v>
      </c>
      <c r="J358" s="11">
        <v>-0.2</v>
      </c>
      <c r="K358" s="11">
        <v>-0.1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</row>
    <row r="359" spans="1:60" ht="15.75" x14ac:dyDescent="0.25">
      <c r="A359" s="12" t="s">
        <v>819</v>
      </c>
      <c r="B359" s="11">
        <v>-0.9</v>
      </c>
      <c r="C359" s="11">
        <v>-0.7</v>
      </c>
      <c r="D359" s="11">
        <v>-0.2</v>
      </c>
      <c r="E359" s="11">
        <v>-1.2</v>
      </c>
      <c r="F359" s="11">
        <v>1.1000000000000001</v>
      </c>
      <c r="G359" s="11">
        <v>0.6</v>
      </c>
      <c r="H359" s="11">
        <v>-0.1</v>
      </c>
      <c r="I359" s="11">
        <v>-5.2</v>
      </c>
      <c r="J359" s="11">
        <v>-0.7</v>
      </c>
      <c r="K359" s="11">
        <v>-2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</row>
    <row r="360" spans="1:60" ht="15.75" x14ac:dyDescent="0.25">
      <c r="A360" s="12" t="s">
        <v>820</v>
      </c>
      <c r="B360" s="11">
        <v>1.9</v>
      </c>
      <c r="C360" s="11">
        <v>1.7</v>
      </c>
      <c r="D360" s="11">
        <v>0.4</v>
      </c>
      <c r="E360" s="11">
        <v>2.4</v>
      </c>
      <c r="F360" s="11">
        <v>-0.8</v>
      </c>
      <c r="G360" s="11">
        <v>-0.4</v>
      </c>
      <c r="H360" s="11">
        <v>3.8</v>
      </c>
      <c r="I360" s="11">
        <v>6.5</v>
      </c>
      <c r="J360" s="11">
        <v>4.2</v>
      </c>
      <c r="K360" s="11">
        <v>4.0999999999999996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</row>
    <row r="361" spans="1:60" ht="15.75" x14ac:dyDescent="0.25">
      <c r="A361" s="12" t="s">
        <v>821</v>
      </c>
      <c r="B361" s="11">
        <v>-1</v>
      </c>
      <c r="C361" s="11">
        <v>-1.6</v>
      </c>
      <c r="D361" s="11">
        <v>-0.8</v>
      </c>
      <c r="E361" s="11">
        <v>-2.4</v>
      </c>
      <c r="F361" s="11">
        <v>-1</v>
      </c>
      <c r="G361" s="11">
        <v>-0.7</v>
      </c>
      <c r="H361" s="11">
        <v>-6.3</v>
      </c>
      <c r="I361" s="11">
        <v>-2.2000000000000002</v>
      </c>
      <c r="J361" s="11">
        <v>-1.7</v>
      </c>
      <c r="K361" s="11">
        <v>5.6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</row>
    <row r="362" spans="1:60" ht="15.75" x14ac:dyDescent="0.25">
      <c r="A362" s="12" t="s">
        <v>822</v>
      </c>
      <c r="B362" s="11">
        <v>0.2</v>
      </c>
      <c r="C362" s="11">
        <v>1</v>
      </c>
      <c r="D362" s="11">
        <v>-0.8</v>
      </c>
      <c r="E362" s="11">
        <v>2.1</v>
      </c>
      <c r="F362" s="11">
        <v>2.4</v>
      </c>
      <c r="G362" s="11">
        <v>1.3</v>
      </c>
      <c r="H362" s="11">
        <v>1.3</v>
      </c>
      <c r="I362" s="11">
        <v>3</v>
      </c>
      <c r="J362" s="11">
        <v>3.7</v>
      </c>
      <c r="K362" s="11">
        <v>-6.7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</row>
    <row r="363" spans="1:60" ht="15.75" x14ac:dyDescent="0.25">
      <c r="A363" s="12" t="s">
        <v>823</v>
      </c>
      <c r="B363" s="11">
        <v>0.2</v>
      </c>
      <c r="C363" s="11">
        <v>0.1</v>
      </c>
      <c r="D363" s="11">
        <v>0.6</v>
      </c>
      <c r="E363" s="11">
        <v>-0.1</v>
      </c>
      <c r="F363" s="11">
        <v>0.1</v>
      </c>
      <c r="G363" s="11">
        <v>-0.3</v>
      </c>
      <c r="H363" s="11">
        <v>3</v>
      </c>
      <c r="I363" s="11">
        <v>-1.9</v>
      </c>
      <c r="J363" s="11">
        <v>-1.4</v>
      </c>
      <c r="K363" s="11">
        <v>1.9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</row>
    <row r="364" spans="1:60" ht="15.75" x14ac:dyDescent="0.25">
      <c r="A364" s="12" t="s">
        <v>824</v>
      </c>
      <c r="B364" s="11">
        <v>0.9</v>
      </c>
      <c r="C364" s="11">
        <v>1</v>
      </c>
      <c r="D364" s="11">
        <v>0.4</v>
      </c>
      <c r="E364" s="11">
        <v>1</v>
      </c>
      <c r="F364" s="11">
        <v>0.8</v>
      </c>
      <c r="G364" s="11">
        <v>0.8</v>
      </c>
      <c r="H364" s="11">
        <v>-4.8</v>
      </c>
      <c r="I364" s="11">
        <v>5</v>
      </c>
      <c r="J364" s="11">
        <v>3.3</v>
      </c>
      <c r="K364" s="11">
        <v>0.2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</row>
    <row r="365" spans="1:60" ht="15.75" x14ac:dyDescent="0.25">
      <c r="A365" s="12" t="s">
        <v>825</v>
      </c>
      <c r="B365" s="11">
        <v>-0.2</v>
      </c>
      <c r="C365" s="11">
        <v>-0.3</v>
      </c>
      <c r="D365" s="11">
        <v>0.1</v>
      </c>
      <c r="E365" s="11">
        <v>-2</v>
      </c>
      <c r="F365" s="11">
        <v>-0.9</v>
      </c>
      <c r="G365" s="11">
        <v>0</v>
      </c>
      <c r="H365" s="11">
        <v>2</v>
      </c>
      <c r="I365" s="11">
        <v>-6.8</v>
      </c>
      <c r="J365" s="11">
        <v>5.5</v>
      </c>
      <c r="K365" s="11">
        <v>0.4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</row>
    <row r="366" spans="1:60" ht="15.75" x14ac:dyDescent="0.25">
      <c r="A366" s="12" t="s">
        <v>826</v>
      </c>
      <c r="B366" s="11">
        <v>0.5</v>
      </c>
      <c r="C366" s="11">
        <v>0.5</v>
      </c>
      <c r="D366" s="11">
        <v>0.4</v>
      </c>
      <c r="E366" s="11">
        <v>1.3</v>
      </c>
      <c r="F366" s="11">
        <v>-1.2</v>
      </c>
      <c r="G366" s="11">
        <v>-1.2</v>
      </c>
      <c r="H366" s="11">
        <v>2.6</v>
      </c>
      <c r="I366" s="11">
        <v>4.5999999999999996</v>
      </c>
      <c r="J366" s="11">
        <v>-2.9</v>
      </c>
      <c r="K366" s="11">
        <v>1.2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</row>
    <row r="367" spans="1:60" ht="15.75" x14ac:dyDescent="0.25">
      <c r="A367" s="12" t="s">
        <v>827</v>
      </c>
      <c r="B367" s="11">
        <v>0</v>
      </c>
      <c r="C367" s="11">
        <v>0</v>
      </c>
      <c r="D367" s="11">
        <v>-0.2</v>
      </c>
      <c r="E367" s="11">
        <v>0</v>
      </c>
      <c r="F367" s="11">
        <v>1.1000000000000001</v>
      </c>
      <c r="G367" s="11">
        <v>0.2</v>
      </c>
      <c r="H367" s="11">
        <v>-1.5</v>
      </c>
      <c r="I367" s="11">
        <v>0.2</v>
      </c>
      <c r="J367" s="11">
        <v>0.2</v>
      </c>
      <c r="K367" s="11">
        <v>0.5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</row>
    <row r="368" spans="1:60" ht="15.75" x14ac:dyDescent="0.25">
      <c r="A368" s="12" t="s">
        <v>828</v>
      </c>
      <c r="B368" s="11">
        <v>0.1</v>
      </c>
      <c r="C368" s="11">
        <v>0.2</v>
      </c>
      <c r="D368" s="11">
        <v>0.3</v>
      </c>
      <c r="E368" s="11">
        <v>0.5</v>
      </c>
      <c r="F368" s="11">
        <v>1.8</v>
      </c>
      <c r="G368" s="11">
        <v>-0.5</v>
      </c>
      <c r="H368" s="11">
        <v>0.3</v>
      </c>
      <c r="I368" s="11">
        <v>0.7</v>
      </c>
      <c r="J368" s="11">
        <v>-0.9</v>
      </c>
      <c r="K368" s="11">
        <v>-1.3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</row>
    <row r="369" spans="1:60" ht="15.75" x14ac:dyDescent="0.25">
      <c r="A369" s="12" t="s">
        <v>829</v>
      </c>
      <c r="B369" s="11">
        <v>-0.7</v>
      </c>
      <c r="C369" s="11">
        <v>-0.8</v>
      </c>
      <c r="D369" s="11">
        <v>-1.3</v>
      </c>
      <c r="E369" s="11">
        <v>-0.3</v>
      </c>
      <c r="F369" s="11">
        <v>-0.2</v>
      </c>
      <c r="G369" s="11">
        <v>-1.3</v>
      </c>
      <c r="H369" s="11">
        <v>0.6</v>
      </c>
      <c r="I369" s="11">
        <v>0.1</v>
      </c>
      <c r="J369" s="11">
        <v>-1.3</v>
      </c>
      <c r="K369" s="11">
        <v>0.5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</row>
    <row r="370" spans="1:60" ht="15.75" x14ac:dyDescent="0.25">
      <c r="A370" s="12" t="s">
        <v>830</v>
      </c>
      <c r="B370" s="11">
        <v>0.2</v>
      </c>
      <c r="C370" s="11">
        <v>0.2</v>
      </c>
      <c r="D370" s="11">
        <v>0.9</v>
      </c>
      <c r="E370" s="11">
        <v>-0.9</v>
      </c>
      <c r="F370" s="11">
        <v>-1</v>
      </c>
      <c r="G370" s="11">
        <v>-0.4</v>
      </c>
      <c r="H370" s="11">
        <v>1.3</v>
      </c>
      <c r="I370" s="11">
        <v>-2.7</v>
      </c>
      <c r="J370" s="11">
        <v>1.8</v>
      </c>
      <c r="K370" s="11">
        <v>0.9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</row>
    <row r="371" spans="1:60" ht="15.75" x14ac:dyDescent="0.25">
      <c r="A371" s="12" t="s">
        <v>831</v>
      </c>
      <c r="B371" s="11">
        <v>-1.7</v>
      </c>
      <c r="C371" s="11">
        <v>-1.3</v>
      </c>
      <c r="D371" s="11">
        <v>-1.2</v>
      </c>
      <c r="E371" s="11">
        <v>-1.1000000000000001</v>
      </c>
      <c r="F371" s="11">
        <v>-0.3</v>
      </c>
      <c r="G371" s="11">
        <v>-2.5</v>
      </c>
      <c r="H371" s="11">
        <v>0.6</v>
      </c>
      <c r="I371" s="11">
        <v>-1.3</v>
      </c>
      <c r="J371" s="11">
        <v>-3.3</v>
      </c>
      <c r="K371" s="11">
        <v>-4.8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</row>
    <row r="372" spans="1:60" ht="15.75" x14ac:dyDescent="0.25">
      <c r="A372" s="12" t="s">
        <v>832</v>
      </c>
      <c r="B372" s="11">
        <v>1.6</v>
      </c>
      <c r="C372" s="11">
        <v>1.5</v>
      </c>
      <c r="D372" s="11">
        <v>1.1000000000000001</v>
      </c>
      <c r="E372" s="11">
        <v>1.6</v>
      </c>
      <c r="F372" s="11">
        <v>-1.8</v>
      </c>
      <c r="G372" s="11">
        <v>2.9</v>
      </c>
      <c r="H372" s="11">
        <v>0.1</v>
      </c>
      <c r="I372" s="11">
        <v>3.7</v>
      </c>
      <c r="J372" s="11">
        <v>3</v>
      </c>
      <c r="K372" s="11">
        <v>2.6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</row>
    <row r="373" spans="1:60" ht="15.75" x14ac:dyDescent="0.25">
      <c r="A373" s="12" t="s">
        <v>833</v>
      </c>
      <c r="B373" s="11">
        <v>1.8</v>
      </c>
      <c r="C373" s="11">
        <v>1.7</v>
      </c>
      <c r="D373" s="11">
        <v>1.7</v>
      </c>
      <c r="E373" s="11">
        <v>1.1000000000000001</v>
      </c>
      <c r="F373" s="11">
        <v>3.5</v>
      </c>
      <c r="G373" s="11">
        <v>1.6</v>
      </c>
      <c r="H373" s="11">
        <v>1</v>
      </c>
      <c r="I373" s="11">
        <v>-0.8</v>
      </c>
      <c r="J373" s="11">
        <v>4.5999999999999996</v>
      </c>
      <c r="K373" s="11">
        <v>2.6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</row>
    <row r="374" spans="1:60" ht="15.75" x14ac:dyDescent="0.25">
      <c r="A374" s="12" t="s">
        <v>834</v>
      </c>
      <c r="B374" s="11">
        <v>-0.4</v>
      </c>
      <c r="C374" s="11">
        <v>-0.3</v>
      </c>
      <c r="D374" s="11">
        <v>0</v>
      </c>
      <c r="E374" s="11">
        <v>-0.7</v>
      </c>
      <c r="F374" s="11">
        <v>0.6</v>
      </c>
      <c r="G374" s="11">
        <v>0.2</v>
      </c>
      <c r="H374" s="11">
        <v>-1.6</v>
      </c>
      <c r="I374" s="11">
        <v>-1.7</v>
      </c>
      <c r="J374" s="11">
        <v>-0.6</v>
      </c>
      <c r="K374" s="11">
        <v>-0.5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</row>
    <row r="375" spans="1:60" ht="15.75" x14ac:dyDescent="0.25">
      <c r="A375" s="12" t="s">
        <v>835</v>
      </c>
      <c r="B375" s="11">
        <v>1</v>
      </c>
      <c r="C375" s="11">
        <v>1.2</v>
      </c>
      <c r="D375" s="11">
        <v>0.9</v>
      </c>
      <c r="E375" s="11">
        <v>1.1000000000000001</v>
      </c>
      <c r="F375" s="11">
        <v>-1</v>
      </c>
      <c r="G375" s="11">
        <v>2.1</v>
      </c>
      <c r="H375" s="11">
        <v>0.4</v>
      </c>
      <c r="I375" s="11">
        <v>2</v>
      </c>
      <c r="J375" s="11">
        <v>3.2</v>
      </c>
      <c r="K375" s="11">
        <v>-0.7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</row>
    <row r="376" spans="1:60" ht="15.75" x14ac:dyDescent="0.25">
      <c r="A376" s="12" t="s">
        <v>836</v>
      </c>
      <c r="B376" s="11">
        <v>0.3</v>
      </c>
      <c r="C376" s="11">
        <v>0.4</v>
      </c>
      <c r="D376" s="11">
        <v>-0.6</v>
      </c>
      <c r="E376" s="11">
        <v>1.2</v>
      </c>
      <c r="F376" s="11">
        <v>0.4</v>
      </c>
      <c r="G376" s="11">
        <v>-2.2999999999999998</v>
      </c>
      <c r="H376" s="11">
        <v>3.5</v>
      </c>
      <c r="I376" s="11">
        <v>3.5</v>
      </c>
      <c r="J376" s="11">
        <v>0.8</v>
      </c>
      <c r="K376" s="11">
        <v>-0.6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</row>
    <row r="377" spans="1:60" ht="15.75" x14ac:dyDescent="0.25">
      <c r="A377" s="12" t="s">
        <v>837</v>
      </c>
      <c r="B377" s="11">
        <v>-0.3</v>
      </c>
      <c r="C377" s="11">
        <v>-0.4</v>
      </c>
      <c r="D377" s="11">
        <v>-0.8</v>
      </c>
      <c r="E377" s="11">
        <v>-0.2</v>
      </c>
      <c r="F377" s="11">
        <v>-1.2</v>
      </c>
      <c r="G377" s="11">
        <v>0.5</v>
      </c>
      <c r="H377" s="11">
        <v>1</v>
      </c>
      <c r="I377" s="11">
        <v>-1</v>
      </c>
      <c r="J377" s="11">
        <v>0.2</v>
      </c>
      <c r="K377" s="11">
        <v>0.4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</row>
    <row r="378" spans="1:60" ht="15.75" x14ac:dyDescent="0.25">
      <c r="A378" s="12" t="s">
        <v>838</v>
      </c>
      <c r="B378" s="11">
        <v>-0.4</v>
      </c>
      <c r="C378" s="11">
        <v>-0.2</v>
      </c>
      <c r="D378" s="11">
        <v>0.3</v>
      </c>
      <c r="E378" s="11">
        <v>-0.7</v>
      </c>
      <c r="F378" s="11">
        <v>-1.1000000000000001</v>
      </c>
      <c r="G378" s="11">
        <v>0.2</v>
      </c>
      <c r="H378" s="11">
        <v>-1.4</v>
      </c>
      <c r="I378" s="11">
        <v>-0.9</v>
      </c>
      <c r="J378" s="11">
        <v>-0.2</v>
      </c>
      <c r="K378" s="11">
        <v>-1.6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</row>
    <row r="379" spans="1:60" ht="15.75" x14ac:dyDescent="0.25">
      <c r="A379" s="12" t="s">
        <v>839</v>
      </c>
      <c r="B379" s="11">
        <v>1.2</v>
      </c>
      <c r="C379" s="11">
        <v>0.9</v>
      </c>
      <c r="D379" s="11">
        <v>0.2</v>
      </c>
      <c r="E379" s="11">
        <v>1.4</v>
      </c>
      <c r="F379" s="11">
        <v>0.9</v>
      </c>
      <c r="G379" s="11">
        <v>0.7</v>
      </c>
      <c r="H379" s="11">
        <v>0.7</v>
      </c>
      <c r="I379" s="11">
        <v>2.8</v>
      </c>
      <c r="J379" s="11">
        <v>1.7</v>
      </c>
      <c r="K379" s="11">
        <v>4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</row>
    <row r="380" spans="1:60" ht="15.75" x14ac:dyDescent="0.25">
      <c r="A380" s="12" t="s">
        <v>840</v>
      </c>
      <c r="B380" s="11">
        <v>0.8</v>
      </c>
      <c r="C380" s="11">
        <v>0.6</v>
      </c>
      <c r="D380" s="11">
        <v>0.5</v>
      </c>
      <c r="E380" s="11">
        <v>0.9</v>
      </c>
      <c r="F380" s="11">
        <v>3</v>
      </c>
      <c r="G380" s="11">
        <v>2.1</v>
      </c>
      <c r="H380" s="11">
        <v>1.4</v>
      </c>
      <c r="I380" s="11">
        <v>-1.8</v>
      </c>
      <c r="J380" s="11">
        <v>0</v>
      </c>
      <c r="K380" s="11">
        <v>2.9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</row>
    <row r="381" spans="1:60" ht="15.75" x14ac:dyDescent="0.25">
      <c r="A381" s="12" t="s">
        <v>841</v>
      </c>
      <c r="B381" s="11">
        <v>-0.2</v>
      </c>
      <c r="C381" s="11">
        <v>-0.2</v>
      </c>
      <c r="D381" s="11">
        <v>0.8</v>
      </c>
      <c r="E381" s="11">
        <v>-1.8</v>
      </c>
      <c r="F381" s="11">
        <v>-2.1</v>
      </c>
      <c r="G381" s="11">
        <v>-1</v>
      </c>
      <c r="H381" s="11">
        <v>-6.5</v>
      </c>
      <c r="I381" s="11">
        <v>0.9</v>
      </c>
      <c r="J381" s="11">
        <v>2.2999999999999998</v>
      </c>
      <c r="K381" s="11">
        <v>0.2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</row>
    <row r="382" spans="1:60" ht="15.75" x14ac:dyDescent="0.25">
      <c r="A382" s="12" t="s">
        <v>842</v>
      </c>
      <c r="B382" s="11">
        <v>0</v>
      </c>
      <c r="C382" s="11">
        <v>-0.2</v>
      </c>
      <c r="D382" s="11">
        <v>-1.4</v>
      </c>
      <c r="E382" s="11">
        <v>0.2</v>
      </c>
      <c r="F382" s="11">
        <v>-0.9</v>
      </c>
      <c r="G382" s="11">
        <v>-0.4</v>
      </c>
      <c r="H382" s="11">
        <v>-0.2</v>
      </c>
      <c r="I382" s="11">
        <v>1.8</v>
      </c>
      <c r="J382" s="11">
        <v>1.9</v>
      </c>
      <c r="K382" s="11">
        <v>1.8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</row>
    <row r="383" spans="1:60" ht="15.75" x14ac:dyDescent="0.25">
      <c r="A383" s="12" t="s">
        <v>843</v>
      </c>
      <c r="B383" s="11">
        <v>0.5</v>
      </c>
      <c r="C383" s="11">
        <v>0.6</v>
      </c>
      <c r="D383" s="11">
        <v>0.2</v>
      </c>
      <c r="E383" s="11">
        <v>0.8</v>
      </c>
      <c r="F383" s="11">
        <v>-1.7</v>
      </c>
      <c r="G383" s="11">
        <v>1.3</v>
      </c>
      <c r="H383" s="11">
        <v>1.4</v>
      </c>
      <c r="I383" s="11">
        <v>1.5</v>
      </c>
      <c r="J383" s="11">
        <v>1.2</v>
      </c>
      <c r="K383" s="11">
        <v>-0.5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</row>
    <row r="384" spans="1:60" ht="15.75" x14ac:dyDescent="0.25">
      <c r="A384" s="12" t="s">
        <v>844</v>
      </c>
      <c r="B384" s="11">
        <v>0.2</v>
      </c>
      <c r="C384" s="11">
        <v>0.2</v>
      </c>
      <c r="D384" s="11">
        <v>0.3</v>
      </c>
      <c r="E384" s="11">
        <v>-0.3</v>
      </c>
      <c r="F384" s="11">
        <v>-0.2</v>
      </c>
      <c r="G384" s="11">
        <v>2.5</v>
      </c>
      <c r="H384" s="11">
        <v>-3.1</v>
      </c>
      <c r="I384" s="11">
        <v>-1</v>
      </c>
      <c r="J384" s="11">
        <v>1.3</v>
      </c>
      <c r="K384" s="11">
        <v>0.3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</row>
    <row r="385" spans="1:60" ht="15.75" x14ac:dyDescent="0.25">
      <c r="A385" s="12" t="s">
        <v>845</v>
      </c>
      <c r="B385" s="11">
        <v>-1</v>
      </c>
      <c r="C385" s="11">
        <v>-1</v>
      </c>
      <c r="D385" s="11">
        <v>-0.5</v>
      </c>
      <c r="E385" s="11">
        <v>-1.6</v>
      </c>
      <c r="F385" s="11">
        <v>0.4</v>
      </c>
      <c r="G385" s="11">
        <v>-6</v>
      </c>
      <c r="H385" s="11">
        <v>1.5</v>
      </c>
      <c r="I385" s="11">
        <v>-0.5</v>
      </c>
      <c r="J385" s="11">
        <v>-0.2</v>
      </c>
      <c r="K385" s="11">
        <v>-1.9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</row>
    <row r="386" spans="1:60" ht="15.75" x14ac:dyDescent="0.25">
      <c r="A386" s="12" t="s">
        <v>846</v>
      </c>
      <c r="B386" s="11">
        <v>1.5</v>
      </c>
      <c r="C386" s="11">
        <v>1.5</v>
      </c>
      <c r="D386" s="11">
        <v>0.2</v>
      </c>
      <c r="E386" s="11">
        <v>2.9</v>
      </c>
      <c r="F386" s="11">
        <v>0.9</v>
      </c>
      <c r="G386" s="11">
        <v>3.7</v>
      </c>
      <c r="H386" s="11">
        <v>2.4</v>
      </c>
      <c r="I386" s="11">
        <v>3.7</v>
      </c>
      <c r="J386" s="11">
        <v>1</v>
      </c>
      <c r="K386" s="11">
        <v>1.7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</row>
    <row r="387" spans="1:60" ht="15.75" x14ac:dyDescent="0.25">
      <c r="A387" s="12" t="s">
        <v>847</v>
      </c>
      <c r="B387" s="11">
        <v>0.9</v>
      </c>
      <c r="C387" s="11">
        <v>1</v>
      </c>
      <c r="D387" s="11">
        <v>0.8</v>
      </c>
      <c r="E387" s="11">
        <v>-1</v>
      </c>
      <c r="F387" s="11">
        <v>0.4</v>
      </c>
      <c r="G387" s="11">
        <v>0.5</v>
      </c>
      <c r="H387" s="11">
        <v>-3.1</v>
      </c>
      <c r="I387" s="11">
        <v>-2</v>
      </c>
      <c r="J387" s="11">
        <v>9.1999999999999993</v>
      </c>
      <c r="K387" s="1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</row>
    <row r="388" spans="1:60" ht="15.75" x14ac:dyDescent="0.25">
      <c r="A388" s="12" t="s">
        <v>848</v>
      </c>
      <c r="B388" s="11">
        <v>-0.5</v>
      </c>
      <c r="C388" s="11">
        <v>-0.4</v>
      </c>
      <c r="D388" s="11">
        <v>0.5</v>
      </c>
      <c r="E388" s="11">
        <v>-0.2</v>
      </c>
      <c r="F388" s="11">
        <v>-0.6</v>
      </c>
      <c r="G388" s="11">
        <v>0</v>
      </c>
      <c r="H388" s="11">
        <v>0.7</v>
      </c>
      <c r="I388" s="11">
        <v>-0.7</v>
      </c>
      <c r="J388" s="11">
        <v>-4</v>
      </c>
      <c r="K388" s="11">
        <v>-0.9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</row>
    <row r="389" spans="1:60" ht="15.75" x14ac:dyDescent="0.25">
      <c r="A389" s="12" t="s">
        <v>849</v>
      </c>
      <c r="B389" s="11">
        <v>-0.1</v>
      </c>
      <c r="C389" s="11">
        <v>-0.1</v>
      </c>
      <c r="D389" s="11">
        <v>0.3</v>
      </c>
      <c r="E389" s="11">
        <v>-0.3</v>
      </c>
      <c r="F389" s="11">
        <v>-2.4</v>
      </c>
      <c r="G389" s="11">
        <v>0</v>
      </c>
      <c r="H389" s="11">
        <v>2.7</v>
      </c>
      <c r="I389" s="11">
        <v>-1</v>
      </c>
      <c r="J389" s="11">
        <v>-0.3</v>
      </c>
      <c r="K389" s="11">
        <v>-0.6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</row>
    <row r="390" spans="1:60" ht="15.75" x14ac:dyDescent="0.25">
      <c r="A390" s="12" t="s">
        <v>850</v>
      </c>
      <c r="B390" s="11">
        <v>-0.2</v>
      </c>
      <c r="C390" s="11">
        <v>-0.3</v>
      </c>
      <c r="D390" s="11">
        <v>-0.1</v>
      </c>
      <c r="E390" s="11">
        <v>-0.5</v>
      </c>
      <c r="F390" s="11">
        <v>2.1</v>
      </c>
      <c r="G390" s="11">
        <v>-1.1000000000000001</v>
      </c>
      <c r="H390" s="11">
        <v>-2.1</v>
      </c>
      <c r="I390" s="11">
        <v>-0.6</v>
      </c>
      <c r="J390" s="11">
        <v>-0.1</v>
      </c>
      <c r="K390" s="11">
        <v>0.5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</row>
    <row r="391" spans="1:60" ht="15.75" x14ac:dyDescent="0.25">
      <c r="A391" s="12" t="s">
        <v>851</v>
      </c>
      <c r="B391" s="11">
        <v>-0.9</v>
      </c>
      <c r="C391" s="11">
        <v>-0.9</v>
      </c>
      <c r="D391" s="11">
        <v>-0.9</v>
      </c>
      <c r="E391" s="11">
        <v>-0.8</v>
      </c>
      <c r="F391" s="11">
        <v>-0.7</v>
      </c>
      <c r="G391" s="11">
        <v>-2.7</v>
      </c>
      <c r="H391" s="11">
        <v>0.9</v>
      </c>
      <c r="I391" s="11">
        <v>-0.3</v>
      </c>
      <c r="J391" s="11">
        <v>-1.2</v>
      </c>
      <c r="K391" s="11">
        <v>-0.6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</row>
    <row r="392" spans="1:60" ht="15.75" x14ac:dyDescent="0.25">
      <c r="A392" s="12" t="s">
        <v>852</v>
      </c>
      <c r="B392" s="11">
        <v>0.3</v>
      </c>
      <c r="C392" s="11">
        <v>0</v>
      </c>
      <c r="D392" s="11">
        <v>-1</v>
      </c>
      <c r="E392" s="11">
        <v>1.2</v>
      </c>
      <c r="F392" s="11">
        <v>1.5</v>
      </c>
      <c r="G392" s="11">
        <v>2.1</v>
      </c>
      <c r="H392" s="11">
        <v>0.9</v>
      </c>
      <c r="I392" s="11">
        <v>0.4</v>
      </c>
      <c r="J392" s="11">
        <v>-0.7</v>
      </c>
      <c r="K392" s="11">
        <v>3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</row>
    <row r="393" spans="1:60" ht="15.75" x14ac:dyDescent="0.25">
      <c r="A393" s="12" t="s">
        <v>853</v>
      </c>
      <c r="B393" s="11">
        <v>0.4</v>
      </c>
      <c r="C393" s="11">
        <v>1</v>
      </c>
      <c r="D393" s="11">
        <v>1.7</v>
      </c>
      <c r="E393" s="11">
        <v>0.6</v>
      </c>
      <c r="F393" s="11">
        <v>-0.3</v>
      </c>
      <c r="G393" s="11">
        <v>2.7</v>
      </c>
      <c r="H393" s="11">
        <v>-2</v>
      </c>
      <c r="I393" s="11">
        <v>0.8</v>
      </c>
      <c r="J393" s="11">
        <v>-0.3</v>
      </c>
      <c r="K393" s="11">
        <v>-4.8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</row>
    <row r="394" spans="1:60" ht="15.75" x14ac:dyDescent="0.25">
      <c r="A394" s="12" t="s">
        <v>854</v>
      </c>
      <c r="B394" s="11">
        <v>-1.2</v>
      </c>
      <c r="C394" s="11">
        <v>-1.4</v>
      </c>
      <c r="D394" s="11">
        <v>-0.9</v>
      </c>
      <c r="E394" s="11">
        <v>-1.9</v>
      </c>
      <c r="F394" s="11">
        <v>-2.2999999999999998</v>
      </c>
      <c r="G394" s="11">
        <v>-1.8</v>
      </c>
      <c r="H394" s="11">
        <v>-0.3</v>
      </c>
      <c r="I394" s="11">
        <v>-2.6</v>
      </c>
      <c r="J394" s="11">
        <v>-1.3</v>
      </c>
      <c r="K394" s="11">
        <v>0.4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</row>
    <row r="395" spans="1:60" ht="15.75" x14ac:dyDescent="0.25">
      <c r="A395" s="12" t="s">
        <v>855</v>
      </c>
      <c r="B395" s="11">
        <v>-5.4</v>
      </c>
      <c r="C395" s="11">
        <v>-3.9</v>
      </c>
      <c r="D395" s="11">
        <v>9.3000000000000007</v>
      </c>
      <c r="E395" s="11">
        <v>-18.8</v>
      </c>
      <c r="F395" s="11">
        <v>1.4</v>
      </c>
      <c r="G395" s="11">
        <v>-35.4</v>
      </c>
      <c r="H395" s="11">
        <v>-9.3000000000000007</v>
      </c>
      <c r="I395" s="11">
        <v>-22</v>
      </c>
      <c r="J395" s="11">
        <v>3.9</v>
      </c>
      <c r="K395" s="11">
        <v>-18.8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</row>
    <row r="396" spans="1:60" ht="15.75" x14ac:dyDescent="0.25">
      <c r="A396" s="12" t="s">
        <v>856</v>
      </c>
      <c r="B396" s="11">
        <v>-17.8</v>
      </c>
      <c r="C396" s="11">
        <v>-14.6</v>
      </c>
      <c r="D396" s="11">
        <v>-3.2</v>
      </c>
      <c r="E396" s="11">
        <v>-41.9</v>
      </c>
      <c r="F396" s="11">
        <v>-25.5</v>
      </c>
      <c r="G396" s="11">
        <v>-50.3</v>
      </c>
      <c r="H396" s="11">
        <v>-46.7</v>
      </c>
      <c r="I396" s="11">
        <v>-45.4</v>
      </c>
      <c r="J396" s="11">
        <v>20</v>
      </c>
      <c r="K396" s="11">
        <v>-50.6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</row>
    <row r="397" spans="1:60" ht="15.75" x14ac:dyDescent="0.25">
      <c r="A397" s="12" t="s">
        <v>857</v>
      </c>
      <c r="B397" s="11">
        <v>12.7</v>
      </c>
      <c r="C397" s="11">
        <v>11.3</v>
      </c>
      <c r="D397" s="11">
        <v>0.9</v>
      </c>
      <c r="E397" s="11">
        <v>24.5</v>
      </c>
      <c r="F397" s="11">
        <v>16.100000000000001</v>
      </c>
      <c r="G397" s="11">
        <v>18</v>
      </c>
      <c r="H397" s="11">
        <v>42.2</v>
      </c>
      <c r="I397" s="11">
        <v>25.9</v>
      </c>
      <c r="J397" s="11">
        <v>23.4</v>
      </c>
      <c r="K397" s="11">
        <v>39.200000000000003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</row>
    <row r="398" spans="1:60" ht="15.75" x14ac:dyDescent="0.25">
      <c r="A398" s="12" t="s">
        <v>858</v>
      </c>
      <c r="B398" s="11">
        <v>13.7</v>
      </c>
      <c r="C398" s="11">
        <v>12.8</v>
      </c>
      <c r="D398" s="11">
        <v>-0.6</v>
      </c>
      <c r="E398" s="11">
        <v>45.4</v>
      </c>
      <c r="F398" s="11">
        <v>8.1999999999999993</v>
      </c>
      <c r="G398" s="11">
        <v>73.8</v>
      </c>
      <c r="H398" s="11">
        <v>49.9</v>
      </c>
      <c r="I398" s="11">
        <v>61.4</v>
      </c>
      <c r="J398" s="11">
        <v>0.6</v>
      </c>
      <c r="K398" s="11">
        <v>26.6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</row>
    <row r="399" spans="1:60" ht="15.75" x14ac:dyDescent="0.25">
      <c r="A399" s="12" t="s">
        <v>859</v>
      </c>
      <c r="B399" s="11">
        <v>4.3</v>
      </c>
      <c r="C399" s="11">
        <v>3</v>
      </c>
      <c r="D399" s="11">
        <v>-2.4</v>
      </c>
      <c r="E399" s="11">
        <v>12.8</v>
      </c>
      <c r="F399" s="11">
        <v>0.7</v>
      </c>
      <c r="G399" s="11">
        <v>17.600000000000001</v>
      </c>
      <c r="H399" s="11">
        <v>8.1999999999999993</v>
      </c>
      <c r="I399" s="11">
        <v>21.1</v>
      </c>
      <c r="J399" s="11">
        <v>-3.4</v>
      </c>
      <c r="K399" s="11">
        <v>20.6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</row>
    <row r="400" spans="1:60" ht="15.75" x14ac:dyDescent="0.25">
      <c r="A400" s="12" t="s">
        <v>860</v>
      </c>
      <c r="B400" s="11">
        <v>1.4</v>
      </c>
      <c r="C400" s="11">
        <v>1.1000000000000001</v>
      </c>
      <c r="D400" s="11">
        <v>1.5</v>
      </c>
      <c r="E400" s="11">
        <v>3</v>
      </c>
      <c r="F400" s="11">
        <v>2.2999999999999998</v>
      </c>
      <c r="G400" s="11">
        <v>11.9</v>
      </c>
      <c r="H400" s="11">
        <v>1.3</v>
      </c>
      <c r="I400" s="11">
        <v>-1.6</v>
      </c>
      <c r="J400" s="11">
        <v>-4.2</v>
      </c>
      <c r="K400" s="11">
        <v>5.0999999999999996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</row>
    <row r="401" spans="1:60" ht="15.75" x14ac:dyDescent="0.25">
      <c r="A401" s="12" t="s">
        <v>861</v>
      </c>
      <c r="B401" s="11">
        <v>1.5</v>
      </c>
      <c r="C401" s="11">
        <v>1.6</v>
      </c>
      <c r="D401" s="11">
        <v>0.8</v>
      </c>
      <c r="E401" s="11">
        <v>3.5</v>
      </c>
      <c r="F401" s="11">
        <v>2.1</v>
      </c>
      <c r="G401" s="11">
        <v>1.9</v>
      </c>
      <c r="H401" s="11">
        <v>1.7</v>
      </c>
      <c r="I401" s="11">
        <v>6.8</v>
      </c>
      <c r="J401" s="11">
        <v>-1.4</v>
      </c>
      <c r="K401" s="11">
        <v>1.1000000000000001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</row>
    <row r="402" spans="1:60" ht="15.75" x14ac:dyDescent="0.25">
      <c r="A402" s="12" t="s">
        <v>862</v>
      </c>
      <c r="B402" s="11">
        <v>0.8</v>
      </c>
      <c r="C402" s="11">
        <v>1</v>
      </c>
      <c r="D402" s="11">
        <v>-1.2</v>
      </c>
      <c r="E402" s="11">
        <v>0.8</v>
      </c>
      <c r="F402" s="11">
        <v>1.7</v>
      </c>
      <c r="G402" s="11">
        <v>-1.7</v>
      </c>
      <c r="H402" s="11">
        <v>3.1</v>
      </c>
      <c r="I402" s="11">
        <v>0.8</v>
      </c>
      <c r="J402" s="11">
        <v>6.8</v>
      </c>
      <c r="K402" s="11">
        <v>-0.2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</row>
    <row r="403" spans="1:60" ht="15.75" x14ac:dyDescent="0.25">
      <c r="A403" s="12" t="s">
        <v>863</v>
      </c>
      <c r="B403" s="11">
        <v>-4.7</v>
      </c>
      <c r="C403" s="11">
        <v>-3.7</v>
      </c>
      <c r="D403" s="11">
        <v>1.9</v>
      </c>
      <c r="E403" s="11">
        <v>-10.7</v>
      </c>
      <c r="F403" s="11">
        <v>-0.9</v>
      </c>
      <c r="G403" s="11">
        <v>-22</v>
      </c>
      <c r="H403" s="11">
        <v>-3.5</v>
      </c>
      <c r="I403" s="11">
        <v>-13.1</v>
      </c>
      <c r="J403" s="11">
        <v>-0.3</v>
      </c>
      <c r="K403" s="11">
        <v>-16.100000000000001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</row>
    <row r="404" spans="1:60" ht="15.75" x14ac:dyDescent="0.25">
      <c r="A404" s="12" t="s">
        <v>864</v>
      </c>
      <c r="B404" s="11">
        <v>1.6</v>
      </c>
      <c r="C404" s="11">
        <v>1.7</v>
      </c>
      <c r="D404" s="11">
        <v>-3.1</v>
      </c>
      <c r="E404" s="11">
        <v>7.8</v>
      </c>
      <c r="F404" s="11">
        <v>-2</v>
      </c>
      <c r="G404" s="11">
        <v>24</v>
      </c>
      <c r="H404" s="11">
        <v>0.1</v>
      </c>
      <c r="I404" s="11">
        <v>9.4</v>
      </c>
      <c r="J404" s="11">
        <v>0.2</v>
      </c>
      <c r="K404" s="11">
        <v>0.1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</row>
    <row r="405" spans="1:60" ht="15.75" x14ac:dyDescent="0.25">
      <c r="A405" s="12" t="s">
        <v>865</v>
      </c>
      <c r="B405" s="11">
        <v>-8.4</v>
      </c>
      <c r="C405" s="11">
        <v>-9</v>
      </c>
      <c r="D405" s="11">
        <v>2.8</v>
      </c>
      <c r="E405" s="11">
        <v>-24.4</v>
      </c>
      <c r="F405" s="11">
        <v>-13</v>
      </c>
      <c r="G405" s="11">
        <v>-35.5</v>
      </c>
      <c r="H405" s="11">
        <v>-20.9</v>
      </c>
      <c r="I405" s="11">
        <v>-25.4</v>
      </c>
      <c r="J405" s="11">
        <v>-0.8</v>
      </c>
      <c r="K405" s="11">
        <v>-0.8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</row>
    <row r="406" spans="1:60" ht="15.75" x14ac:dyDescent="0.25">
      <c r="A406" s="12" t="s">
        <v>866</v>
      </c>
      <c r="B406" s="11">
        <v>1</v>
      </c>
      <c r="C406" s="11">
        <v>1.2</v>
      </c>
      <c r="D406" s="11">
        <v>0.9</v>
      </c>
      <c r="E406" s="11">
        <v>3.2</v>
      </c>
      <c r="F406" s="11">
        <v>12.5</v>
      </c>
      <c r="G406" s="11">
        <v>-6.1</v>
      </c>
      <c r="H406" s="11">
        <v>14</v>
      </c>
      <c r="I406" s="11">
        <v>-4.9000000000000004</v>
      </c>
      <c r="J406" s="11">
        <v>-1.6</v>
      </c>
      <c r="K406" s="11">
        <v>-2.2999999999999998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</row>
    <row r="407" spans="1:60" ht="15.75" x14ac:dyDescent="0.25">
      <c r="A407" s="12" t="s">
        <v>867</v>
      </c>
      <c r="B407" s="11">
        <v>4.3</v>
      </c>
      <c r="C407" s="11">
        <v>3.6</v>
      </c>
      <c r="D407" s="11">
        <v>2</v>
      </c>
      <c r="E407" s="11">
        <v>8.6999999999999993</v>
      </c>
      <c r="F407" s="11">
        <v>3.9</v>
      </c>
      <c r="G407" s="11">
        <v>14.2</v>
      </c>
      <c r="H407" s="11">
        <v>2.6</v>
      </c>
      <c r="I407" s="11">
        <v>14.1</v>
      </c>
      <c r="J407" s="11">
        <v>-1.6</v>
      </c>
      <c r="K407" s="11">
        <v>12.2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</row>
    <row r="408" spans="1:60" ht="15.75" x14ac:dyDescent="0.25">
      <c r="A408" s="12" t="s">
        <v>868</v>
      </c>
      <c r="B408" s="11">
        <v>8.5</v>
      </c>
      <c r="C408" s="11">
        <v>8.4</v>
      </c>
      <c r="D408" s="11">
        <v>-1</v>
      </c>
      <c r="E408" s="11">
        <v>24.4</v>
      </c>
      <c r="F408" s="11">
        <v>3</v>
      </c>
      <c r="G408" s="11">
        <v>64.599999999999994</v>
      </c>
      <c r="H408" s="11">
        <v>12</v>
      </c>
      <c r="I408" s="11">
        <v>24.7</v>
      </c>
      <c r="J408" s="11">
        <v>-0.3</v>
      </c>
      <c r="K408" s="11">
        <v>9.5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</row>
    <row r="409" spans="1:60" ht="15.75" x14ac:dyDescent="0.25">
      <c r="A409" s="12" t="s">
        <v>869</v>
      </c>
      <c r="B409" s="11">
        <v>-2</v>
      </c>
      <c r="C409" s="11">
        <v>-2.5</v>
      </c>
      <c r="D409" s="11">
        <v>-5.2</v>
      </c>
      <c r="E409" s="11">
        <v>1.1000000000000001</v>
      </c>
      <c r="F409" s="11">
        <v>-4.0999999999999996</v>
      </c>
      <c r="G409" s="11">
        <v>-5</v>
      </c>
      <c r="H409" s="11">
        <v>3.4</v>
      </c>
      <c r="I409" s="11">
        <v>7.5</v>
      </c>
      <c r="J409" s="11">
        <v>-4.4000000000000004</v>
      </c>
      <c r="K409" s="11">
        <v>3.2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</row>
    <row r="410" spans="1:60" ht="15.75" x14ac:dyDescent="0.25">
      <c r="A410" s="12" t="s">
        <v>870</v>
      </c>
      <c r="B410" s="11">
        <v>0.9</v>
      </c>
      <c r="C410" s="11">
        <v>0.6</v>
      </c>
      <c r="D410" s="11">
        <v>3.3</v>
      </c>
      <c r="E410" s="11">
        <v>-1.4</v>
      </c>
      <c r="F410" s="11">
        <v>-1.5</v>
      </c>
      <c r="G410" s="11">
        <v>0.2</v>
      </c>
      <c r="H410" s="11">
        <v>-5.8</v>
      </c>
      <c r="I410" s="11">
        <v>0.5</v>
      </c>
      <c r="J410" s="11">
        <v>-1.1000000000000001</v>
      </c>
      <c r="K410" s="11">
        <v>4.5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</row>
    <row r="411" spans="1:60" ht="15.75" x14ac:dyDescent="0.25">
      <c r="A411" s="12" t="s">
        <v>871</v>
      </c>
      <c r="B411" s="11">
        <v>-2.2999999999999998</v>
      </c>
      <c r="C411" s="11">
        <v>-2.4</v>
      </c>
      <c r="D411" s="11">
        <v>-0.8</v>
      </c>
      <c r="E411" s="11">
        <v>-3.4</v>
      </c>
      <c r="F411" s="11">
        <v>-2.7</v>
      </c>
      <c r="G411" s="11">
        <v>-1.9</v>
      </c>
      <c r="H411" s="11">
        <v>-2.9</v>
      </c>
      <c r="I411" s="11">
        <v>-5.3</v>
      </c>
      <c r="J411" s="11">
        <v>-3.9</v>
      </c>
      <c r="K411" s="11">
        <v>-0.4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</row>
    <row r="412" spans="1:60" ht="15.75" x14ac:dyDescent="0.25">
      <c r="A412" s="12" t="s">
        <v>872</v>
      </c>
      <c r="B412" s="11">
        <v>0.3</v>
      </c>
      <c r="C412" s="11">
        <v>0</v>
      </c>
      <c r="D412" s="11">
        <v>-0.9</v>
      </c>
      <c r="E412" s="11">
        <v>1.5</v>
      </c>
      <c r="F412" s="11">
        <v>0.3</v>
      </c>
      <c r="G412" s="11">
        <v>5.6</v>
      </c>
      <c r="H412" s="11">
        <v>-3</v>
      </c>
      <c r="I412" s="11">
        <v>1.9</v>
      </c>
      <c r="J412" s="11">
        <v>-1.2</v>
      </c>
      <c r="K412" s="11">
        <v>2.5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</row>
    <row r="413" spans="1:60" ht="15.75" x14ac:dyDescent="0.25">
      <c r="A413" s="12" t="s">
        <v>873</v>
      </c>
      <c r="B413" s="11">
        <v>0.1</v>
      </c>
      <c r="C413" s="11">
        <v>-0.2</v>
      </c>
      <c r="D413" s="11">
        <v>-0.7</v>
      </c>
      <c r="E413" s="11">
        <v>-0.2</v>
      </c>
      <c r="F413" s="11">
        <v>2.5</v>
      </c>
      <c r="G413" s="11">
        <v>2.4</v>
      </c>
      <c r="H413" s="11">
        <v>-6.2</v>
      </c>
      <c r="I413" s="11">
        <v>0</v>
      </c>
      <c r="J413" s="11">
        <v>1</v>
      </c>
      <c r="K413" s="11">
        <v>3.1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</row>
    <row r="414" spans="1:60" ht="15.75" x14ac:dyDescent="0.25">
      <c r="A414" s="12" t="s">
        <v>874</v>
      </c>
      <c r="B414" s="11">
        <v>-0.4</v>
      </c>
      <c r="C414" s="11">
        <v>0.6</v>
      </c>
      <c r="D414" s="11">
        <v>0.3</v>
      </c>
      <c r="E414" s="11">
        <v>1.9</v>
      </c>
      <c r="F414" s="11">
        <v>-0.4</v>
      </c>
      <c r="G414" s="11">
        <v>2.8</v>
      </c>
      <c r="H414" s="11">
        <v>1.1000000000000001</v>
      </c>
      <c r="I414" s="11">
        <v>3.2</v>
      </c>
      <c r="J414" s="11">
        <v>-2.6</v>
      </c>
      <c r="K414" s="11">
        <v>-9.6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</row>
    <row r="415" spans="1:60" ht="15.75" x14ac:dyDescent="0.25">
      <c r="A415" s="12" t="s">
        <v>875</v>
      </c>
      <c r="B415" s="11">
        <v>-0.4</v>
      </c>
      <c r="C415" s="11">
        <v>-0.9</v>
      </c>
      <c r="D415" s="11">
        <v>-1.2</v>
      </c>
      <c r="E415" s="11">
        <v>-1</v>
      </c>
      <c r="F415" s="11">
        <v>-2.2999999999999998</v>
      </c>
      <c r="G415" s="11">
        <v>0.2</v>
      </c>
      <c r="H415" s="11">
        <v>-2.4</v>
      </c>
      <c r="I415" s="11">
        <v>-0.4</v>
      </c>
      <c r="J415" s="11">
        <v>0.5</v>
      </c>
      <c r="K415" s="11">
        <v>4.0999999999999996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</row>
    <row r="416" spans="1:60" ht="15.75" x14ac:dyDescent="0.25">
      <c r="A416" s="12" t="s">
        <v>876</v>
      </c>
      <c r="B416" s="11">
        <v>0.3</v>
      </c>
      <c r="C416" s="11">
        <v>0.8</v>
      </c>
      <c r="D416" s="11">
        <v>1.3</v>
      </c>
      <c r="E416" s="11">
        <v>-3</v>
      </c>
      <c r="F416" s="11">
        <v>-1.5</v>
      </c>
      <c r="G416" s="11">
        <v>-8.1</v>
      </c>
      <c r="H416" s="11">
        <v>5.4</v>
      </c>
      <c r="I416" s="11">
        <v>-4.3</v>
      </c>
      <c r="J416" s="11">
        <v>10</v>
      </c>
      <c r="K416" s="11">
        <v>-3.6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</row>
    <row r="417" spans="1:60" ht="15.75" x14ac:dyDescent="0.25">
      <c r="A417" s="12" t="s">
        <v>877</v>
      </c>
      <c r="B417" s="11">
        <v>-1.2</v>
      </c>
      <c r="C417" s="11">
        <v>-1.6</v>
      </c>
      <c r="D417" s="11">
        <v>-3</v>
      </c>
      <c r="E417" s="11">
        <v>0.7</v>
      </c>
      <c r="F417" s="11">
        <v>0.8</v>
      </c>
      <c r="G417" s="11">
        <v>-2.2000000000000002</v>
      </c>
      <c r="H417" s="11">
        <v>-3.3</v>
      </c>
      <c r="I417" s="11">
        <v>5.3</v>
      </c>
      <c r="J417" s="11">
        <v>-3.7</v>
      </c>
      <c r="K417" s="11">
        <v>2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</row>
    <row r="418" spans="1:60" ht="15.75" x14ac:dyDescent="0.25">
      <c r="A418" s="12" t="s">
        <v>878</v>
      </c>
      <c r="B418" s="11">
        <v>-1.2</v>
      </c>
      <c r="C418" s="11">
        <v>-1.5</v>
      </c>
      <c r="D418" s="11">
        <v>-1</v>
      </c>
      <c r="E418" s="11">
        <v>-0.2</v>
      </c>
      <c r="F418" s="11">
        <v>1</v>
      </c>
      <c r="G418" s="11">
        <v>8.1999999999999993</v>
      </c>
      <c r="H418" s="11">
        <v>-1.5</v>
      </c>
      <c r="I418" s="11">
        <v>-6</v>
      </c>
      <c r="J418" s="11">
        <v>-6.3</v>
      </c>
      <c r="K418" s="11">
        <v>1.6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</row>
    <row r="419" spans="1:60" ht="15.75" x14ac:dyDescent="0.25">
      <c r="A419" s="12" t="s">
        <v>879</v>
      </c>
      <c r="B419" s="11">
        <v>-0.9</v>
      </c>
      <c r="C419" s="11">
        <v>-0.7</v>
      </c>
      <c r="D419" s="11">
        <v>0.5</v>
      </c>
      <c r="E419" s="11">
        <v>1.7</v>
      </c>
      <c r="F419" s="11">
        <v>1.8</v>
      </c>
      <c r="G419" s="11">
        <v>-0.2</v>
      </c>
      <c r="H419" s="11">
        <v>0.6</v>
      </c>
      <c r="I419" s="11">
        <v>3.8</v>
      </c>
      <c r="J419" s="11">
        <v>-10.4</v>
      </c>
      <c r="K419" s="11">
        <v>-2.7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</row>
    <row r="420" spans="1:60" ht="15.75" x14ac:dyDescent="0.25">
      <c r="A420" s="12" t="s">
        <v>880</v>
      </c>
      <c r="B420" s="11">
        <v>-0.4</v>
      </c>
      <c r="C420" s="11">
        <v>-0.6</v>
      </c>
      <c r="D420" s="11">
        <v>-0.6</v>
      </c>
      <c r="E420" s="11">
        <v>-2.7</v>
      </c>
      <c r="F420" s="11">
        <v>-2.6</v>
      </c>
      <c r="G420" s="11">
        <v>0.4</v>
      </c>
      <c r="H420" s="11">
        <v>-3.9</v>
      </c>
      <c r="I420" s="11">
        <v>-4.4000000000000004</v>
      </c>
      <c r="J420" s="11">
        <v>6.1</v>
      </c>
      <c r="K420" s="11">
        <v>1.3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</row>
    <row r="421" spans="1:60" ht="15.75" x14ac:dyDescent="0.25">
      <c r="A421" s="12" t="s">
        <v>881</v>
      </c>
      <c r="B421" s="11">
        <v>-1.4</v>
      </c>
      <c r="C421" s="11">
        <v>-1.6</v>
      </c>
      <c r="D421" s="11">
        <v>-2.4</v>
      </c>
      <c r="E421" s="11">
        <v>-0.4</v>
      </c>
      <c r="F421" s="11">
        <v>-1.9</v>
      </c>
      <c r="G421" s="11">
        <v>0.4</v>
      </c>
      <c r="H421" s="11">
        <v>-0.5</v>
      </c>
      <c r="I421" s="11">
        <v>-0.2</v>
      </c>
      <c r="J421" s="11">
        <v>-2.4</v>
      </c>
      <c r="K421" s="11">
        <v>0.6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</row>
    <row r="422" spans="1:60" ht="15.75" x14ac:dyDescent="0.25">
      <c r="A422" s="12" t="s">
        <v>882</v>
      </c>
      <c r="B422" s="11">
        <v>-0.3</v>
      </c>
      <c r="C422" s="11">
        <v>0.2</v>
      </c>
      <c r="D422" s="11">
        <v>2.5</v>
      </c>
      <c r="E422" s="11">
        <v>-0.6</v>
      </c>
      <c r="F422" s="11">
        <v>1</v>
      </c>
      <c r="G422" s="11">
        <v>-1.3</v>
      </c>
      <c r="H422" s="11">
        <v>-3.4</v>
      </c>
      <c r="I422" s="11">
        <v>0.8</v>
      </c>
      <c r="J422" s="11">
        <v>-3.9</v>
      </c>
      <c r="K422" s="11">
        <v>-4.3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</row>
    <row r="423" spans="1:60" ht="15.75" x14ac:dyDescent="0.25">
      <c r="A423" s="12" t="s">
        <v>883</v>
      </c>
      <c r="B423" s="11">
        <v>0.5</v>
      </c>
      <c r="C423" s="11">
        <v>0.5</v>
      </c>
      <c r="D423" s="11">
        <v>1.3</v>
      </c>
      <c r="E423" s="11">
        <v>-0.1</v>
      </c>
      <c r="F423" s="11">
        <v>0.6</v>
      </c>
      <c r="G423" s="11">
        <v>0.8</v>
      </c>
      <c r="H423" s="11">
        <v>-0.4</v>
      </c>
      <c r="I423" s="11">
        <v>-1.1000000000000001</v>
      </c>
      <c r="J423" s="11">
        <v>0.1</v>
      </c>
      <c r="K423" s="11">
        <v>0.2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</row>
    <row r="424" spans="1:60" ht="15.75" x14ac:dyDescent="0.25">
      <c r="A424" s="12" t="s">
        <v>884</v>
      </c>
      <c r="B424" s="11">
        <v>-1.6</v>
      </c>
      <c r="C424" s="11">
        <v>-1.6</v>
      </c>
      <c r="D424" s="11">
        <v>-0.8</v>
      </c>
      <c r="E424" s="11">
        <v>-2.6</v>
      </c>
      <c r="F424" s="11">
        <v>-3.3</v>
      </c>
      <c r="G424" s="11">
        <v>-3.8</v>
      </c>
      <c r="H424" s="11">
        <v>-0.1</v>
      </c>
      <c r="I424" s="11">
        <v>-2.7</v>
      </c>
      <c r="J424" s="11">
        <v>-1.1000000000000001</v>
      </c>
      <c r="K424" s="11">
        <v>-1.1000000000000001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</row>
    <row r="425" spans="1:60" ht="15.75" x14ac:dyDescent="0.25">
      <c r="A425" s="12" t="s">
        <v>885</v>
      </c>
      <c r="B425" s="11">
        <v>-1.2</v>
      </c>
      <c r="C425" s="11">
        <v>-1.2</v>
      </c>
      <c r="D425" s="11">
        <v>-2.6</v>
      </c>
      <c r="E425" s="11">
        <v>0.3</v>
      </c>
      <c r="F425" s="11">
        <v>-0.3</v>
      </c>
      <c r="G425" s="11">
        <v>2.5</v>
      </c>
      <c r="H425" s="11">
        <v>-0.7</v>
      </c>
      <c r="I425" s="11">
        <v>-0.5</v>
      </c>
      <c r="J425" s="11">
        <v>-1.7</v>
      </c>
      <c r="K425" s="11">
        <v>-0.8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</row>
    <row r="426" spans="1:60" ht="15.75" x14ac:dyDescent="0.25">
      <c r="A426" s="12" t="s">
        <v>886</v>
      </c>
      <c r="B426" s="11">
        <v>1</v>
      </c>
      <c r="C426" s="11">
        <v>0.7</v>
      </c>
      <c r="D426" s="11">
        <v>-0.2</v>
      </c>
      <c r="E426" s="11">
        <v>1.8</v>
      </c>
      <c r="F426" s="11">
        <v>-0.4</v>
      </c>
      <c r="G426" s="11">
        <v>2.4</v>
      </c>
      <c r="H426" s="11">
        <v>-1.8</v>
      </c>
      <c r="I426" s="11">
        <v>4.4000000000000004</v>
      </c>
      <c r="J426" s="11">
        <v>0.4</v>
      </c>
      <c r="K426" s="11">
        <v>3.5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</row>
    <row r="427" spans="1:60" ht="15.75" x14ac:dyDescent="0.25">
      <c r="A427" s="12" t="s">
        <v>887</v>
      </c>
      <c r="B427" s="11">
        <v>-1</v>
      </c>
      <c r="C427" s="11">
        <v>-0.9</v>
      </c>
      <c r="D427" s="11">
        <v>0.1</v>
      </c>
      <c r="E427" s="11">
        <v>-0.8</v>
      </c>
      <c r="F427" s="11">
        <v>1.9</v>
      </c>
      <c r="G427" s="11">
        <v>1.3</v>
      </c>
      <c r="H427" s="11">
        <v>2.1</v>
      </c>
      <c r="I427" s="11">
        <v>-5.4</v>
      </c>
      <c r="J427" s="11">
        <v>-3.9</v>
      </c>
      <c r="K427" s="11">
        <v>-2.1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</row>
    <row r="428" spans="1:60" ht="15.75" x14ac:dyDescent="0.25">
      <c r="A428" s="12" t="s">
        <v>888</v>
      </c>
      <c r="B428" s="11">
        <v>-0.2</v>
      </c>
      <c r="C428" s="11">
        <v>-0.3</v>
      </c>
      <c r="D428" s="11">
        <v>-0.7</v>
      </c>
      <c r="E428" s="11">
        <v>-0.6</v>
      </c>
      <c r="F428" s="11">
        <v>1</v>
      </c>
      <c r="G428" s="11">
        <v>1.4</v>
      </c>
      <c r="H428" s="11">
        <v>-1.6</v>
      </c>
      <c r="I428" s="11">
        <v>-2.7</v>
      </c>
      <c r="J428" s="11">
        <v>2.2000000000000002</v>
      </c>
      <c r="K428" s="11">
        <v>0.1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</row>
    <row r="429" spans="1:60" ht="15.75" x14ac:dyDescent="0.25">
      <c r="A429" s="12" t="s">
        <v>889</v>
      </c>
      <c r="B429" s="11">
        <v>0.6</v>
      </c>
      <c r="C429" s="11">
        <v>0.5</v>
      </c>
      <c r="D429" s="11">
        <v>-0.1</v>
      </c>
      <c r="E429" s="11">
        <v>0.6</v>
      </c>
      <c r="F429" s="11">
        <v>-0.3</v>
      </c>
      <c r="G429" s="11">
        <v>0</v>
      </c>
      <c r="H429" s="11">
        <v>2</v>
      </c>
      <c r="I429" s="11">
        <v>0.9</v>
      </c>
      <c r="J429" s="11">
        <v>2.2000000000000002</v>
      </c>
      <c r="K429" s="11">
        <v>0.7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</row>
    <row r="430" spans="1:60" ht="15.75" x14ac:dyDescent="0.25">
      <c r="A430" s="12" t="s">
        <v>890</v>
      </c>
      <c r="B430" s="11">
        <v>0.3</v>
      </c>
      <c r="C430" s="11">
        <v>0.5</v>
      </c>
      <c r="D430" s="11">
        <v>0.3</v>
      </c>
      <c r="E430" s="11">
        <v>0.9</v>
      </c>
      <c r="F430" s="11">
        <v>1.1000000000000001</v>
      </c>
      <c r="G430" s="11">
        <v>0.2</v>
      </c>
      <c r="H430" s="11">
        <v>-2.8</v>
      </c>
      <c r="I430" s="11">
        <v>3.8</v>
      </c>
      <c r="J430" s="11">
        <v>0.2</v>
      </c>
      <c r="K430" s="11">
        <v>-1.9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</row>
    <row r="431" spans="1:60" ht="15.75" x14ac:dyDescent="0.25">
      <c r="A431" s="12" t="s">
        <v>891</v>
      </c>
      <c r="B431" s="11">
        <v>-0.9</v>
      </c>
      <c r="C431" s="11">
        <v>-1</v>
      </c>
      <c r="D431" s="11">
        <v>-0.3</v>
      </c>
      <c r="E431" s="11">
        <v>-2</v>
      </c>
      <c r="F431" s="11">
        <v>0.1</v>
      </c>
      <c r="G431" s="11">
        <v>-1.7</v>
      </c>
      <c r="H431" s="11">
        <v>-0.1</v>
      </c>
      <c r="I431" s="11">
        <v>-4.5</v>
      </c>
      <c r="J431" s="11">
        <v>-0.1</v>
      </c>
      <c r="K431" s="11">
        <v>-0.2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</row>
    <row r="432" spans="1:60" ht="15.75" x14ac:dyDescent="0.25">
      <c r="A432" s="12" t="s">
        <v>892</v>
      </c>
      <c r="B432" s="11">
        <v>0.6</v>
      </c>
      <c r="C432" s="11">
        <v>0.9</v>
      </c>
      <c r="D432" s="11">
        <v>0.4</v>
      </c>
      <c r="E432" s="11">
        <v>1.5</v>
      </c>
      <c r="F432" s="11">
        <v>-0.1</v>
      </c>
      <c r="G432" s="11">
        <v>0.8</v>
      </c>
      <c r="H432" s="11">
        <v>1.5</v>
      </c>
      <c r="I432" s="11">
        <v>3.2</v>
      </c>
      <c r="J432" s="11">
        <v>0.2</v>
      </c>
      <c r="K432" s="11">
        <v>-1.4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</row>
    <row r="433" spans="1:60" ht="15.75" x14ac:dyDescent="0.25">
      <c r="A433" s="12" t="s">
        <v>893</v>
      </c>
      <c r="B433" s="11">
        <v>-0.3</v>
      </c>
      <c r="C433" s="11">
        <v>-0.4</v>
      </c>
      <c r="D433" s="11">
        <v>-0.6</v>
      </c>
      <c r="E433" s="11">
        <v>-0.8</v>
      </c>
      <c r="F433" s="11">
        <v>1</v>
      </c>
      <c r="G433" s="11">
        <v>-2.1</v>
      </c>
      <c r="H433" s="11">
        <v>-0.3</v>
      </c>
      <c r="I433" s="11">
        <v>-1.1000000000000001</v>
      </c>
      <c r="J433" s="11">
        <v>1.2</v>
      </c>
      <c r="K433" s="11">
        <v>1.3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</row>
    <row r="434" spans="1:60" ht="15.75" x14ac:dyDescent="0.25">
      <c r="A434" s="12" t="s">
        <v>894</v>
      </c>
      <c r="B434" s="11">
        <v>0.4</v>
      </c>
      <c r="C434" s="11">
        <v>0.6</v>
      </c>
      <c r="D434" s="11">
        <v>0.5</v>
      </c>
      <c r="E434" s="11">
        <v>1</v>
      </c>
      <c r="F434" s="11">
        <v>3.2</v>
      </c>
      <c r="G434" s="11">
        <v>1</v>
      </c>
      <c r="H434" s="11">
        <v>0.9</v>
      </c>
      <c r="I434" s="11">
        <v>-0.1</v>
      </c>
      <c r="J434" s="11">
        <v>-0.7</v>
      </c>
      <c r="K434" s="11">
        <v>-0.9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</row>
    <row r="435" spans="1:60" ht="15.75" x14ac:dyDescent="0.25">
      <c r="A435" s="12" t="s">
        <v>895</v>
      </c>
      <c r="B435" s="11">
        <v>-1.1000000000000001</v>
      </c>
      <c r="C435" s="11">
        <v>-1.4</v>
      </c>
      <c r="D435" s="11">
        <v>-2</v>
      </c>
      <c r="E435" s="11">
        <v>-1.7</v>
      </c>
      <c r="F435" s="11">
        <v>-5</v>
      </c>
      <c r="G435" s="11">
        <v>-2.2000000000000002</v>
      </c>
      <c r="H435" s="11">
        <v>-0.2</v>
      </c>
      <c r="I435" s="11">
        <v>-0.1</v>
      </c>
      <c r="J435" s="11">
        <v>1.1000000000000001</v>
      </c>
      <c r="K435" s="11">
        <v>1.6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</row>
    <row r="436" spans="1:60" ht="15.75" x14ac:dyDescent="0.25">
      <c r="A436" s="12" t="s">
        <v>896</v>
      </c>
      <c r="B436" s="11">
        <v>0.2</v>
      </c>
      <c r="C436" s="11">
        <v>0.3</v>
      </c>
      <c r="D436" s="11">
        <v>1.2</v>
      </c>
      <c r="E436" s="11">
        <v>-0.5</v>
      </c>
      <c r="F436" s="11">
        <v>0.1</v>
      </c>
      <c r="G436" s="11">
        <v>-0.6</v>
      </c>
      <c r="H436" s="11">
        <v>-0.1</v>
      </c>
      <c r="I436" s="11">
        <v>-1</v>
      </c>
      <c r="J436" s="11">
        <v>0.2</v>
      </c>
      <c r="K436" s="11">
        <v>-1.1000000000000001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</row>
    <row r="437" spans="1:60" ht="15.75" x14ac:dyDescent="0.25">
      <c r="A437" s="12" t="s">
        <v>897</v>
      </c>
      <c r="B437" s="11">
        <v>-1</v>
      </c>
      <c r="C437" s="11">
        <v>-1.3</v>
      </c>
      <c r="D437" s="11">
        <v>0.1</v>
      </c>
      <c r="E437" s="11">
        <v>-2.2999999999999998</v>
      </c>
      <c r="F437" s="11">
        <v>-1.6</v>
      </c>
      <c r="G437" s="11">
        <v>-2.2999999999999998</v>
      </c>
      <c r="H437" s="11">
        <v>-2.8</v>
      </c>
      <c r="I437" s="11">
        <v>-2.2999999999999998</v>
      </c>
      <c r="J437" s="11">
        <v>-2.1</v>
      </c>
      <c r="K437" s="11">
        <v>0.8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</row>
    <row r="438" spans="1:60" ht="15.75" x14ac:dyDescent="0.25">
      <c r="A438" s="12" t="s">
        <v>898</v>
      </c>
      <c r="B438" s="11">
        <v>0.1</v>
      </c>
      <c r="C438" s="11">
        <v>0.4</v>
      </c>
      <c r="D438" s="11">
        <v>0.1</v>
      </c>
      <c r="E438" s="11">
        <v>0.5</v>
      </c>
      <c r="F438" s="11">
        <v>0.3</v>
      </c>
      <c r="G438" s="11">
        <v>2.7</v>
      </c>
      <c r="H438" s="11">
        <v>-2.1</v>
      </c>
      <c r="I438" s="11">
        <v>0.4</v>
      </c>
      <c r="J438" s="11">
        <v>1.1000000000000001</v>
      </c>
      <c r="K438" s="11">
        <v>-2.7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</row>
    <row r="439" spans="1:60" ht="15.75" x14ac:dyDescent="0.25">
      <c r="A439" s="12" t="s">
        <v>899</v>
      </c>
      <c r="B439" s="11">
        <v>1.7</v>
      </c>
      <c r="C439" s="11">
        <v>1.6</v>
      </c>
      <c r="D439" s="11">
        <v>0.2</v>
      </c>
      <c r="E439" s="11">
        <v>3.1</v>
      </c>
      <c r="F439" s="11">
        <v>3.8</v>
      </c>
      <c r="G439" s="11">
        <v>1.9</v>
      </c>
      <c r="H439" s="11">
        <v>1.6</v>
      </c>
      <c r="I439" s="11">
        <v>4.5999999999999996</v>
      </c>
      <c r="J439" s="11">
        <v>1.2</v>
      </c>
      <c r="K439" s="11">
        <v>2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</row>
    <row r="440" spans="1:60" ht="15.75" x14ac:dyDescent="0.25">
      <c r="A440" s="12" t="s">
        <v>900</v>
      </c>
      <c r="B440" s="11">
        <v>-3.5</v>
      </c>
      <c r="C440" s="11">
        <v>-3.5</v>
      </c>
      <c r="D440" s="11">
        <v>-4.2</v>
      </c>
      <c r="E440" s="11">
        <v>-3.6</v>
      </c>
      <c r="F440" s="11">
        <v>-6.4</v>
      </c>
      <c r="G440" s="11">
        <v>-4</v>
      </c>
      <c r="H440" s="11">
        <v>-0.1</v>
      </c>
      <c r="I440" s="11">
        <v>-3.7</v>
      </c>
      <c r="J440" s="11">
        <v>-1.4</v>
      </c>
      <c r="K440" s="11">
        <v>-3.1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</row>
    <row r="441" spans="1:60" ht="15.75" x14ac:dyDescent="0.25">
      <c r="A441" s="12" t="s">
        <v>901</v>
      </c>
      <c r="B441" s="11">
        <v>4</v>
      </c>
      <c r="C441" s="11">
        <v>3.6</v>
      </c>
      <c r="D441" s="11">
        <v>4.5</v>
      </c>
      <c r="E441" s="11">
        <v>3.4</v>
      </c>
      <c r="F441" s="11">
        <v>2.2999999999999998</v>
      </c>
      <c r="G441" s="11">
        <v>0.7</v>
      </c>
      <c r="H441" s="11">
        <v>0.3</v>
      </c>
      <c r="I441" s="11">
        <v>8</v>
      </c>
      <c r="J441" s="11">
        <v>2.1</v>
      </c>
      <c r="K441" s="11">
        <v>7.4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</row>
    <row r="442" spans="1:60" ht="15.75" x14ac:dyDescent="0.25">
      <c r="A442" s="12" t="s">
        <v>902</v>
      </c>
      <c r="B442" s="11">
        <v>-0.6</v>
      </c>
      <c r="C442" s="11">
        <v>-0.4</v>
      </c>
      <c r="D442" s="11">
        <v>-0.6</v>
      </c>
      <c r="E442" s="11">
        <v>-0.2</v>
      </c>
      <c r="F442" s="11">
        <v>3.2</v>
      </c>
      <c r="G442" s="11">
        <v>-1.1000000000000001</v>
      </c>
      <c r="H442" s="11">
        <v>-2.8</v>
      </c>
      <c r="I442" s="11">
        <v>0.1</v>
      </c>
      <c r="J442" s="11">
        <v>-0.7</v>
      </c>
      <c r="K442" s="11">
        <v>-2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</row>
    <row r="443" spans="1:60" ht="15.75" x14ac:dyDescent="0.25">
      <c r="A443" s="12" t="s">
        <v>903</v>
      </c>
      <c r="B443" s="11">
        <v>-0.4</v>
      </c>
      <c r="C443" s="11">
        <v>-0.9</v>
      </c>
      <c r="D443" s="11">
        <v>-1.2</v>
      </c>
      <c r="E443" s="11">
        <v>-0.4</v>
      </c>
      <c r="F443" s="11">
        <v>-4.3</v>
      </c>
      <c r="G443" s="11">
        <v>0</v>
      </c>
      <c r="H443" s="11">
        <v>1</v>
      </c>
      <c r="I443" s="11">
        <v>0.6</v>
      </c>
      <c r="J443" s="11">
        <v>-1.3</v>
      </c>
      <c r="K443" s="11">
        <v>3.9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</row>
    <row r="444" spans="1:60" ht="15.75" x14ac:dyDescent="0.25">
      <c r="A444" s="12" t="s">
        <v>904</v>
      </c>
      <c r="B444" s="11">
        <v>-1.8</v>
      </c>
      <c r="C444" s="11">
        <v>-1.3</v>
      </c>
      <c r="D444" s="11">
        <v>-0.8</v>
      </c>
      <c r="E444" s="11">
        <v>-2.2999999999999998</v>
      </c>
      <c r="F444" s="11">
        <v>0.2</v>
      </c>
      <c r="G444" s="11">
        <v>-3.3</v>
      </c>
      <c r="H444" s="11">
        <v>-2.9</v>
      </c>
      <c r="I444" s="11">
        <v>-2.4</v>
      </c>
      <c r="J444" s="11">
        <v>0.1</v>
      </c>
      <c r="K444" s="11">
        <v>-5.8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</row>
    <row r="445" spans="1:60" ht="15.75" x14ac:dyDescent="0.25">
      <c r="A445" s="12" t="s">
        <v>905</v>
      </c>
      <c r="B445" s="11">
        <v>3.3</v>
      </c>
      <c r="C445" s="11">
        <v>3.3</v>
      </c>
      <c r="D445" s="11">
        <v>1.3</v>
      </c>
      <c r="E445" s="11">
        <v>3.9</v>
      </c>
      <c r="F445" s="11">
        <v>2.7</v>
      </c>
      <c r="G445" s="11">
        <v>5</v>
      </c>
      <c r="H445" s="11">
        <v>4.4000000000000004</v>
      </c>
      <c r="I445" s="11">
        <v>3.5</v>
      </c>
      <c r="J445" s="11">
        <v>7.1</v>
      </c>
      <c r="K445" s="11">
        <v>3.2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</row>
    <row r="446" spans="1:60" ht="15.75" x14ac:dyDescent="0.25">
      <c r="A446" s="12" t="s">
        <v>906</v>
      </c>
      <c r="B446" s="11">
        <v>-2</v>
      </c>
      <c r="C446" s="11">
        <v>-2.2999999999999998</v>
      </c>
      <c r="D446" s="11">
        <v>-1.9</v>
      </c>
      <c r="E446" s="11">
        <v>-2.2000000000000002</v>
      </c>
      <c r="F446" s="11">
        <v>-2.8</v>
      </c>
      <c r="G446" s="11">
        <v>-2.8</v>
      </c>
      <c r="H446" s="11">
        <v>-2.8</v>
      </c>
      <c r="I446" s="11">
        <v>-1.2</v>
      </c>
      <c r="J446" s="11">
        <v>-3.8</v>
      </c>
      <c r="K446" s="11">
        <v>0.9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</row>
    <row r="447" spans="1:60" ht="15.75" x14ac:dyDescent="0.25">
      <c r="A447" s="12" t="s">
        <v>907</v>
      </c>
      <c r="B447" s="11">
        <v>0.9</v>
      </c>
      <c r="C447" s="11">
        <v>1.1000000000000001</v>
      </c>
      <c r="D447" s="11">
        <v>1.1000000000000001</v>
      </c>
      <c r="E447" s="11">
        <v>1.1000000000000001</v>
      </c>
      <c r="F447" s="11">
        <v>3.5</v>
      </c>
      <c r="G447" s="11">
        <v>0.8</v>
      </c>
      <c r="H447" s="11">
        <v>-0.4</v>
      </c>
      <c r="I447" s="11">
        <v>1</v>
      </c>
      <c r="J447" s="11">
        <v>0.8</v>
      </c>
      <c r="K447" s="11">
        <v>-0.7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</row>
    <row r="448" spans="1:60" ht="15.75" x14ac:dyDescent="0.25">
      <c r="A448" s="12" t="s">
        <v>908</v>
      </c>
      <c r="B448" s="11">
        <v>1</v>
      </c>
      <c r="C448" s="11">
        <v>1.1000000000000001</v>
      </c>
      <c r="D448" s="11">
        <v>2.2000000000000002</v>
      </c>
      <c r="E448" s="11">
        <v>0.8</v>
      </c>
      <c r="F448" s="11">
        <v>1.1000000000000001</v>
      </c>
      <c r="G448" s="11">
        <v>2.2999999999999998</v>
      </c>
      <c r="H448" s="11">
        <v>1.9</v>
      </c>
      <c r="I448" s="11">
        <v>-1.2</v>
      </c>
      <c r="J448" s="11">
        <v>-1</v>
      </c>
      <c r="K448" s="11">
        <v>0.5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</row>
    <row r="449" spans="1:60" ht="15.75" x14ac:dyDescent="0.25">
      <c r="A449" s="12" t="s">
        <v>909</v>
      </c>
      <c r="B449" s="11">
        <v>-0.2</v>
      </c>
      <c r="C449" s="11">
        <v>-0.2</v>
      </c>
      <c r="D449" s="11">
        <v>-2.6</v>
      </c>
      <c r="E449" s="11">
        <v>1.9</v>
      </c>
      <c r="F449" s="11">
        <v>0.4</v>
      </c>
      <c r="G449" s="11">
        <v>0.7</v>
      </c>
      <c r="H449" s="11">
        <v>0.1</v>
      </c>
      <c r="I449" s="11">
        <v>4.7</v>
      </c>
      <c r="J449" s="11">
        <v>0.7</v>
      </c>
      <c r="K449" s="11">
        <v>-0.6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</row>
    <row r="450" spans="1:60" ht="15.75" x14ac:dyDescent="0.25">
      <c r="A450" s="12" t="s">
        <v>910</v>
      </c>
      <c r="B450" s="11">
        <v>-0.7</v>
      </c>
      <c r="C450" s="11">
        <v>-0.9</v>
      </c>
      <c r="D450" s="11">
        <v>-0.5</v>
      </c>
      <c r="E450" s="11">
        <v>-1.4</v>
      </c>
      <c r="F450" s="11">
        <v>-0.1</v>
      </c>
      <c r="G450" s="11">
        <v>-3.1</v>
      </c>
      <c r="H450" s="11">
        <v>0.1</v>
      </c>
      <c r="I450" s="11">
        <v>-1.5</v>
      </c>
      <c r="J450" s="11">
        <v>-0.8</v>
      </c>
      <c r="K450" s="11">
        <v>0.9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</row>
    <row r="451" spans="1:60" ht="15.75" x14ac:dyDescent="0.25">
      <c r="A451" s="12" t="s">
        <v>911</v>
      </c>
      <c r="B451" s="11">
        <v>-0.2</v>
      </c>
      <c r="C451" s="11">
        <v>-0.1</v>
      </c>
      <c r="D451" s="11">
        <v>0.3</v>
      </c>
      <c r="E451" s="11">
        <v>-0.4</v>
      </c>
      <c r="F451" s="11">
        <v>-1.4</v>
      </c>
      <c r="G451" s="11">
        <v>-3.9</v>
      </c>
      <c r="H451" s="11">
        <v>1.1000000000000001</v>
      </c>
      <c r="I451" s="11">
        <v>2</v>
      </c>
      <c r="J451" s="11">
        <v>0.2</v>
      </c>
      <c r="K451" s="11">
        <v>-1.4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</row>
    <row r="452" spans="1:60" ht="15.75" x14ac:dyDescent="0.25">
      <c r="A452" s="12" t="s">
        <v>912</v>
      </c>
      <c r="B452" s="11">
        <v>-0.6</v>
      </c>
      <c r="C452" s="11">
        <v>-0.9</v>
      </c>
      <c r="D452" s="11">
        <v>-2.1</v>
      </c>
      <c r="E452" s="11">
        <v>1.4</v>
      </c>
      <c r="F452" s="11">
        <v>1.3</v>
      </c>
      <c r="G452" s="11">
        <v>3.8</v>
      </c>
      <c r="H452" s="11">
        <v>0.5</v>
      </c>
      <c r="I452" s="11">
        <v>0.1</v>
      </c>
      <c r="J452" s="11">
        <v>-4</v>
      </c>
      <c r="K452" s="11">
        <v>1.4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</row>
    <row r="453" spans="1:60" ht="15.75" x14ac:dyDescent="0.25">
      <c r="A453" s="12" t="s">
        <v>913</v>
      </c>
      <c r="B453" s="11">
        <v>1.4</v>
      </c>
      <c r="C453" s="11">
        <v>1.8</v>
      </c>
      <c r="D453" s="11">
        <v>5.5</v>
      </c>
      <c r="E453" s="11">
        <v>-1.8</v>
      </c>
      <c r="F453" s="11">
        <v>0.8</v>
      </c>
      <c r="G453" s="11">
        <v>-2.2000000000000002</v>
      </c>
      <c r="H453" s="11">
        <v>-0.5</v>
      </c>
      <c r="I453" s="11">
        <v>-3.5</v>
      </c>
      <c r="J453" s="11">
        <v>2.1</v>
      </c>
      <c r="K453" s="11">
        <v>-1.2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</row>
    <row r="454" spans="1:60" ht="15.75" x14ac:dyDescent="0.25">
      <c r="A454" s="12" t="s">
        <v>914</v>
      </c>
      <c r="B454" s="11">
        <v>0.6</v>
      </c>
      <c r="C454" s="11">
        <v>0.6</v>
      </c>
      <c r="D454" s="11">
        <v>-2.2999999999999998</v>
      </c>
      <c r="E454" s="11">
        <v>2.9</v>
      </c>
      <c r="F454" s="11">
        <v>0.9</v>
      </c>
      <c r="G454" s="11">
        <v>3.7</v>
      </c>
      <c r="H454" s="11">
        <v>5.6</v>
      </c>
      <c r="I454" s="11">
        <v>2</v>
      </c>
      <c r="J454" s="11">
        <v>2.2000000000000002</v>
      </c>
      <c r="K454" s="11">
        <v>0.9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</row>
    <row r="455" spans="1:60" ht="15.75" x14ac:dyDescent="0.25">
      <c r="A455" s="12" t="s">
        <v>915</v>
      </c>
      <c r="B455" s="11">
        <v>-0.2</v>
      </c>
      <c r="C455" s="11">
        <v>-0.1</v>
      </c>
      <c r="D455" s="11">
        <v>-2.1</v>
      </c>
      <c r="E455" s="11">
        <v>1</v>
      </c>
      <c r="F455" s="11">
        <v>-0.2</v>
      </c>
      <c r="G455" s="11">
        <v>2.5</v>
      </c>
      <c r="H455" s="11">
        <v>-1.6</v>
      </c>
      <c r="I455" s="11">
        <v>2</v>
      </c>
      <c r="J455" s="11">
        <v>2.4</v>
      </c>
      <c r="K455" s="11">
        <v>-1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</row>
    <row r="456" spans="1:60" ht="15.75" x14ac:dyDescent="0.25">
      <c r="A456" s="12" t="s">
        <v>916</v>
      </c>
      <c r="B456" s="11">
        <v>1.7</v>
      </c>
      <c r="C456" s="11">
        <v>1.8</v>
      </c>
      <c r="D456" s="11">
        <v>5.0999999999999996</v>
      </c>
      <c r="E456" s="11">
        <v>-0.9</v>
      </c>
      <c r="F456" s="11">
        <v>3.2</v>
      </c>
      <c r="G456" s="11">
        <v>-1.8</v>
      </c>
      <c r="H456" s="11">
        <v>1.6</v>
      </c>
      <c r="I456" s="11">
        <v>-3.8</v>
      </c>
      <c r="J456" s="11">
        <v>0.8</v>
      </c>
      <c r="K456" s="11">
        <v>1.1000000000000001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</row>
    <row r="457" spans="1:60" ht="15.75" x14ac:dyDescent="0.25">
      <c r="A457" s="12" t="s">
        <v>917</v>
      </c>
      <c r="B457" s="11">
        <v>-2.8</v>
      </c>
      <c r="C457" s="11">
        <v>-2.9</v>
      </c>
      <c r="D457" s="11">
        <v>-5.4</v>
      </c>
      <c r="E457" s="11">
        <v>-1.5</v>
      </c>
      <c r="F457" s="11">
        <v>-3.2</v>
      </c>
      <c r="G457" s="11">
        <v>-0.7</v>
      </c>
      <c r="H457" s="11">
        <v>-2.7</v>
      </c>
      <c r="I457" s="11">
        <v>-0.6</v>
      </c>
      <c r="J457" s="11">
        <v>-0.3</v>
      </c>
      <c r="K457" s="11">
        <v>-1.5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</row>
    <row r="458" spans="1:60" ht="15.75" x14ac:dyDescent="0.25">
      <c r="A458" s="12" t="s">
        <v>1012</v>
      </c>
      <c r="B458" s="11">
        <v>0.9</v>
      </c>
      <c r="C458" s="11">
        <v>0.6</v>
      </c>
      <c r="D458" s="11">
        <v>0.7</v>
      </c>
      <c r="E458" s="11">
        <v>0.2</v>
      </c>
      <c r="F458" s="11">
        <v>2.1</v>
      </c>
      <c r="G458" s="11">
        <v>1</v>
      </c>
      <c r="H458" s="11">
        <v>-0.1</v>
      </c>
      <c r="I458" s="11">
        <v>-1.5</v>
      </c>
      <c r="J458" s="11">
        <v>1.7</v>
      </c>
      <c r="K458" s="11">
        <v>2.8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</row>
    <row r="459" spans="1:60" ht="15.75" x14ac:dyDescent="0.25">
      <c r="A459" s="12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</row>
    <row r="460" spans="1:60" ht="16.5" thickBot="1" x14ac:dyDescent="0.3">
      <c r="A460" s="13" t="s">
        <v>918</v>
      </c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</row>
    <row r="461" spans="1:60" ht="60.75" x14ac:dyDescent="0.25">
      <c r="A461" s="14" t="s">
        <v>436</v>
      </c>
      <c r="B461" s="14" t="s">
        <v>437</v>
      </c>
      <c r="C461" s="14" t="s">
        <v>438</v>
      </c>
      <c r="D461" s="14" t="s">
        <v>439</v>
      </c>
      <c r="E461" s="14" t="s">
        <v>440</v>
      </c>
      <c r="F461" s="14" t="s">
        <v>441</v>
      </c>
      <c r="G461" s="14" t="s">
        <v>442</v>
      </c>
      <c r="H461" s="14" t="s">
        <v>443</v>
      </c>
      <c r="I461" s="14" t="s">
        <v>444</v>
      </c>
      <c r="J461" s="14" t="s">
        <v>445</v>
      </c>
      <c r="K461" s="14" t="s">
        <v>446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</row>
    <row r="462" spans="1:60" ht="15.75" x14ac:dyDescent="0.25">
      <c r="A462" s="12" t="s">
        <v>447</v>
      </c>
      <c r="B462" s="11" t="s">
        <v>448</v>
      </c>
      <c r="C462" s="11" t="s">
        <v>449</v>
      </c>
      <c r="D462" s="11" t="s">
        <v>450</v>
      </c>
      <c r="E462" s="11" t="s">
        <v>451</v>
      </c>
      <c r="F462" s="11" t="s">
        <v>452</v>
      </c>
      <c r="G462" s="11" t="s">
        <v>453</v>
      </c>
      <c r="H462" s="11" t="s">
        <v>454</v>
      </c>
      <c r="I462" s="11" t="s">
        <v>455</v>
      </c>
      <c r="J462" s="11" t="s">
        <v>456</v>
      </c>
      <c r="K462" s="11" t="s">
        <v>457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</row>
    <row r="463" spans="1:60" ht="16.5" thickBot="1" x14ac:dyDescent="0.3">
      <c r="A463" s="15" t="s">
        <v>458</v>
      </c>
      <c r="B463" s="13" t="s">
        <v>921</v>
      </c>
      <c r="C463" s="13" t="s">
        <v>922</v>
      </c>
      <c r="D463" s="13" t="s">
        <v>923</v>
      </c>
      <c r="E463" s="13" t="s">
        <v>924</v>
      </c>
      <c r="F463" s="13" t="s">
        <v>925</v>
      </c>
      <c r="G463" s="13" t="s">
        <v>926</v>
      </c>
      <c r="H463" s="13" t="s">
        <v>927</v>
      </c>
      <c r="I463" s="13" t="s">
        <v>928</v>
      </c>
      <c r="J463" s="13" t="s">
        <v>929</v>
      </c>
      <c r="K463" s="13" t="s">
        <v>930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</row>
    <row r="464" spans="1:60" ht="15.75" x14ac:dyDescent="0.25">
      <c r="A464" s="12" t="s">
        <v>469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</row>
    <row r="465" spans="1:60" ht="15.75" x14ac:dyDescent="0.25">
      <c r="A465" s="12" t="s">
        <v>470</v>
      </c>
      <c r="B465" s="11"/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</row>
    <row r="466" spans="1:60" ht="15.75" x14ac:dyDescent="0.25">
      <c r="A466" s="12" t="s">
        <v>471</v>
      </c>
      <c r="B466" s="11"/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</row>
    <row r="467" spans="1:60" ht="15.75" x14ac:dyDescent="0.25">
      <c r="A467" s="12" t="s">
        <v>472</v>
      </c>
      <c r="B467" s="11"/>
      <c r="C467" s="11">
        <v>0</v>
      </c>
      <c r="D467" s="11">
        <v>0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</row>
    <row r="468" spans="1:60" ht="15.75" x14ac:dyDescent="0.25">
      <c r="A468" s="12" t="s">
        <v>473</v>
      </c>
      <c r="B468" s="11"/>
      <c r="C468" s="11">
        <v>-0.1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</row>
    <row r="469" spans="1:60" ht="15.75" x14ac:dyDescent="0.25">
      <c r="A469" s="12" t="s">
        <v>474</v>
      </c>
      <c r="B469" s="11"/>
      <c r="C469" s="11">
        <v>0</v>
      </c>
      <c r="D469" s="11">
        <v>0</v>
      </c>
      <c r="E469" s="11">
        <v>-0.1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</row>
    <row r="470" spans="1:60" ht="15.75" x14ac:dyDescent="0.25">
      <c r="A470" s="12" t="s">
        <v>475</v>
      </c>
      <c r="B470" s="11"/>
      <c r="C470" s="11">
        <v>0</v>
      </c>
      <c r="D470" s="11">
        <v>0</v>
      </c>
      <c r="E470" s="11">
        <v>0</v>
      </c>
      <c r="F470" s="11">
        <v>0</v>
      </c>
      <c r="G470" s="11">
        <v>0.1</v>
      </c>
      <c r="H470" s="11">
        <v>0</v>
      </c>
      <c r="I470" s="11">
        <v>0</v>
      </c>
      <c r="J470" s="11">
        <v>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</row>
    <row r="471" spans="1:60" ht="15.75" x14ac:dyDescent="0.25">
      <c r="A471" s="12" t="s">
        <v>476</v>
      </c>
      <c r="B471" s="11"/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</row>
    <row r="472" spans="1:60" ht="15.75" x14ac:dyDescent="0.25">
      <c r="A472" s="12" t="s">
        <v>477</v>
      </c>
      <c r="B472" s="11"/>
      <c r="C472" s="11">
        <v>0</v>
      </c>
      <c r="D472" s="11">
        <v>0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</row>
    <row r="473" spans="1:60" ht="15.75" x14ac:dyDescent="0.25">
      <c r="A473" s="12" t="s">
        <v>478</v>
      </c>
      <c r="B473" s="11"/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</row>
    <row r="474" spans="1:60" ht="15.75" x14ac:dyDescent="0.25">
      <c r="A474" s="12" t="s">
        <v>479</v>
      </c>
      <c r="B474" s="11"/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</row>
    <row r="475" spans="1:60" ht="15.75" x14ac:dyDescent="0.25">
      <c r="A475" s="12" t="s">
        <v>480</v>
      </c>
      <c r="B475" s="11"/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</row>
    <row r="476" spans="1:60" ht="15.75" x14ac:dyDescent="0.25">
      <c r="A476" s="12" t="s">
        <v>481</v>
      </c>
      <c r="B476" s="11"/>
      <c r="C476" s="11">
        <v>0</v>
      </c>
      <c r="D476" s="11">
        <v>0</v>
      </c>
      <c r="E476" s="11">
        <v>0</v>
      </c>
      <c r="F476" s="11">
        <v>0</v>
      </c>
      <c r="G476" s="11">
        <v>-0.1</v>
      </c>
      <c r="H476" s="11">
        <v>0</v>
      </c>
      <c r="I476" s="11">
        <v>0</v>
      </c>
      <c r="J476" s="11">
        <v>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</row>
    <row r="477" spans="1:60" ht="15.75" x14ac:dyDescent="0.25">
      <c r="A477" s="12" t="s">
        <v>482</v>
      </c>
      <c r="B477" s="11"/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</row>
    <row r="478" spans="1:60" ht="15.75" x14ac:dyDescent="0.25">
      <c r="A478" s="12" t="s">
        <v>483</v>
      </c>
      <c r="B478" s="11"/>
      <c r="C478" s="11">
        <v>0</v>
      </c>
      <c r="D478" s="11">
        <v>0</v>
      </c>
      <c r="E478" s="11">
        <v>0</v>
      </c>
      <c r="F478" s="11">
        <v>0</v>
      </c>
      <c r="G478" s="11">
        <v>0</v>
      </c>
      <c r="H478" s="11">
        <v>0</v>
      </c>
      <c r="I478" s="11">
        <v>-0.1</v>
      </c>
      <c r="J478" s="11">
        <v>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</row>
    <row r="479" spans="1:60" ht="15.75" x14ac:dyDescent="0.25">
      <c r="A479" s="12" t="s">
        <v>484</v>
      </c>
      <c r="B479" s="11"/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</row>
    <row r="480" spans="1:60" ht="15.75" x14ac:dyDescent="0.25">
      <c r="A480" s="12" t="s">
        <v>485</v>
      </c>
      <c r="B480" s="11"/>
      <c r="C480" s="11">
        <v>0</v>
      </c>
      <c r="D480" s="11">
        <v>0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</row>
    <row r="481" spans="1:60" ht="15.75" x14ac:dyDescent="0.25">
      <c r="A481" s="12" t="s">
        <v>486</v>
      </c>
      <c r="B481" s="11"/>
      <c r="C481" s="11">
        <v>0</v>
      </c>
      <c r="D481" s="11">
        <v>0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11">
        <v>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</row>
    <row r="482" spans="1:60" ht="15.75" x14ac:dyDescent="0.25">
      <c r="A482" s="12" t="s">
        <v>487</v>
      </c>
      <c r="B482" s="11"/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0</v>
      </c>
      <c r="I482" s="11">
        <v>-0.1</v>
      </c>
      <c r="J482" s="11">
        <v>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</row>
    <row r="483" spans="1:60" ht="15.75" x14ac:dyDescent="0.25">
      <c r="A483" s="12" t="s">
        <v>488</v>
      </c>
      <c r="B483" s="11"/>
      <c r="C483" s="11">
        <v>0</v>
      </c>
      <c r="D483" s="11">
        <v>0</v>
      </c>
      <c r="E483" s="11">
        <v>0.1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</row>
    <row r="484" spans="1:60" ht="15.75" x14ac:dyDescent="0.25">
      <c r="A484" s="12" t="s">
        <v>489</v>
      </c>
      <c r="B484" s="11"/>
      <c r="C484" s="11">
        <v>0</v>
      </c>
      <c r="D484" s="11">
        <v>0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</row>
    <row r="485" spans="1:60" ht="15.75" x14ac:dyDescent="0.25">
      <c r="A485" s="12" t="s">
        <v>490</v>
      </c>
      <c r="B485" s="11"/>
      <c r="C485" s="11">
        <v>0</v>
      </c>
      <c r="D485" s="11">
        <v>0</v>
      </c>
      <c r="E485" s="11">
        <v>0</v>
      </c>
      <c r="F485" s="11">
        <v>0</v>
      </c>
      <c r="G485" s="11">
        <v>-0.1</v>
      </c>
      <c r="H485" s="11">
        <v>0</v>
      </c>
      <c r="I485" s="11">
        <v>0</v>
      </c>
      <c r="J485" s="11">
        <v>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</row>
    <row r="486" spans="1:60" ht="15.75" x14ac:dyDescent="0.25">
      <c r="A486" s="12" t="s">
        <v>491</v>
      </c>
      <c r="B486" s="11"/>
      <c r="C486" s="11">
        <v>0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</row>
    <row r="487" spans="1:60" ht="15.75" x14ac:dyDescent="0.25">
      <c r="A487" s="12" t="s">
        <v>492</v>
      </c>
      <c r="B487" s="11"/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</row>
    <row r="488" spans="1:60" ht="15.75" x14ac:dyDescent="0.25">
      <c r="A488" s="12" t="s">
        <v>493</v>
      </c>
      <c r="B488" s="11"/>
      <c r="C488" s="11">
        <v>0</v>
      </c>
      <c r="D488" s="11">
        <v>-0.1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</row>
    <row r="489" spans="1:60" ht="15.75" x14ac:dyDescent="0.25">
      <c r="A489" s="12" t="s">
        <v>494</v>
      </c>
      <c r="B489" s="11"/>
      <c r="C489" s="11">
        <v>0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</row>
    <row r="490" spans="1:60" ht="15.75" x14ac:dyDescent="0.25">
      <c r="A490" s="12" t="s">
        <v>495</v>
      </c>
      <c r="B490" s="11"/>
      <c r="C490" s="11">
        <v>0</v>
      </c>
      <c r="D490" s="11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</row>
    <row r="491" spans="1:60" ht="15.75" x14ac:dyDescent="0.25">
      <c r="A491" s="12" t="s">
        <v>496</v>
      </c>
      <c r="B491" s="11"/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</row>
    <row r="492" spans="1:60" ht="15.75" x14ac:dyDescent="0.25">
      <c r="A492" s="12" t="s">
        <v>497</v>
      </c>
      <c r="B492" s="11"/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0</v>
      </c>
      <c r="I492" s="11">
        <v>0.1</v>
      </c>
      <c r="J492" s="11">
        <v>0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</row>
    <row r="493" spans="1:60" ht="15.75" x14ac:dyDescent="0.25">
      <c r="A493" s="12" t="s">
        <v>498</v>
      </c>
      <c r="B493" s="11"/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</row>
    <row r="494" spans="1:60" ht="15.75" x14ac:dyDescent="0.25">
      <c r="A494" s="12" t="s">
        <v>499</v>
      </c>
      <c r="B494" s="11"/>
      <c r="C494" s="11">
        <v>0</v>
      </c>
      <c r="D494" s="11">
        <v>0</v>
      </c>
      <c r="E494" s="11">
        <v>-0.1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</row>
    <row r="495" spans="1:60" ht="15.75" x14ac:dyDescent="0.25">
      <c r="A495" s="12" t="s">
        <v>500</v>
      </c>
      <c r="B495" s="11"/>
      <c r="C495" s="11">
        <v>0</v>
      </c>
      <c r="D495" s="11">
        <v>0</v>
      </c>
      <c r="E495" s="11">
        <v>0</v>
      </c>
      <c r="F495" s="11">
        <v>0</v>
      </c>
      <c r="G495" s="11">
        <v>0</v>
      </c>
      <c r="H495" s="11">
        <v>0</v>
      </c>
      <c r="I495" s="11">
        <v>0</v>
      </c>
      <c r="J495" s="11">
        <v>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</row>
    <row r="496" spans="1:60" ht="15.75" x14ac:dyDescent="0.25">
      <c r="A496" s="12" t="s">
        <v>501</v>
      </c>
      <c r="B496" s="11"/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</row>
    <row r="497" spans="1:60" ht="15.75" x14ac:dyDescent="0.25">
      <c r="A497" s="12" t="s">
        <v>502</v>
      </c>
      <c r="B497" s="11"/>
      <c r="C497" s="11">
        <v>0</v>
      </c>
      <c r="D497" s="11">
        <v>0</v>
      </c>
      <c r="E497" s="11">
        <v>0</v>
      </c>
      <c r="F497" s="11">
        <v>0</v>
      </c>
      <c r="G497" s="11">
        <v>0</v>
      </c>
      <c r="H497" s="11">
        <v>0</v>
      </c>
      <c r="I497" s="11">
        <v>0</v>
      </c>
      <c r="J497" s="11">
        <v>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</row>
    <row r="498" spans="1:60" ht="15.75" x14ac:dyDescent="0.25">
      <c r="A498" s="12" t="s">
        <v>503</v>
      </c>
      <c r="B498" s="11"/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</row>
    <row r="499" spans="1:60" ht="15.75" x14ac:dyDescent="0.25">
      <c r="A499" s="12" t="s">
        <v>504</v>
      </c>
      <c r="B499" s="11"/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</row>
    <row r="500" spans="1:60" ht="15.75" x14ac:dyDescent="0.25">
      <c r="A500" s="12" t="s">
        <v>505</v>
      </c>
      <c r="B500" s="11"/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</row>
    <row r="501" spans="1:60" ht="15.75" x14ac:dyDescent="0.25">
      <c r="A501" s="12" t="s">
        <v>506</v>
      </c>
      <c r="B501" s="11"/>
      <c r="C501" s="11">
        <v>0</v>
      </c>
      <c r="D501" s="11">
        <v>0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</row>
    <row r="502" spans="1:60" ht="15.75" x14ac:dyDescent="0.25">
      <c r="A502" s="12" t="s">
        <v>507</v>
      </c>
      <c r="B502" s="11"/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</row>
    <row r="503" spans="1:60" ht="15.75" x14ac:dyDescent="0.25">
      <c r="A503" s="12" t="s">
        <v>508</v>
      </c>
      <c r="B503" s="11"/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11">
        <v>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</row>
    <row r="504" spans="1:60" ht="15.75" x14ac:dyDescent="0.25">
      <c r="A504" s="12" t="s">
        <v>509</v>
      </c>
      <c r="B504" s="11"/>
      <c r="C504" s="11">
        <v>0</v>
      </c>
      <c r="D504" s="11">
        <v>0</v>
      </c>
      <c r="E504" s="11">
        <v>0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</row>
    <row r="505" spans="1:60" ht="15.75" x14ac:dyDescent="0.25">
      <c r="A505" s="12" t="s">
        <v>510</v>
      </c>
      <c r="B505" s="11"/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</row>
    <row r="506" spans="1:60" ht="15.75" x14ac:dyDescent="0.25">
      <c r="A506" s="12" t="s">
        <v>511</v>
      </c>
      <c r="B506" s="11"/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</row>
    <row r="507" spans="1:60" ht="15.75" x14ac:dyDescent="0.25">
      <c r="A507" s="12" t="s">
        <v>512</v>
      </c>
      <c r="B507" s="11"/>
      <c r="C507" s="11">
        <v>0</v>
      </c>
      <c r="D507" s="11">
        <v>0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</row>
    <row r="508" spans="1:60" ht="15.75" x14ac:dyDescent="0.25">
      <c r="A508" s="12" t="s">
        <v>513</v>
      </c>
      <c r="B508" s="11"/>
      <c r="C508" s="11">
        <v>0</v>
      </c>
      <c r="D508" s="11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</row>
    <row r="509" spans="1:60" ht="15.75" x14ac:dyDescent="0.25">
      <c r="A509" s="12" t="s">
        <v>514</v>
      </c>
      <c r="B509" s="11"/>
      <c r="C509" s="11">
        <v>0</v>
      </c>
      <c r="D509" s="11">
        <v>0</v>
      </c>
      <c r="E509" s="11">
        <v>0</v>
      </c>
      <c r="F509" s="11">
        <v>0</v>
      </c>
      <c r="G509" s="11">
        <v>0.1</v>
      </c>
      <c r="H509" s="11">
        <v>0</v>
      </c>
      <c r="I509" s="11">
        <v>0</v>
      </c>
      <c r="J509" s="11">
        <v>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</row>
    <row r="510" spans="1:60" ht="15.75" x14ac:dyDescent="0.25">
      <c r="A510" s="12" t="s">
        <v>515</v>
      </c>
      <c r="B510" s="11"/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</row>
    <row r="511" spans="1:60" ht="15.75" x14ac:dyDescent="0.25">
      <c r="A511" s="12" t="s">
        <v>516</v>
      </c>
      <c r="B511" s="11"/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</row>
    <row r="512" spans="1:60" ht="15.75" x14ac:dyDescent="0.25">
      <c r="A512" s="12" t="s">
        <v>517</v>
      </c>
      <c r="B512" s="11"/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</row>
    <row r="513" spans="1:60" ht="15.75" x14ac:dyDescent="0.25">
      <c r="A513" s="12" t="s">
        <v>518</v>
      </c>
      <c r="B513" s="11"/>
      <c r="C513" s="11">
        <v>0</v>
      </c>
      <c r="D513" s="11">
        <v>0</v>
      </c>
      <c r="E513" s="11">
        <v>0</v>
      </c>
      <c r="F513" s="11">
        <v>0</v>
      </c>
      <c r="G513" s="11">
        <v>0</v>
      </c>
      <c r="H513" s="11">
        <v>0</v>
      </c>
      <c r="I513" s="11">
        <v>0</v>
      </c>
      <c r="J513" s="11">
        <v>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</row>
    <row r="514" spans="1:60" ht="15.75" x14ac:dyDescent="0.25">
      <c r="A514" s="12" t="s">
        <v>519</v>
      </c>
      <c r="B514" s="11"/>
      <c r="C514" s="11">
        <v>0</v>
      </c>
      <c r="D514" s="11">
        <v>0</v>
      </c>
      <c r="E514" s="11">
        <v>0</v>
      </c>
      <c r="F514" s="11">
        <v>0</v>
      </c>
      <c r="G514" s="11">
        <v>0</v>
      </c>
      <c r="H514" s="11">
        <v>0</v>
      </c>
      <c r="I514" s="11">
        <v>0</v>
      </c>
      <c r="J514" s="11">
        <v>0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</row>
    <row r="515" spans="1:60" ht="15.75" x14ac:dyDescent="0.25">
      <c r="A515" s="12" t="s">
        <v>520</v>
      </c>
      <c r="B515" s="11"/>
      <c r="C515" s="11">
        <v>0</v>
      </c>
      <c r="D515" s="11">
        <v>0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</row>
    <row r="516" spans="1:60" ht="15.75" x14ac:dyDescent="0.25">
      <c r="A516" s="12" t="s">
        <v>521</v>
      </c>
      <c r="B516" s="11"/>
      <c r="C516" s="11">
        <v>0</v>
      </c>
      <c r="D516" s="11">
        <v>0</v>
      </c>
      <c r="E516" s="11">
        <v>0</v>
      </c>
      <c r="F516" s="11">
        <v>0</v>
      </c>
      <c r="G516" s="11">
        <v>0</v>
      </c>
      <c r="H516" s="11">
        <v>0</v>
      </c>
      <c r="I516" s="11">
        <v>0</v>
      </c>
      <c r="J516" s="11">
        <v>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</row>
    <row r="517" spans="1:60" ht="15.75" x14ac:dyDescent="0.25">
      <c r="A517" s="12" t="s">
        <v>522</v>
      </c>
      <c r="B517" s="11"/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</row>
    <row r="518" spans="1:60" ht="15.75" x14ac:dyDescent="0.25">
      <c r="A518" s="12" t="s">
        <v>523</v>
      </c>
      <c r="B518" s="11"/>
      <c r="C518" s="11">
        <v>0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</row>
    <row r="519" spans="1:60" ht="15.75" x14ac:dyDescent="0.25">
      <c r="A519" s="12" t="s">
        <v>524</v>
      </c>
      <c r="B519" s="11"/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</row>
    <row r="520" spans="1:60" ht="15.75" x14ac:dyDescent="0.25">
      <c r="A520" s="12" t="s">
        <v>525</v>
      </c>
      <c r="B520" s="11"/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</row>
    <row r="521" spans="1:60" ht="15.75" x14ac:dyDescent="0.25">
      <c r="A521" s="12" t="s">
        <v>526</v>
      </c>
      <c r="B521" s="11"/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</row>
    <row r="522" spans="1:60" ht="15.75" x14ac:dyDescent="0.25">
      <c r="A522" s="12" t="s">
        <v>527</v>
      </c>
      <c r="B522" s="11"/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-0.1</v>
      </c>
      <c r="J522" s="11">
        <v>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</row>
    <row r="523" spans="1:60" ht="15.75" x14ac:dyDescent="0.25">
      <c r="A523" s="12" t="s">
        <v>528</v>
      </c>
      <c r="B523" s="11"/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</row>
    <row r="524" spans="1:60" ht="15.75" x14ac:dyDescent="0.25">
      <c r="A524" s="12" t="s">
        <v>529</v>
      </c>
      <c r="B524" s="11"/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-0.1</v>
      </c>
      <c r="J524" s="11">
        <v>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</row>
    <row r="525" spans="1:60" ht="15.75" x14ac:dyDescent="0.25">
      <c r="A525" s="12" t="s">
        <v>530</v>
      </c>
      <c r="B525" s="11"/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</row>
    <row r="526" spans="1:60" ht="15.75" x14ac:dyDescent="0.25">
      <c r="A526" s="12" t="s">
        <v>531</v>
      </c>
      <c r="B526" s="11"/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</row>
    <row r="527" spans="1:60" ht="15.75" x14ac:dyDescent="0.25">
      <c r="A527" s="12" t="s">
        <v>532</v>
      </c>
      <c r="B527" s="11"/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</row>
    <row r="528" spans="1:60" ht="15.75" x14ac:dyDescent="0.25">
      <c r="A528" s="12" t="s">
        <v>533</v>
      </c>
      <c r="B528" s="11"/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</row>
    <row r="529" spans="1:60" ht="15.75" x14ac:dyDescent="0.25">
      <c r="A529" s="12" t="s">
        <v>534</v>
      </c>
      <c r="B529" s="11"/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</row>
    <row r="530" spans="1:60" ht="15.75" x14ac:dyDescent="0.25">
      <c r="A530" s="12" t="s">
        <v>535</v>
      </c>
      <c r="B530" s="11"/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</row>
    <row r="531" spans="1:60" ht="15.75" x14ac:dyDescent="0.25">
      <c r="A531" s="12" t="s">
        <v>536</v>
      </c>
      <c r="B531" s="11"/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</row>
    <row r="532" spans="1:60" ht="15.75" x14ac:dyDescent="0.25">
      <c r="A532" s="12" t="s">
        <v>537</v>
      </c>
      <c r="B532" s="11"/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</row>
    <row r="533" spans="1:60" ht="15.75" x14ac:dyDescent="0.25">
      <c r="A533" s="12" t="s">
        <v>538</v>
      </c>
      <c r="B533" s="11"/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</row>
    <row r="534" spans="1:60" ht="15.75" x14ac:dyDescent="0.25">
      <c r="A534" s="12" t="s">
        <v>539</v>
      </c>
      <c r="B534" s="11"/>
      <c r="C534" s="11">
        <v>0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</row>
    <row r="535" spans="1:60" ht="15.75" x14ac:dyDescent="0.25">
      <c r="A535" s="12" t="s">
        <v>540</v>
      </c>
      <c r="B535" s="11"/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-0.1</v>
      </c>
      <c r="I535" s="11">
        <v>0</v>
      </c>
      <c r="J535" s="11">
        <v>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</row>
    <row r="536" spans="1:60" ht="15.75" x14ac:dyDescent="0.25">
      <c r="A536" s="12" t="s">
        <v>541</v>
      </c>
      <c r="B536" s="11"/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</row>
    <row r="537" spans="1:60" ht="15.75" x14ac:dyDescent="0.25">
      <c r="A537" s="12" t="s">
        <v>542</v>
      </c>
      <c r="B537" s="11"/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</row>
    <row r="538" spans="1:60" ht="15.75" x14ac:dyDescent="0.25">
      <c r="A538" s="12" t="s">
        <v>543</v>
      </c>
      <c r="B538" s="11"/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</row>
    <row r="539" spans="1:60" ht="15.75" x14ac:dyDescent="0.25">
      <c r="A539" s="12" t="s">
        <v>544</v>
      </c>
      <c r="B539" s="11"/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</row>
    <row r="540" spans="1:60" ht="15.75" x14ac:dyDescent="0.25">
      <c r="A540" s="12" t="s">
        <v>545</v>
      </c>
      <c r="B540" s="11"/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</row>
    <row r="541" spans="1:60" ht="15.75" x14ac:dyDescent="0.25">
      <c r="A541" s="12" t="s">
        <v>546</v>
      </c>
      <c r="B541" s="11"/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</row>
    <row r="542" spans="1:60" ht="15.75" x14ac:dyDescent="0.25">
      <c r="A542" s="12" t="s">
        <v>547</v>
      </c>
      <c r="B542" s="11"/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</row>
    <row r="543" spans="1:60" ht="15.75" x14ac:dyDescent="0.25">
      <c r="A543" s="12" t="s">
        <v>548</v>
      </c>
      <c r="B543" s="11"/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</row>
    <row r="544" spans="1:60" ht="15.75" x14ac:dyDescent="0.25">
      <c r="A544" s="12" t="s">
        <v>549</v>
      </c>
      <c r="B544" s="11"/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</row>
    <row r="545" spans="1:60" ht="15.75" x14ac:dyDescent="0.25">
      <c r="A545" s="12" t="s">
        <v>550</v>
      </c>
      <c r="B545" s="11"/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</row>
    <row r="546" spans="1:60" ht="15.75" x14ac:dyDescent="0.25">
      <c r="A546" s="12" t="s">
        <v>551</v>
      </c>
      <c r="B546" s="11"/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</row>
    <row r="547" spans="1:60" ht="15.75" x14ac:dyDescent="0.25">
      <c r="A547" s="12" t="s">
        <v>552</v>
      </c>
      <c r="B547" s="11"/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</row>
    <row r="548" spans="1:60" ht="15.75" x14ac:dyDescent="0.25">
      <c r="A548" s="12" t="s">
        <v>553</v>
      </c>
      <c r="B548" s="11"/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</row>
    <row r="549" spans="1:60" ht="15.75" x14ac:dyDescent="0.25">
      <c r="A549" s="12" t="s">
        <v>554</v>
      </c>
      <c r="B549" s="11"/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</row>
    <row r="550" spans="1:60" ht="15.75" x14ac:dyDescent="0.25">
      <c r="A550" s="12" t="s">
        <v>555</v>
      </c>
      <c r="B550" s="11"/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</row>
    <row r="551" spans="1:60" ht="15.75" x14ac:dyDescent="0.25">
      <c r="A551" s="12" t="s">
        <v>556</v>
      </c>
      <c r="B551" s="11"/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</row>
    <row r="552" spans="1:60" ht="15.75" x14ac:dyDescent="0.25">
      <c r="A552" s="12" t="s">
        <v>557</v>
      </c>
      <c r="B552" s="11"/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</row>
    <row r="553" spans="1:60" ht="15.75" x14ac:dyDescent="0.25">
      <c r="A553" s="12" t="s">
        <v>558</v>
      </c>
      <c r="B553" s="11"/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</row>
    <row r="554" spans="1:60" ht="15.75" x14ac:dyDescent="0.25">
      <c r="A554" s="12" t="s">
        <v>559</v>
      </c>
      <c r="B554" s="11"/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</row>
    <row r="555" spans="1:60" ht="15.75" x14ac:dyDescent="0.25">
      <c r="A555" s="12" t="s">
        <v>560</v>
      </c>
      <c r="B555" s="11"/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</row>
    <row r="556" spans="1:60" ht="15.75" x14ac:dyDescent="0.25">
      <c r="A556" s="12" t="s">
        <v>561</v>
      </c>
      <c r="B556" s="11"/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</row>
    <row r="557" spans="1:60" ht="15.75" x14ac:dyDescent="0.25">
      <c r="A557" s="12" t="s">
        <v>562</v>
      </c>
      <c r="B557" s="11"/>
      <c r="C557" s="11">
        <v>-0.1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</row>
    <row r="558" spans="1:60" ht="15.75" x14ac:dyDescent="0.25">
      <c r="A558" s="12" t="s">
        <v>563</v>
      </c>
      <c r="B558" s="11"/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</row>
    <row r="559" spans="1:60" ht="15.75" x14ac:dyDescent="0.25">
      <c r="A559" s="12" t="s">
        <v>564</v>
      </c>
      <c r="B559" s="11"/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</row>
    <row r="560" spans="1:60" ht="15.75" x14ac:dyDescent="0.25">
      <c r="A560" s="12" t="s">
        <v>565</v>
      </c>
      <c r="B560" s="11"/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</row>
    <row r="561" spans="1:60" ht="15.75" x14ac:dyDescent="0.25">
      <c r="A561" s="12" t="s">
        <v>566</v>
      </c>
      <c r="B561" s="11">
        <v>0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</row>
    <row r="562" spans="1:60" ht="15.75" x14ac:dyDescent="0.25">
      <c r="A562" s="12" t="s">
        <v>567</v>
      </c>
      <c r="B562" s="11">
        <v>0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</row>
    <row r="563" spans="1:60" ht="15.75" x14ac:dyDescent="0.25">
      <c r="A563" s="12" t="s">
        <v>568</v>
      </c>
      <c r="B563" s="11">
        <v>0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-0.1</v>
      </c>
      <c r="J563" s="11">
        <v>0</v>
      </c>
      <c r="K563" s="11">
        <v>0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</row>
    <row r="564" spans="1:60" ht="15.75" x14ac:dyDescent="0.25">
      <c r="A564" s="12" t="s">
        <v>569</v>
      </c>
      <c r="B564" s="11">
        <v>0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</row>
    <row r="565" spans="1:60" ht="15.75" x14ac:dyDescent="0.25">
      <c r="A565" s="12" t="s">
        <v>570</v>
      </c>
      <c r="B565" s="11">
        <v>0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</row>
    <row r="566" spans="1:60" ht="15.75" x14ac:dyDescent="0.25">
      <c r="A566" s="12" t="s">
        <v>571</v>
      </c>
      <c r="B566" s="11">
        <v>0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</row>
    <row r="567" spans="1:60" ht="15.75" x14ac:dyDescent="0.25">
      <c r="A567" s="12" t="s">
        <v>572</v>
      </c>
      <c r="B567" s="11">
        <v>0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</row>
    <row r="568" spans="1:60" ht="15.75" x14ac:dyDescent="0.25">
      <c r="A568" s="12" t="s">
        <v>573</v>
      </c>
      <c r="B568" s="11">
        <v>0</v>
      </c>
      <c r="C568" s="11">
        <v>0</v>
      </c>
      <c r="D568" s="11">
        <v>0</v>
      </c>
      <c r="E568" s="11">
        <v>0</v>
      </c>
      <c r="F568" s="11">
        <v>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</row>
    <row r="569" spans="1:60" ht="15.75" x14ac:dyDescent="0.25">
      <c r="A569" s="12" t="s">
        <v>574</v>
      </c>
      <c r="B569" s="11">
        <v>0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</row>
    <row r="570" spans="1:60" ht="15.75" x14ac:dyDescent="0.25">
      <c r="A570" s="12" t="s">
        <v>575</v>
      </c>
      <c r="B570" s="11">
        <v>0</v>
      </c>
      <c r="C570" s="11">
        <v>0.1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</row>
    <row r="571" spans="1:60" ht="15.75" x14ac:dyDescent="0.25">
      <c r="A571" s="12" t="s">
        <v>576</v>
      </c>
      <c r="B571" s="11">
        <v>0</v>
      </c>
      <c r="C571" s="11">
        <v>0</v>
      </c>
      <c r="D571" s="11">
        <v>0</v>
      </c>
      <c r="E571" s="11">
        <v>0</v>
      </c>
      <c r="F571" s="11">
        <v>0</v>
      </c>
      <c r="G571" s="11">
        <v>-0.1</v>
      </c>
      <c r="H571" s="11">
        <v>0</v>
      </c>
      <c r="I571" s="11">
        <v>0</v>
      </c>
      <c r="J571" s="11">
        <v>0</v>
      </c>
      <c r="K571" s="11">
        <v>0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</row>
    <row r="572" spans="1:60" ht="15.75" x14ac:dyDescent="0.25">
      <c r="A572" s="12" t="s">
        <v>577</v>
      </c>
      <c r="B572" s="11">
        <v>0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</row>
    <row r="573" spans="1:60" ht="15.75" x14ac:dyDescent="0.25">
      <c r="A573" s="12" t="s">
        <v>578</v>
      </c>
      <c r="B573" s="11">
        <v>0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</row>
    <row r="574" spans="1:60" ht="15.75" x14ac:dyDescent="0.25">
      <c r="A574" s="12" t="s">
        <v>579</v>
      </c>
      <c r="B574" s="11">
        <v>0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</row>
    <row r="575" spans="1:60" ht="15.75" x14ac:dyDescent="0.25">
      <c r="A575" s="12" t="s">
        <v>580</v>
      </c>
      <c r="B575" s="11">
        <v>0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</row>
    <row r="576" spans="1:60" ht="15.75" x14ac:dyDescent="0.25">
      <c r="A576" s="12" t="s">
        <v>581</v>
      </c>
      <c r="B576" s="11">
        <v>0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</row>
    <row r="577" spans="1:60" ht="15.75" x14ac:dyDescent="0.25">
      <c r="A577" s="12" t="s">
        <v>582</v>
      </c>
      <c r="B577" s="11">
        <v>0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</row>
    <row r="578" spans="1:60" ht="15.75" x14ac:dyDescent="0.25">
      <c r="A578" s="12" t="s">
        <v>583</v>
      </c>
      <c r="B578" s="11">
        <v>0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</row>
    <row r="579" spans="1:60" ht="15.75" x14ac:dyDescent="0.25">
      <c r="A579" s="12" t="s">
        <v>584</v>
      </c>
      <c r="B579" s="11">
        <v>0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</row>
    <row r="580" spans="1:60" ht="15.75" x14ac:dyDescent="0.25">
      <c r="A580" s="12" t="s">
        <v>585</v>
      </c>
      <c r="B580" s="11">
        <v>0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</row>
    <row r="581" spans="1:60" ht="15.75" x14ac:dyDescent="0.25">
      <c r="A581" s="12" t="s">
        <v>586</v>
      </c>
      <c r="B581" s="11">
        <v>0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</row>
    <row r="582" spans="1:60" ht="15.75" x14ac:dyDescent="0.25">
      <c r="A582" s="12" t="s">
        <v>587</v>
      </c>
      <c r="B582" s="11">
        <v>0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</row>
    <row r="583" spans="1:60" ht="15.75" x14ac:dyDescent="0.25">
      <c r="A583" s="12" t="s">
        <v>588</v>
      </c>
      <c r="B583" s="11">
        <v>0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</row>
    <row r="584" spans="1:60" ht="15.75" x14ac:dyDescent="0.25">
      <c r="A584" s="12" t="s">
        <v>589</v>
      </c>
      <c r="B584" s="11">
        <v>0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</row>
    <row r="585" spans="1:60" ht="15.75" x14ac:dyDescent="0.25">
      <c r="A585" s="12" t="s">
        <v>590</v>
      </c>
      <c r="B585" s="11">
        <v>0</v>
      </c>
      <c r="C585" s="11">
        <v>0</v>
      </c>
      <c r="D585" s="11">
        <v>0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</row>
    <row r="586" spans="1:60" ht="15.75" x14ac:dyDescent="0.25">
      <c r="A586" s="12" t="s">
        <v>591</v>
      </c>
      <c r="B586" s="11">
        <v>0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</row>
    <row r="587" spans="1:60" ht="15.75" x14ac:dyDescent="0.25">
      <c r="A587" s="12" t="s">
        <v>592</v>
      </c>
      <c r="B587" s="11">
        <v>0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</row>
    <row r="588" spans="1:60" ht="15.75" x14ac:dyDescent="0.25">
      <c r="A588" s="12" t="s">
        <v>593</v>
      </c>
      <c r="B588" s="11">
        <v>0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</row>
    <row r="589" spans="1:60" ht="15.75" x14ac:dyDescent="0.25">
      <c r="A589" s="12" t="s">
        <v>594</v>
      </c>
      <c r="B589" s="11">
        <v>0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</row>
    <row r="590" spans="1:60" ht="15.75" x14ac:dyDescent="0.25">
      <c r="A590" s="12" t="s">
        <v>595</v>
      </c>
      <c r="B590" s="11">
        <v>0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</row>
    <row r="591" spans="1:60" ht="15.75" x14ac:dyDescent="0.25">
      <c r="A591" s="12" t="s">
        <v>596</v>
      </c>
      <c r="B591" s="11">
        <v>0</v>
      </c>
      <c r="C591" s="11">
        <v>0</v>
      </c>
      <c r="D591" s="11">
        <v>0</v>
      </c>
      <c r="E591" s="11">
        <v>0.1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</row>
    <row r="592" spans="1:60" ht="15.75" x14ac:dyDescent="0.25">
      <c r="A592" s="12" t="s">
        <v>597</v>
      </c>
      <c r="B592" s="11">
        <v>0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</row>
    <row r="593" spans="1:60" ht="15.75" x14ac:dyDescent="0.25">
      <c r="A593" s="12" t="s">
        <v>598</v>
      </c>
      <c r="B593" s="11">
        <v>0</v>
      </c>
      <c r="C593" s="11">
        <v>0</v>
      </c>
      <c r="D593" s="11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</row>
    <row r="594" spans="1:60" ht="15.75" x14ac:dyDescent="0.25">
      <c r="A594" s="12" t="s">
        <v>599</v>
      </c>
      <c r="B594" s="11">
        <v>0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</row>
    <row r="595" spans="1:60" ht="15.75" x14ac:dyDescent="0.25">
      <c r="A595" s="12" t="s">
        <v>600</v>
      </c>
      <c r="B595" s="11">
        <v>0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</row>
    <row r="596" spans="1:60" ht="15.75" x14ac:dyDescent="0.25">
      <c r="A596" s="12" t="s">
        <v>601</v>
      </c>
      <c r="B596" s="11">
        <v>0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</row>
    <row r="597" spans="1:60" ht="15.75" x14ac:dyDescent="0.25">
      <c r="A597" s="12" t="s">
        <v>602</v>
      </c>
      <c r="B597" s="11">
        <v>0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</row>
    <row r="598" spans="1:60" ht="15.75" x14ac:dyDescent="0.25">
      <c r="A598" s="12" t="s">
        <v>603</v>
      </c>
      <c r="B598" s="11">
        <v>0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</row>
    <row r="599" spans="1:60" ht="15.75" x14ac:dyDescent="0.25">
      <c r="A599" s="12" t="s">
        <v>604</v>
      </c>
      <c r="B599" s="11">
        <v>0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</row>
    <row r="600" spans="1:60" ht="15.75" x14ac:dyDescent="0.25">
      <c r="A600" s="12" t="s">
        <v>605</v>
      </c>
      <c r="B600" s="11">
        <v>0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</row>
    <row r="601" spans="1:60" ht="15.75" x14ac:dyDescent="0.25">
      <c r="A601" s="12" t="s">
        <v>606</v>
      </c>
      <c r="B601" s="11">
        <v>0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</row>
    <row r="602" spans="1:60" ht="15.75" x14ac:dyDescent="0.25">
      <c r="A602" s="12" t="s">
        <v>607</v>
      </c>
      <c r="B602" s="11">
        <v>0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</row>
    <row r="603" spans="1:60" ht="15.75" x14ac:dyDescent="0.25">
      <c r="A603" s="12" t="s">
        <v>608</v>
      </c>
      <c r="B603" s="11">
        <v>0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</row>
    <row r="604" spans="1:60" ht="15.75" x14ac:dyDescent="0.25">
      <c r="A604" s="12" t="s">
        <v>609</v>
      </c>
      <c r="B604" s="11">
        <v>0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</row>
    <row r="605" spans="1:60" ht="15.75" x14ac:dyDescent="0.25">
      <c r="A605" s="12" t="s">
        <v>610</v>
      </c>
      <c r="B605" s="11">
        <v>0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</row>
    <row r="606" spans="1:60" ht="15.75" x14ac:dyDescent="0.25">
      <c r="A606" s="12" t="s">
        <v>611</v>
      </c>
      <c r="B606" s="11">
        <v>0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</row>
    <row r="607" spans="1:60" ht="15.75" x14ac:dyDescent="0.25">
      <c r="A607" s="12" t="s">
        <v>612</v>
      </c>
      <c r="B607" s="11">
        <v>0</v>
      </c>
      <c r="C607" s="11">
        <v>0.1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</row>
    <row r="608" spans="1:60" ht="15.75" x14ac:dyDescent="0.25">
      <c r="A608" s="12" t="s">
        <v>613</v>
      </c>
      <c r="B608" s="11">
        <v>0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</row>
    <row r="609" spans="1:60" ht="15.75" x14ac:dyDescent="0.25">
      <c r="A609" s="12" t="s">
        <v>614</v>
      </c>
      <c r="B609" s="11">
        <v>0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</row>
    <row r="610" spans="1:60" ht="15.75" x14ac:dyDescent="0.25">
      <c r="A610" s="12" t="s">
        <v>615</v>
      </c>
      <c r="B610" s="11">
        <v>0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</row>
    <row r="611" spans="1:60" ht="15.75" x14ac:dyDescent="0.25">
      <c r="A611" s="12" t="s">
        <v>616</v>
      </c>
      <c r="B611" s="11">
        <v>0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</row>
    <row r="612" spans="1:60" ht="15.75" x14ac:dyDescent="0.25">
      <c r="A612" s="12" t="s">
        <v>617</v>
      </c>
      <c r="B612" s="11">
        <v>0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</row>
    <row r="613" spans="1:60" ht="15.75" x14ac:dyDescent="0.25">
      <c r="A613" s="12" t="s">
        <v>618</v>
      </c>
      <c r="B613" s="11">
        <v>0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</row>
    <row r="614" spans="1:60" ht="15.75" x14ac:dyDescent="0.25">
      <c r="A614" s="12" t="s">
        <v>619</v>
      </c>
      <c r="B614" s="11">
        <v>0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</row>
    <row r="615" spans="1:60" ht="15.75" x14ac:dyDescent="0.25">
      <c r="A615" s="12" t="s">
        <v>620</v>
      </c>
      <c r="B615" s="11">
        <v>0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</row>
    <row r="616" spans="1:60" ht="15.75" x14ac:dyDescent="0.25">
      <c r="A616" s="12" t="s">
        <v>621</v>
      </c>
      <c r="B616" s="11">
        <v>0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</row>
    <row r="617" spans="1:60" ht="15.75" x14ac:dyDescent="0.25">
      <c r="A617" s="12" t="s">
        <v>622</v>
      </c>
      <c r="B617" s="11">
        <v>0</v>
      </c>
      <c r="C617" s="11">
        <v>0</v>
      </c>
      <c r="D617" s="11">
        <v>0</v>
      </c>
      <c r="E617" s="11">
        <v>-0.1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</row>
    <row r="618" spans="1:60" ht="15.75" x14ac:dyDescent="0.25">
      <c r="A618" s="12" t="s">
        <v>623</v>
      </c>
      <c r="B618" s="11">
        <v>0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</row>
    <row r="619" spans="1:60" ht="15.75" x14ac:dyDescent="0.25">
      <c r="A619" s="12" t="s">
        <v>624</v>
      </c>
      <c r="B619" s="11">
        <v>0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</row>
    <row r="620" spans="1:60" ht="15.75" x14ac:dyDescent="0.25">
      <c r="A620" s="12" t="s">
        <v>625</v>
      </c>
      <c r="B620" s="11">
        <v>0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</row>
    <row r="621" spans="1:60" ht="15.75" x14ac:dyDescent="0.25">
      <c r="A621" s="12" t="s">
        <v>626</v>
      </c>
      <c r="B621" s="11">
        <v>0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</row>
    <row r="622" spans="1:60" ht="15.75" x14ac:dyDescent="0.25">
      <c r="A622" s="12" t="s">
        <v>627</v>
      </c>
      <c r="B622" s="11">
        <v>0</v>
      </c>
      <c r="C622" s="11">
        <v>0</v>
      </c>
      <c r="D622" s="11">
        <v>0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</row>
    <row r="623" spans="1:60" ht="15.75" x14ac:dyDescent="0.25">
      <c r="A623" s="12" t="s">
        <v>628</v>
      </c>
      <c r="B623" s="11">
        <v>0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</row>
    <row r="624" spans="1:60" ht="15.75" x14ac:dyDescent="0.25">
      <c r="A624" s="12" t="s">
        <v>629</v>
      </c>
      <c r="B624" s="11">
        <v>0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</row>
    <row r="625" spans="1:60" ht="15.75" x14ac:dyDescent="0.25">
      <c r="A625" s="12" t="s">
        <v>630</v>
      </c>
      <c r="B625" s="11">
        <v>0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</row>
    <row r="626" spans="1:60" ht="15.75" x14ac:dyDescent="0.25">
      <c r="A626" s="12" t="s">
        <v>631</v>
      </c>
      <c r="B626" s="11">
        <v>0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</row>
    <row r="627" spans="1:60" ht="15.75" x14ac:dyDescent="0.25">
      <c r="A627" s="12" t="s">
        <v>632</v>
      </c>
      <c r="B627" s="11">
        <v>0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</row>
    <row r="628" spans="1:60" ht="15.75" x14ac:dyDescent="0.25">
      <c r="A628" s="12" t="s">
        <v>633</v>
      </c>
      <c r="B628" s="11">
        <v>0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</row>
    <row r="629" spans="1:60" ht="15.75" x14ac:dyDescent="0.25">
      <c r="A629" s="12" t="s">
        <v>634</v>
      </c>
      <c r="B629" s="11">
        <v>0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</row>
    <row r="630" spans="1:60" ht="15.75" x14ac:dyDescent="0.25">
      <c r="A630" s="12" t="s">
        <v>635</v>
      </c>
      <c r="B630" s="11">
        <v>0</v>
      </c>
      <c r="C630" s="11">
        <v>0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</row>
    <row r="631" spans="1:60" ht="15.75" x14ac:dyDescent="0.25">
      <c r="A631" s="12" t="s">
        <v>636</v>
      </c>
      <c r="B631" s="11">
        <v>0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</row>
    <row r="632" spans="1:60" ht="15.75" x14ac:dyDescent="0.25">
      <c r="A632" s="12" t="s">
        <v>637</v>
      </c>
      <c r="B632" s="11">
        <v>0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</row>
    <row r="633" spans="1:60" ht="15.75" x14ac:dyDescent="0.25">
      <c r="A633" s="12" t="s">
        <v>638</v>
      </c>
      <c r="B633" s="11">
        <v>0</v>
      </c>
      <c r="C633" s="11">
        <v>0</v>
      </c>
      <c r="D633" s="11">
        <v>0</v>
      </c>
      <c r="E633" s="11">
        <v>0</v>
      </c>
      <c r="F633" s="11">
        <v>0</v>
      </c>
      <c r="G633" s="11">
        <v>-0.1</v>
      </c>
      <c r="H633" s="11">
        <v>0</v>
      </c>
      <c r="I633" s="11">
        <v>0</v>
      </c>
      <c r="J633" s="11">
        <v>0</v>
      </c>
      <c r="K633" s="1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</row>
    <row r="634" spans="1:60" ht="15.75" x14ac:dyDescent="0.25">
      <c r="A634" s="12" t="s">
        <v>639</v>
      </c>
      <c r="B634" s="11">
        <v>0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</row>
    <row r="635" spans="1:60" ht="15.75" x14ac:dyDescent="0.25">
      <c r="A635" s="12" t="s">
        <v>640</v>
      </c>
      <c r="B635" s="11">
        <v>0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</row>
    <row r="636" spans="1:60" ht="15.75" x14ac:dyDescent="0.25">
      <c r="A636" s="12" t="s">
        <v>641</v>
      </c>
      <c r="B636" s="11">
        <v>0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</row>
    <row r="637" spans="1:60" ht="15.75" x14ac:dyDescent="0.25">
      <c r="A637" s="12" t="s">
        <v>642</v>
      </c>
      <c r="B637" s="11">
        <v>0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</row>
    <row r="638" spans="1:60" ht="15.75" x14ac:dyDescent="0.25">
      <c r="A638" s="12" t="s">
        <v>643</v>
      </c>
      <c r="B638" s="11">
        <v>0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</row>
    <row r="639" spans="1:60" ht="15.75" x14ac:dyDescent="0.25">
      <c r="A639" s="12" t="s">
        <v>644</v>
      </c>
      <c r="B639" s="11">
        <v>0</v>
      </c>
      <c r="C639" s="11">
        <v>0</v>
      </c>
      <c r="D639" s="11">
        <v>0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</row>
    <row r="640" spans="1:60" ht="15.75" x14ac:dyDescent="0.25">
      <c r="A640" s="12" t="s">
        <v>645</v>
      </c>
      <c r="B640" s="11">
        <v>0</v>
      </c>
      <c r="C640" s="11">
        <v>0</v>
      </c>
      <c r="D640" s="11">
        <v>0</v>
      </c>
      <c r="E640" s="11">
        <v>-0.1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</row>
    <row r="641" spans="1:60" ht="15.75" x14ac:dyDescent="0.25">
      <c r="A641" s="12" t="s">
        <v>646</v>
      </c>
      <c r="B641" s="11">
        <v>0</v>
      </c>
      <c r="C641" s="11">
        <v>0</v>
      </c>
      <c r="D641" s="11">
        <v>0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</row>
    <row r="642" spans="1:60" ht="15.75" x14ac:dyDescent="0.25">
      <c r="A642" s="12" t="s">
        <v>647</v>
      </c>
      <c r="B642" s="11">
        <v>0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</row>
    <row r="643" spans="1:60" ht="15.75" x14ac:dyDescent="0.25">
      <c r="A643" s="12" t="s">
        <v>648</v>
      </c>
      <c r="B643" s="11">
        <v>0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</row>
    <row r="644" spans="1:60" ht="15.75" x14ac:dyDescent="0.25">
      <c r="A644" s="12" t="s">
        <v>649</v>
      </c>
      <c r="B644" s="11">
        <v>0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</row>
    <row r="645" spans="1:60" ht="15.75" x14ac:dyDescent="0.25">
      <c r="A645" s="12" t="s">
        <v>650</v>
      </c>
      <c r="B645" s="11">
        <v>0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</row>
    <row r="646" spans="1:60" ht="15.75" x14ac:dyDescent="0.25">
      <c r="A646" s="12" t="s">
        <v>651</v>
      </c>
      <c r="B646" s="11">
        <v>0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</row>
    <row r="647" spans="1:60" ht="15.75" x14ac:dyDescent="0.25">
      <c r="A647" s="12" t="s">
        <v>652</v>
      </c>
      <c r="B647" s="11">
        <v>0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</row>
    <row r="648" spans="1:60" ht="15.75" x14ac:dyDescent="0.25">
      <c r="A648" s="12" t="s">
        <v>653</v>
      </c>
      <c r="B648" s="11">
        <v>0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</row>
    <row r="649" spans="1:60" ht="15.75" x14ac:dyDescent="0.25">
      <c r="A649" s="12" t="s">
        <v>654</v>
      </c>
      <c r="B649" s="11">
        <v>0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</row>
    <row r="650" spans="1:60" ht="15.75" x14ac:dyDescent="0.25">
      <c r="A650" s="12" t="s">
        <v>655</v>
      </c>
      <c r="B650" s="11">
        <v>0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</row>
    <row r="651" spans="1:60" ht="15.75" x14ac:dyDescent="0.25">
      <c r="A651" s="12" t="s">
        <v>656</v>
      </c>
      <c r="B651" s="11">
        <v>0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</row>
    <row r="652" spans="1:60" ht="15.75" x14ac:dyDescent="0.25">
      <c r="A652" s="12" t="s">
        <v>657</v>
      </c>
      <c r="B652" s="11">
        <v>0</v>
      </c>
      <c r="C652" s="11">
        <v>0</v>
      </c>
      <c r="D652" s="11">
        <v>0</v>
      </c>
      <c r="E652" s="11">
        <v>0</v>
      </c>
      <c r="F652" s="11">
        <v>0</v>
      </c>
      <c r="G652" s="11">
        <v>-0.1</v>
      </c>
      <c r="H652" s="11">
        <v>0</v>
      </c>
      <c r="I652" s="11">
        <v>0</v>
      </c>
      <c r="J652" s="11">
        <v>0</v>
      </c>
      <c r="K652" s="11">
        <v>0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</row>
    <row r="653" spans="1:60" ht="15.75" x14ac:dyDescent="0.25">
      <c r="A653" s="12" t="s">
        <v>658</v>
      </c>
      <c r="B653" s="11">
        <v>0</v>
      </c>
      <c r="C653" s="11">
        <v>0</v>
      </c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</row>
    <row r="654" spans="1:60" ht="15.75" x14ac:dyDescent="0.25">
      <c r="A654" s="12" t="s">
        <v>659</v>
      </c>
      <c r="B654" s="11">
        <v>0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</row>
    <row r="655" spans="1:60" ht="15.75" x14ac:dyDescent="0.25">
      <c r="A655" s="12" t="s">
        <v>660</v>
      </c>
      <c r="B655" s="11">
        <v>0</v>
      </c>
      <c r="C655" s="11">
        <v>0</v>
      </c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</row>
    <row r="656" spans="1:60" ht="15.75" x14ac:dyDescent="0.25">
      <c r="A656" s="12" t="s">
        <v>661</v>
      </c>
      <c r="B656" s="11">
        <v>0</v>
      </c>
      <c r="C656" s="11">
        <v>0</v>
      </c>
      <c r="D656" s="11">
        <v>0</v>
      </c>
      <c r="E656" s="11">
        <v>0.1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</row>
    <row r="657" spans="1:60" ht="15.75" x14ac:dyDescent="0.25">
      <c r="A657" s="12" t="s">
        <v>662</v>
      </c>
      <c r="B657" s="11">
        <v>0</v>
      </c>
      <c r="C657" s="11">
        <v>0</v>
      </c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-0.1</v>
      </c>
      <c r="J657" s="11">
        <v>0</v>
      </c>
      <c r="K657" s="1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</row>
    <row r="658" spans="1:60" ht="15.75" x14ac:dyDescent="0.25">
      <c r="A658" s="12" t="s">
        <v>663</v>
      </c>
      <c r="B658" s="11">
        <v>0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</row>
    <row r="659" spans="1:60" ht="15.75" x14ac:dyDescent="0.25">
      <c r="A659" s="12" t="s">
        <v>664</v>
      </c>
      <c r="B659" s="11">
        <v>0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</row>
    <row r="660" spans="1:60" ht="15.75" x14ac:dyDescent="0.25">
      <c r="A660" s="12" t="s">
        <v>665</v>
      </c>
      <c r="B660" s="11">
        <v>0</v>
      </c>
      <c r="C660" s="11">
        <v>0</v>
      </c>
      <c r="D660" s="11">
        <v>0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</row>
    <row r="661" spans="1:60" ht="15.75" x14ac:dyDescent="0.25">
      <c r="A661" s="12" t="s">
        <v>666</v>
      </c>
      <c r="B661" s="11">
        <v>0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</row>
    <row r="662" spans="1:60" ht="15.75" x14ac:dyDescent="0.25">
      <c r="A662" s="12" t="s">
        <v>667</v>
      </c>
      <c r="B662" s="11">
        <v>0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</row>
    <row r="663" spans="1:60" ht="15.75" x14ac:dyDescent="0.25">
      <c r="A663" s="12" t="s">
        <v>668</v>
      </c>
      <c r="B663" s="11">
        <v>0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</row>
    <row r="664" spans="1:60" ht="15.75" x14ac:dyDescent="0.25">
      <c r="A664" s="12" t="s">
        <v>669</v>
      </c>
      <c r="B664" s="11">
        <v>0</v>
      </c>
      <c r="C664" s="11">
        <v>0</v>
      </c>
      <c r="D664" s="11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</row>
    <row r="665" spans="1:60" ht="15.75" x14ac:dyDescent="0.25">
      <c r="A665" s="12" t="s">
        <v>670</v>
      </c>
      <c r="B665" s="11">
        <v>0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</row>
    <row r="666" spans="1:60" ht="15.75" x14ac:dyDescent="0.25">
      <c r="A666" s="12" t="s">
        <v>671</v>
      </c>
      <c r="B666" s="11">
        <v>0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</row>
    <row r="667" spans="1:60" ht="15.75" x14ac:dyDescent="0.25">
      <c r="A667" s="12" t="s">
        <v>672</v>
      </c>
      <c r="B667" s="11">
        <v>0</v>
      </c>
      <c r="C667" s="11">
        <v>0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</row>
    <row r="668" spans="1:60" ht="15.75" x14ac:dyDescent="0.25">
      <c r="A668" s="12" t="s">
        <v>673</v>
      </c>
      <c r="B668" s="11">
        <v>0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</row>
    <row r="669" spans="1:60" ht="15.75" x14ac:dyDescent="0.25">
      <c r="A669" s="12" t="s">
        <v>674</v>
      </c>
      <c r="B669" s="11">
        <v>0</v>
      </c>
      <c r="C669" s="11">
        <v>0</v>
      </c>
      <c r="D669" s="11">
        <v>0</v>
      </c>
      <c r="E669" s="11">
        <v>0</v>
      </c>
      <c r="F669" s="11">
        <v>0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</row>
    <row r="670" spans="1:60" ht="15.75" x14ac:dyDescent="0.25">
      <c r="A670" s="12" t="s">
        <v>675</v>
      </c>
      <c r="B670" s="11">
        <v>0</v>
      </c>
      <c r="C670" s="11">
        <v>0</v>
      </c>
      <c r="D670" s="11">
        <v>0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</row>
    <row r="671" spans="1:60" ht="15.75" x14ac:dyDescent="0.25">
      <c r="A671" s="12" t="s">
        <v>676</v>
      </c>
      <c r="B671" s="11">
        <v>0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</row>
    <row r="672" spans="1:60" ht="15.75" x14ac:dyDescent="0.25">
      <c r="A672" s="12" t="s">
        <v>677</v>
      </c>
      <c r="B672" s="11">
        <v>0</v>
      </c>
      <c r="C672" s="11">
        <v>0</v>
      </c>
      <c r="D672" s="11">
        <v>0</v>
      </c>
      <c r="E672" s="11">
        <v>0</v>
      </c>
      <c r="F672" s="11">
        <v>0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</row>
    <row r="673" spans="1:60" ht="15.75" x14ac:dyDescent="0.25">
      <c r="A673" s="12" t="s">
        <v>678</v>
      </c>
      <c r="B673" s="11">
        <v>0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</row>
    <row r="674" spans="1:60" ht="15.75" x14ac:dyDescent="0.25">
      <c r="A674" s="12" t="s">
        <v>679</v>
      </c>
      <c r="B674" s="11">
        <v>0</v>
      </c>
      <c r="C674" s="11">
        <v>0</v>
      </c>
      <c r="D674" s="11">
        <v>0</v>
      </c>
      <c r="E674" s="11">
        <v>0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</row>
    <row r="675" spans="1:60" ht="15.75" x14ac:dyDescent="0.25">
      <c r="A675" s="12" t="s">
        <v>680</v>
      </c>
      <c r="B675" s="11">
        <v>0</v>
      </c>
      <c r="C675" s="11">
        <v>0</v>
      </c>
      <c r="D675" s="11">
        <v>0</v>
      </c>
      <c r="E675" s="11">
        <v>0</v>
      </c>
      <c r="F675" s="11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</row>
    <row r="676" spans="1:60" ht="15.75" x14ac:dyDescent="0.25">
      <c r="A676" s="12" t="s">
        <v>681</v>
      </c>
      <c r="B676" s="11">
        <v>0</v>
      </c>
      <c r="C676" s="11">
        <v>0</v>
      </c>
      <c r="D676" s="11">
        <v>0</v>
      </c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</row>
    <row r="677" spans="1:60" ht="15.75" x14ac:dyDescent="0.25">
      <c r="A677" s="12" t="s">
        <v>682</v>
      </c>
      <c r="B677" s="11">
        <v>0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</row>
    <row r="678" spans="1:60" ht="15.75" x14ac:dyDescent="0.25">
      <c r="A678" s="12" t="s">
        <v>683</v>
      </c>
      <c r="B678" s="11">
        <v>0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</row>
    <row r="679" spans="1:60" ht="15.75" x14ac:dyDescent="0.25">
      <c r="A679" s="12" t="s">
        <v>684</v>
      </c>
      <c r="B679" s="11">
        <v>0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</row>
    <row r="680" spans="1:60" ht="15.75" x14ac:dyDescent="0.25">
      <c r="A680" s="12" t="s">
        <v>685</v>
      </c>
      <c r="B680" s="11">
        <v>0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</row>
    <row r="681" spans="1:60" ht="15.75" x14ac:dyDescent="0.25">
      <c r="A681" s="12" t="s">
        <v>686</v>
      </c>
      <c r="B681" s="11">
        <v>0</v>
      </c>
      <c r="C681" s="11">
        <v>0</v>
      </c>
      <c r="D681" s="11">
        <v>0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</row>
    <row r="682" spans="1:60" ht="15.75" x14ac:dyDescent="0.25">
      <c r="A682" s="12" t="s">
        <v>687</v>
      </c>
      <c r="B682" s="11">
        <v>0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0.1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</row>
    <row r="683" spans="1:60" ht="15.75" x14ac:dyDescent="0.25">
      <c r="A683" s="12" t="s">
        <v>688</v>
      </c>
      <c r="B683" s="11">
        <v>0</v>
      </c>
      <c r="C683" s="11">
        <v>0</v>
      </c>
      <c r="D683" s="11">
        <v>0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</row>
    <row r="684" spans="1:60" ht="15.75" x14ac:dyDescent="0.25">
      <c r="A684" s="12" t="s">
        <v>689</v>
      </c>
      <c r="B684" s="11">
        <v>0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</row>
    <row r="685" spans="1:60" ht="15.75" x14ac:dyDescent="0.25">
      <c r="A685" s="12" t="s">
        <v>690</v>
      </c>
      <c r="B685" s="11">
        <v>0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</row>
    <row r="686" spans="1:60" ht="15.75" x14ac:dyDescent="0.25">
      <c r="A686" s="12" t="s">
        <v>691</v>
      </c>
      <c r="B686" s="11">
        <v>0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</row>
    <row r="687" spans="1:60" ht="15.75" x14ac:dyDescent="0.25">
      <c r="A687" s="12" t="s">
        <v>692</v>
      </c>
      <c r="B687" s="11">
        <v>0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</row>
    <row r="688" spans="1:60" ht="15.75" x14ac:dyDescent="0.25">
      <c r="A688" s="12" t="s">
        <v>693</v>
      </c>
      <c r="B688" s="11">
        <v>0</v>
      </c>
      <c r="C688" s="11">
        <v>0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11">
        <v>0</v>
      </c>
      <c r="K688" s="11">
        <v>0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</row>
    <row r="689" spans="1:60" ht="15.75" x14ac:dyDescent="0.25">
      <c r="A689" s="12" t="s">
        <v>694</v>
      </c>
      <c r="B689" s="11">
        <v>0</v>
      </c>
      <c r="C689" s="11">
        <v>0</v>
      </c>
      <c r="D689" s="11">
        <v>0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</row>
    <row r="690" spans="1:60" ht="15.75" x14ac:dyDescent="0.25">
      <c r="A690" s="12" t="s">
        <v>695</v>
      </c>
      <c r="B690" s="11">
        <v>0</v>
      </c>
      <c r="C690" s="11">
        <v>0</v>
      </c>
      <c r="D690" s="11">
        <v>0</v>
      </c>
      <c r="E690" s="11">
        <v>0</v>
      </c>
      <c r="F690" s="11">
        <v>0</v>
      </c>
      <c r="G690" s="11">
        <v>0.1</v>
      </c>
      <c r="H690" s="11">
        <v>0</v>
      </c>
      <c r="I690" s="11">
        <v>0</v>
      </c>
      <c r="J690" s="11">
        <v>0</v>
      </c>
      <c r="K690" s="11">
        <v>0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</row>
    <row r="691" spans="1:60" ht="15.75" x14ac:dyDescent="0.25">
      <c r="A691" s="12" t="s">
        <v>696</v>
      </c>
      <c r="B691" s="11">
        <v>0</v>
      </c>
      <c r="C691" s="11">
        <v>0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0.1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</row>
    <row r="692" spans="1:60" ht="15.75" x14ac:dyDescent="0.25">
      <c r="A692" s="12" t="s">
        <v>697</v>
      </c>
      <c r="B692" s="11">
        <v>0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-0.1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</row>
    <row r="693" spans="1:60" ht="15.75" x14ac:dyDescent="0.25">
      <c r="A693" s="12" t="s">
        <v>698</v>
      </c>
      <c r="B693" s="11">
        <v>0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</row>
    <row r="694" spans="1:60" ht="15.75" x14ac:dyDescent="0.25">
      <c r="A694" s="12" t="s">
        <v>699</v>
      </c>
      <c r="B694" s="11">
        <v>0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</row>
    <row r="695" spans="1:60" ht="15.75" x14ac:dyDescent="0.25">
      <c r="A695" s="12" t="s">
        <v>700</v>
      </c>
      <c r="B695" s="11">
        <v>0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</row>
    <row r="696" spans="1:60" ht="15.75" x14ac:dyDescent="0.25">
      <c r="A696" s="12" t="s">
        <v>701</v>
      </c>
      <c r="B696" s="11">
        <v>0</v>
      </c>
      <c r="C696" s="11">
        <v>0</v>
      </c>
      <c r="D696" s="11">
        <v>0</v>
      </c>
      <c r="E696" s="11">
        <v>0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</row>
    <row r="697" spans="1:60" ht="15.75" x14ac:dyDescent="0.25">
      <c r="A697" s="12" t="s">
        <v>702</v>
      </c>
      <c r="B697" s="11">
        <v>0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</row>
    <row r="698" spans="1:60" ht="15.75" x14ac:dyDescent="0.25">
      <c r="A698" s="12" t="s">
        <v>703</v>
      </c>
      <c r="B698" s="11">
        <v>0</v>
      </c>
      <c r="C698" s="11">
        <v>0</v>
      </c>
      <c r="D698" s="11">
        <v>0</v>
      </c>
      <c r="E698" s="11">
        <v>0</v>
      </c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</row>
    <row r="699" spans="1:60" ht="15.75" x14ac:dyDescent="0.25">
      <c r="A699" s="12" t="s">
        <v>704</v>
      </c>
      <c r="B699" s="11">
        <v>0</v>
      </c>
      <c r="C699" s="11">
        <v>0</v>
      </c>
      <c r="D699" s="11">
        <v>0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</row>
    <row r="700" spans="1:60" ht="15.75" x14ac:dyDescent="0.25">
      <c r="A700" s="12" t="s">
        <v>705</v>
      </c>
      <c r="B700" s="11">
        <v>0</v>
      </c>
      <c r="C700" s="11">
        <v>0</v>
      </c>
      <c r="D700" s="11">
        <v>0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</row>
    <row r="701" spans="1:60" ht="15.75" x14ac:dyDescent="0.25">
      <c r="A701" s="12" t="s">
        <v>706</v>
      </c>
      <c r="B701" s="11">
        <v>0</v>
      </c>
      <c r="C701" s="11">
        <v>0</v>
      </c>
      <c r="D701" s="11">
        <v>0</v>
      </c>
      <c r="E701" s="11">
        <v>0</v>
      </c>
      <c r="F701" s="11">
        <v>0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</row>
    <row r="702" spans="1:60" ht="15.75" x14ac:dyDescent="0.25">
      <c r="A702" s="12" t="s">
        <v>707</v>
      </c>
      <c r="B702" s="11">
        <v>0</v>
      </c>
      <c r="C702" s="11">
        <v>0</v>
      </c>
      <c r="D702" s="11">
        <v>0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</row>
    <row r="703" spans="1:60" ht="15.75" x14ac:dyDescent="0.25">
      <c r="A703" s="12" t="s">
        <v>708</v>
      </c>
      <c r="B703" s="11">
        <v>0</v>
      </c>
      <c r="C703" s="11">
        <v>0</v>
      </c>
      <c r="D703" s="11">
        <v>0</v>
      </c>
      <c r="E703" s="11">
        <v>-0.1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</row>
    <row r="704" spans="1:60" ht="15.75" x14ac:dyDescent="0.25">
      <c r="A704" s="12" t="s">
        <v>709</v>
      </c>
      <c r="B704" s="11">
        <v>0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</row>
    <row r="705" spans="1:60" ht="15.75" x14ac:dyDescent="0.25">
      <c r="A705" s="12" t="s">
        <v>710</v>
      </c>
      <c r="B705" s="11">
        <v>0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</row>
    <row r="706" spans="1:60" ht="15.75" x14ac:dyDescent="0.25">
      <c r="A706" s="12" t="s">
        <v>711</v>
      </c>
      <c r="B706" s="11">
        <v>0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</row>
    <row r="707" spans="1:60" ht="15.75" x14ac:dyDescent="0.25">
      <c r="A707" s="12" t="s">
        <v>712</v>
      </c>
      <c r="B707" s="11">
        <v>0</v>
      </c>
      <c r="C707" s="11">
        <v>0</v>
      </c>
      <c r="D707" s="11">
        <v>0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</row>
    <row r="708" spans="1:60" ht="15.75" x14ac:dyDescent="0.25">
      <c r="A708" s="12" t="s">
        <v>713</v>
      </c>
      <c r="B708" s="11">
        <v>0</v>
      </c>
      <c r="C708" s="11">
        <v>0</v>
      </c>
      <c r="D708" s="11">
        <v>0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</row>
    <row r="709" spans="1:60" ht="15.75" x14ac:dyDescent="0.25">
      <c r="A709" s="12" t="s">
        <v>714</v>
      </c>
      <c r="B709" s="11">
        <v>0</v>
      </c>
      <c r="C709" s="11">
        <v>0</v>
      </c>
      <c r="D709" s="11">
        <v>0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</row>
    <row r="710" spans="1:60" ht="15.75" x14ac:dyDescent="0.25">
      <c r="A710" s="12" t="s">
        <v>715</v>
      </c>
      <c r="B710" s="11">
        <v>0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</row>
    <row r="711" spans="1:60" ht="15.75" x14ac:dyDescent="0.25">
      <c r="A711" s="12" t="s">
        <v>716</v>
      </c>
      <c r="B711" s="11">
        <v>0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</row>
    <row r="712" spans="1:60" ht="15.75" x14ac:dyDescent="0.25">
      <c r="A712" s="12" t="s">
        <v>717</v>
      </c>
      <c r="B712" s="11">
        <v>0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</row>
    <row r="713" spans="1:60" ht="15.75" x14ac:dyDescent="0.25">
      <c r="A713" s="12" t="s">
        <v>718</v>
      </c>
      <c r="B713" s="11">
        <v>0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-0.1</v>
      </c>
      <c r="J713" s="11">
        <v>0</v>
      </c>
      <c r="K713" s="11">
        <v>0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</row>
    <row r="714" spans="1:60" ht="15.75" x14ac:dyDescent="0.25">
      <c r="A714" s="12" t="s">
        <v>719</v>
      </c>
      <c r="B714" s="11">
        <v>0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</row>
    <row r="715" spans="1:60" ht="15.75" x14ac:dyDescent="0.25">
      <c r="A715" s="12" t="s">
        <v>720</v>
      </c>
      <c r="B715" s="11">
        <v>0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-0.1</v>
      </c>
      <c r="J715" s="11">
        <v>0</v>
      </c>
      <c r="K715" s="11">
        <v>0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</row>
    <row r="716" spans="1:60" ht="15.75" x14ac:dyDescent="0.25">
      <c r="A716" s="12" t="s">
        <v>721</v>
      </c>
      <c r="B716" s="11">
        <v>0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</row>
    <row r="717" spans="1:60" ht="15.75" x14ac:dyDescent="0.25">
      <c r="A717" s="12" t="s">
        <v>722</v>
      </c>
      <c r="B717" s="11">
        <v>0</v>
      </c>
      <c r="C717" s="11">
        <v>0</v>
      </c>
      <c r="D717" s="11">
        <v>0</v>
      </c>
      <c r="E717" s="11">
        <v>0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</row>
    <row r="718" spans="1:60" ht="15.75" x14ac:dyDescent="0.25">
      <c r="A718" s="12" t="s">
        <v>723</v>
      </c>
      <c r="B718" s="11">
        <v>0</v>
      </c>
      <c r="C718" s="11">
        <v>0</v>
      </c>
      <c r="D718" s="11">
        <v>0</v>
      </c>
      <c r="E718" s="11">
        <v>0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</row>
    <row r="719" spans="1:60" ht="15.75" x14ac:dyDescent="0.25">
      <c r="A719" s="12" t="s">
        <v>724</v>
      </c>
      <c r="B719" s="11">
        <v>0</v>
      </c>
      <c r="C719" s="11">
        <v>0</v>
      </c>
      <c r="D719" s="11">
        <v>0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</row>
    <row r="720" spans="1:60" ht="15.75" x14ac:dyDescent="0.25">
      <c r="A720" s="12" t="s">
        <v>725</v>
      </c>
      <c r="B720" s="11">
        <v>0</v>
      </c>
      <c r="C720" s="11">
        <v>0</v>
      </c>
      <c r="D720" s="11">
        <v>0</v>
      </c>
      <c r="E720" s="11">
        <v>0</v>
      </c>
      <c r="F720" s="11">
        <v>0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</row>
    <row r="721" spans="1:60" ht="15.75" x14ac:dyDescent="0.25">
      <c r="A721" s="12" t="s">
        <v>726</v>
      </c>
      <c r="B721" s="11">
        <v>0.1</v>
      </c>
      <c r="C721" s="11">
        <v>0</v>
      </c>
      <c r="D721" s="11">
        <v>0.1</v>
      </c>
      <c r="E721" s="11">
        <v>0</v>
      </c>
      <c r="F721" s="11">
        <v>0</v>
      </c>
      <c r="G721" s="11">
        <v>0</v>
      </c>
      <c r="H721" s="11">
        <v>0</v>
      </c>
      <c r="I721" s="11">
        <v>-0.1</v>
      </c>
      <c r="J721" s="11">
        <v>0</v>
      </c>
      <c r="K721" s="11">
        <v>0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</row>
    <row r="722" spans="1:60" ht="15.75" x14ac:dyDescent="0.25">
      <c r="A722" s="12" t="s">
        <v>727</v>
      </c>
      <c r="B722" s="11">
        <v>0</v>
      </c>
      <c r="C722" s="11">
        <v>0</v>
      </c>
      <c r="D722" s="11">
        <v>0</v>
      </c>
      <c r="E722" s="11">
        <v>0</v>
      </c>
      <c r="F722" s="11">
        <v>0</v>
      </c>
      <c r="G722" s="11">
        <v>0</v>
      </c>
      <c r="H722" s="11">
        <v>0</v>
      </c>
      <c r="I722" s="11">
        <v>0.1</v>
      </c>
      <c r="J722" s="11">
        <v>0</v>
      </c>
      <c r="K722" s="11">
        <v>0</v>
      </c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</row>
    <row r="723" spans="1:60" ht="15.75" x14ac:dyDescent="0.25">
      <c r="A723" s="12" t="s">
        <v>728</v>
      </c>
      <c r="B723" s="11">
        <v>0</v>
      </c>
      <c r="C723" s="11">
        <v>0</v>
      </c>
      <c r="D723" s="11">
        <v>0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</row>
    <row r="724" spans="1:60" ht="15.75" x14ac:dyDescent="0.25">
      <c r="A724" s="12" t="s">
        <v>729</v>
      </c>
      <c r="B724" s="11">
        <v>0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</row>
    <row r="725" spans="1:60" ht="15.75" x14ac:dyDescent="0.25">
      <c r="A725" s="12" t="s">
        <v>730</v>
      </c>
      <c r="B725" s="11">
        <v>0</v>
      </c>
      <c r="C725" s="11">
        <v>0</v>
      </c>
      <c r="D725" s="11">
        <v>-0.1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</row>
    <row r="726" spans="1:60" ht="15.75" x14ac:dyDescent="0.25">
      <c r="A726" s="12" t="s">
        <v>731</v>
      </c>
      <c r="B726" s="11">
        <v>0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</row>
    <row r="727" spans="1:60" ht="15.75" x14ac:dyDescent="0.25">
      <c r="A727" s="12" t="s">
        <v>732</v>
      </c>
      <c r="B727" s="11">
        <v>0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</row>
    <row r="728" spans="1:60" ht="15.75" x14ac:dyDescent="0.25">
      <c r="A728" s="12" t="s">
        <v>733</v>
      </c>
      <c r="B728" s="11">
        <v>0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</row>
    <row r="729" spans="1:60" ht="15.75" x14ac:dyDescent="0.25">
      <c r="A729" s="12" t="s">
        <v>734</v>
      </c>
      <c r="B729" s="11">
        <v>0</v>
      </c>
      <c r="C729" s="11">
        <v>0</v>
      </c>
      <c r="D729" s="11">
        <v>0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</row>
    <row r="730" spans="1:60" ht="15.75" x14ac:dyDescent="0.25">
      <c r="A730" s="12" t="s">
        <v>735</v>
      </c>
      <c r="B730" s="11">
        <v>0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0</v>
      </c>
      <c r="I730" s="11">
        <v>0.1</v>
      </c>
      <c r="J730" s="11">
        <v>0</v>
      </c>
      <c r="K730" s="1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</row>
    <row r="731" spans="1:60" ht="15.75" x14ac:dyDescent="0.25">
      <c r="A731" s="12" t="s">
        <v>736</v>
      </c>
      <c r="B731" s="11">
        <v>0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-0.1</v>
      </c>
      <c r="J731" s="11">
        <v>0</v>
      </c>
      <c r="K731" s="11">
        <v>0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</row>
    <row r="732" spans="1:60" ht="15.75" x14ac:dyDescent="0.25">
      <c r="A732" s="12" t="s">
        <v>737</v>
      </c>
      <c r="B732" s="11">
        <v>0</v>
      </c>
      <c r="C732" s="11">
        <v>0</v>
      </c>
      <c r="D732" s="11">
        <v>0</v>
      </c>
      <c r="E732" s="11">
        <v>0</v>
      </c>
      <c r="F732" s="11">
        <v>0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</row>
    <row r="733" spans="1:60" ht="15.75" x14ac:dyDescent="0.25">
      <c r="A733" s="12" t="s">
        <v>738</v>
      </c>
      <c r="B733" s="11">
        <v>0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0.1</v>
      </c>
      <c r="J733" s="11">
        <v>0</v>
      </c>
      <c r="K733" s="1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</row>
    <row r="734" spans="1:60" ht="15.75" x14ac:dyDescent="0.25">
      <c r="A734" s="12" t="s">
        <v>739</v>
      </c>
      <c r="B734" s="11">
        <v>0</v>
      </c>
      <c r="C734" s="11">
        <v>0</v>
      </c>
      <c r="D734" s="11">
        <v>0</v>
      </c>
      <c r="E734" s="11">
        <v>0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</row>
    <row r="735" spans="1:60" ht="15.75" x14ac:dyDescent="0.25">
      <c r="A735" s="12" t="s">
        <v>740</v>
      </c>
      <c r="B735" s="11">
        <v>0</v>
      </c>
      <c r="C735" s="11">
        <v>0</v>
      </c>
      <c r="D735" s="11">
        <v>-0.1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</row>
    <row r="736" spans="1:60" ht="15.75" x14ac:dyDescent="0.25">
      <c r="A736" s="12" t="s">
        <v>741</v>
      </c>
      <c r="B736" s="11">
        <v>0</v>
      </c>
      <c r="C736" s="11">
        <v>0</v>
      </c>
      <c r="D736" s="11">
        <v>0</v>
      </c>
      <c r="E736" s="11">
        <v>0</v>
      </c>
      <c r="F736" s="11">
        <v>0</v>
      </c>
      <c r="G736" s="11">
        <v>0</v>
      </c>
      <c r="H736" s="11">
        <v>0</v>
      </c>
      <c r="I736" s="11">
        <v>-0.1</v>
      </c>
      <c r="J736" s="11">
        <v>0</v>
      </c>
      <c r="K736" s="11">
        <v>0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</row>
    <row r="737" spans="1:60" ht="15.75" x14ac:dyDescent="0.25">
      <c r="A737" s="12" t="s">
        <v>742</v>
      </c>
      <c r="B737" s="11">
        <v>0</v>
      </c>
      <c r="C737" s="11">
        <v>-0.1</v>
      </c>
      <c r="D737" s="11">
        <v>0</v>
      </c>
      <c r="E737" s="11">
        <v>0</v>
      </c>
      <c r="F737" s="11">
        <v>0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</row>
    <row r="738" spans="1:60" ht="15.75" x14ac:dyDescent="0.25">
      <c r="A738" s="12" t="s">
        <v>743</v>
      </c>
      <c r="B738" s="11">
        <v>0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0.1</v>
      </c>
      <c r="J738" s="11">
        <v>0</v>
      </c>
      <c r="K738" s="1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</row>
    <row r="739" spans="1:60" ht="15.75" x14ac:dyDescent="0.25">
      <c r="A739" s="12" t="s">
        <v>744</v>
      </c>
      <c r="B739" s="11">
        <v>0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</row>
    <row r="740" spans="1:60" ht="15.75" x14ac:dyDescent="0.25">
      <c r="A740" s="12" t="s">
        <v>745</v>
      </c>
      <c r="B740" s="11">
        <v>0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</row>
    <row r="741" spans="1:60" ht="15.75" x14ac:dyDescent="0.25">
      <c r="A741" s="12" t="s">
        <v>746</v>
      </c>
      <c r="B741" s="11">
        <v>0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</row>
    <row r="742" spans="1:60" ht="15.75" x14ac:dyDescent="0.25">
      <c r="A742" s="12" t="s">
        <v>747</v>
      </c>
      <c r="B742" s="11">
        <v>0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</row>
    <row r="743" spans="1:60" ht="15.75" x14ac:dyDescent="0.25">
      <c r="A743" s="12" t="s">
        <v>748</v>
      </c>
      <c r="B743" s="11">
        <v>0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</row>
    <row r="744" spans="1:60" ht="15.75" x14ac:dyDescent="0.25">
      <c r="A744" s="12" t="s">
        <v>749</v>
      </c>
      <c r="B744" s="11">
        <v>0</v>
      </c>
      <c r="C744" s="11">
        <v>0</v>
      </c>
      <c r="D744" s="11">
        <v>0</v>
      </c>
      <c r="E744" s="11">
        <v>0</v>
      </c>
      <c r="F744" s="11">
        <v>0</v>
      </c>
      <c r="G744" s="11">
        <v>0</v>
      </c>
      <c r="H744" s="11">
        <v>-0.1</v>
      </c>
      <c r="I744" s="11">
        <v>0</v>
      </c>
      <c r="J744" s="11">
        <v>0</v>
      </c>
      <c r="K744" s="11">
        <v>0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</row>
    <row r="745" spans="1:60" ht="15.75" x14ac:dyDescent="0.25">
      <c r="A745" s="12" t="s">
        <v>750</v>
      </c>
      <c r="B745" s="11">
        <v>0</v>
      </c>
      <c r="C745" s="11">
        <v>0.1</v>
      </c>
      <c r="D745" s="11">
        <v>0</v>
      </c>
      <c r="E745" s="11">
        <v>0</v>
      </c>
      <c r="F745" s="11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</row>
    <row r="746" spans="1:60" ht="15.75" x14ac:dyDescent="0.25">
      <c r="A746" s="12" t="s">
        <v>751</v>
      </c>
      <c r="B746" s="11">
        <v>0</v>
      </c>
      <c r="C746" s="11">
        <v>0</v>
      </c>
      <c r="D746" s="11">
        <v>0</v>
      </c>
      <c r="E746" s="11">
        <v>0</v>
      </c>
      <c r="F746" s="11">
        <v>0</v>
      </c>
      <c r="G746" s="11">
        <v>0</v>
      </c>
      <c r="H746" s="11">
        <v>0</v>
      </c>
      <c r="I746" s="11">
        <v>-0.1</v>
      </c>
      <c r="J746" s="11">
        <v>0</v>
      </c>
      <c r="K746" s="1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</row>
    <row r="747" spans="1:60" ht="15.75" x14ac:dyDescent="0.25">
      <c r="A747" s="12" t="s">
        <v>752</v>
      </c>
      <c r="B747" s="11">
        <v>0</v>
      </c>
      <c r="C747" s="11">
        <v>0</v>
      </c>
      <c r="D747" s="11">
        <v>0</v>
      </c>
      <c r="E747" s="11">
        <v>0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</row>
    <row r="748" spans="1:60" ht="15.75" x14ac:dyDescent="0.25">
      <c r="A748" s="12" t="s">
        <v>753</v>
      </c>
      <c r="B748" s="11">
        <v>0</v>
      </c>
      <c r="C748" s="11">
        <v>0</v>
      </c>
      <c r="D748" s="11">
        <v>0</v>
      </c>
      <c r="E748" s="11">
        <v>0</v>
      </c>
      <c r="F748" s="11">
        <v>0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</row>
    <row r="749" spans="1:60" ht="15.75" x14ac:dyDescent="0.25">
      <c r="A749" s="12" t="s">
        <v>754</v>
      </c>
      <c r="B749" s="11">
        <v>0</v>
      </c>
      <c r="C749" s="11">
        <v>0</v>
      </c>
      <c r="D749" s="11">
        <v>0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</row>
    <row r="750" spans="1:60" ht="15.75" x14ac:dyDescent="0.25">
      <c r="A750" s="12" t="s">
        <v>755</v>
      </c>
      <c r="B750" s="11">
        <v>0</v>
      </c>
      <c r="C750" s="11">
        <v>0.1</v>
      </c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</row>
    <row r="751" spans="1:60" ht="15.75" x14ac:dyDescent="0.25">
      <c r="A751" s="12" t="s">
        <v>756</v>
      </c>
      <c r="B751" s="11">
        <v>0</v>
      </c>
      <c r="C751" s="11">
        <v>0</v>
      </c>
      <c r="D751" s="11">
        <v>0</v>
      </c>
      <c r="E751" s="11">
        <v>0</v>
      </c>
      <c r="F751" s="11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</row>
    <row r="752" spans="1:60" ht="15.75" x14ac:dyDescent="0.25">
      <c r="A752" s="12" t="s">
        <v>757</v>
      </c>
      <c r="B752" s="11">
        <v>0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</row>
    <row r="753" spans="1:60" ht="15.75" x14ac:dyDescent="0.25">
      <c r="A753" s="12" t="s">
        <v>758</v>
      </c>
      <c r="B753" s="11">
        <v>0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</row>
    <row r="754" spans="1:60" ht="15.75" x14ac:dyDescent="0.25">
      <c r="A754" s="12" t="s">
        <v>759</v>
      </c>
      <c r="B754" s="11">
        <v>0</v>
      </c>
      <c r="C754" s="11">
        <v>0</v>
      </c>
      <c r="D754" s="11">
        <v>0</v>
      </c>
      <c r="E754" s="11">
        <v>0</v>
      </c>
      <c r="F754" s="11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</row>
    <row r="755" spans="1:60" ht="15.75" x14ac:dyDescent="0.25">
      <c r="A755" s="12" t="s">
        <v>760</v>
      </c>
      <c r="B755" s="11">
        <v>0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</row>
    <row r="756" spans="1:60" ht="15.75" x14ac:dyDescent="0.25">
      <c r="A756" s="12" t="s">
        <v>761</v>
      </c>
      <c r="B756" s="11">
        <v>0</v>
      </c>
      <c r="C756" s="11">
        <v>0</v>
      </c>
      <c r="D756" s="11">
        <v>0</v>
      </c>
      <c r="E756" s="11">
        <v>0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</row>
    <row r="757" spans="1:60" ht="15.75" x14ac:dyDescent="0.25">
      <c r="A757" s="12" t="s">
        <v>762</v>
      </c>
      <c r="B757" s="11">
        <v>0</v>
      </c>
      <c r="C757" s="11">
        <v>0.1</v>
      </c>
      <c r="D757" s="11">
        <v>0.1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</row>
    <row r="758" spans="1:60" ht="15.75" x14ac:dyDescent="0.25">
      <c r="A758" s="12" t="s">
        <v>763</v>
      </c>
      <c r="B758" s="11">
        <v>0</v>
      </c>
      <c r="C758" s="11">
        <v>0</v>
      </c>
      <c r="D758" s="11">
        <v>-0.1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</row>
    <row r="759" spans="1:60" ht="15.75" x14ac:dyDescent="0.25">
      <c r="A759" s="12" t="s">
        <v>764</v>
      </c>
      <c r="B759" s="11">
        <v>0</v>
      </c>
      <c r="C759" s="11">
        <v>0</v>
      </c>
      <c r="D759" s="11">
        <v>0.1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</row>
    <row r="760" spans="1:60" ht="15.75" x14ac:dyDescent="0.25">
      <c r="A760" s="12" t="s">
        <v>765</v>
      </c>
      <c r="B760" s="11">
        <v>0</v>
      </c>
      <c r="C760" s="11">
        <v>0</v>
      </c>
      <c r="D760" s="11">
        <v>0</v>
      </c>
      <c r="E760" s="11">
        <v>0</v>
      </c>
      <c r="F760" s="11">
        <v>0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</row>
    <row r="761" spans="1:60" ht="15.75" x14ac:dyDescent="0.25">
      <c r="A761" s="12" t="s">
        <v>766</v>
      </c>
      <c r="B761" s="11">
        <v>0</v>
      </c>
      <c r="C761" s="11">
        <v>0</v>
      </c>
      <c r="D761" s="11">
        <v>0</v>
      </c>
      <c r="E761" s="11">
        <v>0</v>
      </c>
      <c r="F761" s="11">
        <v>0</v>
      </c>
      <c r="G761" s="11">
        <v>0</v>
      </c>
      <c r="H761" s="11">
        <v>0</v>
      </c>
      <c r="I761" s="11">
        <v>0</v>
      </c>
      <c r="J761" s="11">
        <v>0</v>
      </c>
      <c r="K761" s="11">
        <v>0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</row>
    <row r="762" spans="1:60" ht="15.75" x14ac:dyDescent="0.25">
      <c r="A762" s="12" t="s">
        <v>767</v>
      </c>
      <c r="B762" s="11">
        <v>0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</row>
    <row r="763" spans="1:60" ht="15.75" x14ac:dyDescent="0.25">
      <c r="A763" s="12" t="s">
        <v>768</v>
      </c>
      <c r="B763" s="11">
        <v>0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</row>
    <row r="764" spans="1:60" ht="15.75" x14ac:dyDescent="0.25">
      <c r="A764" s="12" t="s">
        <v>769</v>
      </c>
      <c r="B764" s="11">
        <v>0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</row>
    <row r="765" spans="1:60" ht="15.75" x14ac:dyDescent="0.25">
      <c r="A765" s="12" t="s">
        <v>770</v>
      </c>
      <c r="B765" s="11">
        <v>0</v>
      </c>
      <c r="C765" s="11">
        <v>0</v>
      </c>
      <c r="D765" s="11">
        <v>0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</row>
    <row r="766" spans="1:60" ht="15.75" x14ac:dyDescent="0.25">
      <c r="A766" s="12" t="s">
        <v>771</v>
      </c>
      <c r="B766" s="11">
        <v>0</v>
      </c>
      <c r="C766" s="11">
        <v>0</v>
      </c>
      <c r="D766" s="11">
        <v>0</v>
      </c>
      <c r="E766" s="11">
        <v>0</v>
      </c>
      <c r="F766" s="11">
        <v>0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</row>
    <row r="767" spans="1:60" ht="15.75" x14ac:dyDescent="0.25">
      <c r="A767" s="12" t="s">
        <v>772</v>
      </c>
      <c r="B767" s="11">
        <v>0</v>
      </c>
      <c r="C767" s="11">
        <v>0</v>
      </c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</row>
    <row r="768" spans="1:60" ht="15.75" x14ac:dyDescent="0.25">
      <c r="A768" s="12" t="s">
        <v>773</v>
      </c>
      <c r="B768" s="11">
        <v>0</v>
      </c>
      <c r="C768" s="11">
        <v>0</v>
      </c>
      <c r="D768" s="11">
        <v>0</v>
      </c>
      <c r="E768" s="11">
        <v>0</v>
      </c>
      <c r="F768" s="11">
        <v>0</v>
      </c>
      <c r="G768" s="11">
        <v>0</v>
      </c>
      <c r="H768" s="11">
        <v>-0.1</v>
      </c>
      <c r="I768" s="11">
        <v>0</v>
      </c>
      <c r="J768" s="11">
        <v>0</v>
      </c>
      <c r="K768" s="1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</row>
    <row r="769" spans="1:60" ht="15.75" x14ac:dyDescent="0.25">
      <c r="A769" s="12" t="s">
        <v>774</v>
      </c>
      <c r="B769" s="11">
        <v>0</v>
      </c>
      <c r="C769" s="11">
        <v>0</v>
      </c>
      <c r="D769" s="11">
        <v>0</v>
      </c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</row>
    <row r="770" spans="1:60" ht="15.75" x14ac:dyDescent="0.25">
      <c r="A770" s="12" t="s">
        <v>775</v>
      </c>
      <c r="B770" s="11">
        <v>0</v>
      </c>
      <c r="C770" s="11">
        <v>0</v>
      </c>
      <c r="D770" s="11">
        <v>-0.1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</row>
    <row r="771" spans="1:60" ht="15.75" x14ac:dyDescent="0.25">
      <c r="A771" s="12" t="s">
        <v>776</v>
      </c>
      <c r="B771" s="11">
        <v>0</v>
      </c>
      <c r="C771" s="11">
        <v>0</v>
      </c>
      <c r="D771" s="11">
        <v>0</v>
      </c>
      <c r="E771" s="11">
        <v>0</v>
      </c>
      <c r="F771" s="11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</row>
    <row r="772" spans="1:60" ht="15.75" x14ac:dyDescent="0.25">
      <c r="A772" s="12" t="s">
        <v>777</v>
      </c>
      <c r="B772" s="11">
        <v>0</v>
      </c>
      <c r="C772" s="11">
        <v>0</v>
      </c>
      <c r="D772" s="11">
        <v>0</v>
      </c>
      <c r="E772" s="11">
        <v>0</v>
      </c>
      <c r="F772" s="11">
        <v>0</v>
      </c>
      <c r="G772" s="11">
        <v>0</v>
      </c>
      <c r="H772" s="11">
        <v>0</v>
      </c>
      <c r="I772" s="11">
        <v>0</v>
      </c>
      <c r="J772" s="11">
        <v>0</v>
      </c>
      <c r="K772" s="1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</row>
    <row r="773" spans="1:60" ht="15.75" x14ac:dyDescent="0.25">
      <c r="A773" s="12" t="s">
        <v>778</v>
      </c>
      <c r="B773" s="11">
        <v>0</v>
      </c>
      <c r="C773" s="11">
        <v>0</v>
      </c>
      <c r="D773" s="11">
        <v>0</v>
      </c>
      <c r="E773" s="11">
        <v>0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</row>
    <row r="774" spans="1:60" ht="15.75" x14ac:dyDescent="0.25">
      <c r="A774" s="12" t="s">
        <v>779</v>
      </c>
      <c r="B774" s="11">
        <v>0</v>
      </c>
      <c r="C774" s="11">
        <v>0</v>
      </c>
      <c r="D774" s="11">
        <v>0</v>
      </c>
      <c r="E774" s="11">
        <v>0</v>
      </c>
      <c r="F774" s="11">
        <v>0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</row>
    <row r="775" spans="1:60" ht="15.75" x14ac:dyDescent="0.25">
      <c r="A775" s="12" t="s">
        <v>780</v>
      </c>
      <c r="B775" s="11">
        <v>0</v>
      </c>
      <c r="C775" s="11">
        <v>0</v>
      </c>
      <c r="D775" s="11">
        <v>0</v>
      </c>
      <c r="E775" s="11">
        <v>0</v>
      </c>
      <c r="F775" s="11">
        <v>0</v>
      </c>
      <c r="G775" s="11">
        <v>0</v>
      </c>
      <c r="H775" s="11">
        <v>0</v>
      </c>
      <c r="I775" s="11">
        <v>0</v>
      </c>
      <c r="J775" s="11">
        <v>0</v>
      </c>
      <c r="K775" s="11">
        <v>0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</row>
    <row r="776" spans="1:60" ht="15.75" x14ac:dyDescent="0.25">
      <c r="A776" s="12" t="s">
        <v>781</v>
      </c>
      <c r="B776" s="11">
        <v>0</v>
      </c>
      <c r="C776" s="11">
        <v>0</v>
      </c>
      <c r="D776" s="11">
        <v>0</v>
      </c>
      <c r="E776" s="11">
        <v>0</v>
      </c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</row>
    <row r="777" spans="1:60" ht="15.75" x14ac:dyDescent="0.25">
      <c r="A777" s="12" t="s">
        <v>782</v>
      </c>
      <c r="B777" s="11">
        <v>0</v>
      </c>
      <c r="C777" s="11">
        <v>0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</row>
    <row r="778" spans="1:60" ht="15.75" x14ac:dyDescent="0.25">
      <c r="A778" s="12" t="s">
        <v>783</v>
      </c>
      <c r="B778" s="11">
        <v>0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</row>
    <row r="779" spans="1:60" ht="15.75" x14ac:dyDescent="0.25">
      <c r="A779" s="12" t="s">
        <v>784</v>
      </c>
      <c r="B779" s="11">
        <v>0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</row>
    <row r="780" spans="1:60" ht="15.75" x14ac:dyDescent="0.25">
      <c r="A780" s="12" t="s">
        <v>785</v>
      </c>
      <c r="B780" s="11">
        <v>0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</row>
    <row r="781" spans="1:60" ht="15.75" x14ac:dyDescent="0.25">
      <c r="A781" s="12" t="s">
        <v>786</v>
      </c>
      <c r="B781" s="11">
        <v>0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</row>
    <row r="782" spans="1:60" ht="15.75" x14ac:dyDescent="0.25">
      <c r="A782" s="12" t="s">
        <v>787</v>
      </c>
      <c r="B782" s="11">
        <v>0</v>
      </c>
      <c r="C782" s="11">
        <v>0</v>
      </c>
      <c r="D782" s="11">
        <v>0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</row>
    <row r="783" spans="1:60" ht="15.75" x14ac:dyDescent="0.25">
      <c r="A783" s="12" t="s">
        <v>788</v>
      </c>
      <c r="B783" s="11">
        <v>0</v>
      </c>
      <c r="C783" s="11">
        <v>0.1</v>
      </c>
      <c r="D783" s="11">
        <v>0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</row>
    <row r="784" spans="1:60" ht="15.75" x14ac:dyDescent="0.25">
      <c r="A784" s="12" t="s">
        <v>789</v>
      </c>
      <c r="B784" s="11">
        <v>0</v>
      </c>
      <c r="C784" s="11">
        <v>0</v>
      </c>
      <c r="D784" s="11">
        <v>0</v>
      </c>
      <c r="E784" s="11">
        <v>0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</row>
    <row r="785" spans="1:60" ht="15.75" x14ac:dyDescent="0.25">
      <c r="A785" s="12" t="s">
        <v>790</v>
      </c>
      <c r="B785" s="11">
        <v>0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</row>
    <row r="786" spans="1:60" ht="15.75" x14ac:dyDescent="0.25">
      <c r="A786" s="12" t="s">
        <v>791</v>
      </c>
      <c r="B786" s="11">
        <v>0</v>
      </c>
      <c r="C786" s="11">
        <v>0</v>
      </c>
      <c r="D786" s="11">
        <v>0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</row>
    <row r="787" spans="1:60" ht="15.75" x14ac:dyDescent="0.25">
      <c r="A787" s="12" t="s">
        <v>792</v>
      </c>
      <c r="B787" s="11">
        <v>0</v>
      </c>
      <c r="C787" s="11">
        <v>0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</row>
    <row r="788" spans="1:60" ht="15.75" x14ac:dyDescent="0.25">
      <c r="A788" s="12" t="s">
        <v>793</v>
      </c>
      <c r="B788" s="11">
        <v>0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</row>
    <row r="789" spans="1:60" ht="15.75" x14ac:dyDescent="0.25">
      <c r="A789" s="12" t="s">
        <v>794</v>
      </c>
      <c r="B789" s="11">
        <v>0</v>
      </c>
      <c r="C789" s="11">
        <v>0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</row>
    <row r="790" spans="1:60" ht="15.75" x14ac:dyDescent="0.25">
      <c r="A790" s="12" t="s">
        <v>795</v>
      </c>
      <c r="B790" s="11">
        <v>0</v>
      </c>
      <c r="C790" s="11">
        <v>0</v>
      </c>
      <c r="D790" s="11">
        <v>0</v>
      </c>
      <c r="E790" s="11">
        <v>0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</row>
    <row r="791" spans="1:60" ht="15.75" x14ac:dyDescent="0.25">
      <c r="A791" s="12" t="s">
        <v>796</v>
      </c>
      <c r="B791" s="11">
        <v>0</v>
      </c>
      <c r="C791" s="11">
        <v>0</v>
      </c>
      <c r="D791" s="11">
        <v>0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</row>
    <row r="792" spans="1:60" ht="15.75" x14ac:dyDescent="0.25">
      <c r="A792" s="12" t="s">
        <v>797</v>
      </c>
      <c r="B792" s="11">
        <v>0</v>
      </c>
      <c r="C792" s="11">
        <v>0</v>
      </c>
      <c r="D792" s="11">
        <v>0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</row>
    <row r="793" spans="1:60" ht="15.75" x14ac:dyDescent="0.25">
      <c r="A793" s="12" t="s">
        <v>798</v>
      </c>
      <c r="B793" s="11">
        <v>0</v>
      </c>
      <c r="C793" s="11">
        <v>0</v>
      </c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</row>
    <row r="794" spans="1:60" ht="15.75" x14ac:dyDescent="0.25">
      <c r="A794" s="12" t="s">
        <v>799</v>
      </c>
      <c r="B794" s="11">
        <v>0</v>
      </c>
      <c r="C794" s="11">
        <v>0</v>
      </c>
      <c r="D794" s="11">
        <v>0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</row>
    <row r="795" spans="1:60" ht="15.75" x14ac:dyDescent="0.25">
      <c r="A795" s="12" t="s">
        <v>800</v>
      </c>
      <c r="B795" s="11">
        <v>0.1</v>
      </c>
      <c r="C795" s="11">
        <v>0.1</v>
      </c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</row>
    <row r="796" spans="1:60" ht="15.75" x14ac:dyDescent="0.25">
      <c r="A796" s="12" t="s">
        <v>801</v>
      </c>
      <c r="B796" s="11">
        <v>0</v>
      </c>
      <c r="C796" s="11">
        <v>0</v>
      </c>
      <c r="D796" s="11">
        <v>0</v>
      </c>
      <c r="E796" s="11">
        <v>0</v>
      </c>
      <c r="F796" s="11">
        <v>0</v>
      </c>
      <c r="G796" s="11">
        <v>0</v>
      </c>
      <c r="H796" s="11">
        <v>0</v>
      </c>
      <c r="I796" s="11">
        <v>0</v>
      </c>
      <c r="J796" s="11">
        <v>0</v>
      </c>
      <c r="K796" s="11">
        <v>0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</row>
    <row r="797" spans="1:60" ht="15.75" x14ac:dyDescent="0.25">
      <c r="A797" s="12" t="s">
        <v>802</v>
      </c>
      <c r="B797" s="11">
        <v>0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</row>
    <row r="798" spans="1:60" ht="15.75" x14ac:dyDescent="0.25">
      <c r="A798" s="12" t="s">
        <v>803</v>
      </c>
      <c r="B798" s="11">
        <v>0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</row>
    <row r="799" spans="1:60" ht="15.75" x14ac:dyDescent="0.25">
      <c r="A799" s="12" t="s">
        <v>804</v>
      </c>
      <c r="B799" s="11">
        <v>0</v>
      </c>
      <c r="C799" s="11">
        <v>0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</row>
    <row r="800" spans="1:60" ht="15.75" x14ac:dyDescent="0.25">
      <c r="A800" s="12" t="s">
        <v>805</v>
      </c>
      <c r="B800" s="11">
        <v>0</v>
      </c>
      <c r="C800" s="11">
        <v>0</v>
      </c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</row>
    <row r="801" spans="1:60" ht="15.75" x14ac:dyDescent="0.25">
      <c r="A801" s="12" t="s">
        <v>806</v>
      </c>
      <c r="B801" s="11">
        <v>0</v>
      </c>
      <c r="C801" s="11">
        <v>0</v>
      </c>
      <c r="D801" s="11">
        <v>0</v>
      </c>
      <c r="E801" s="11">
        <v>0</v>
      </c>
      <c r="F801" s="11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0.1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</row>
    <row r="802" spans="1:60" ht="15.75" x14ac:dyDescent="0.25">
      <c r="A802" s="12" t="s">
        <v>807</v>
      </c>
      <c r="B802" s="11">
        <v>0</v>
      </c>
      <c r="C802" s="11">
        <v>0</v>
      </c>
      <c r="D802" s="11">
        <v>0.1</v>
      </c>
      <c r="E802" s="11">
        <v>0</v>
      </c>
      <c r="F802" s="11">
        <v>0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</row>
    <row r="803" spans="1:60" ht="15.75" x14ac:dyDescent="0.25">
      <c r="A803" s="12" t="s">
        <v>808</v>
      </c>
      <c r="B803" s="11">
        <v>0</v>
      </c>
      <c r="C803" s="11">
        <v>-0.1</v>
      </c>
      <c r="D803" s="11">
        <v>0</v>
      </c>
      <c r="E803" s="11">
        <v>0</v>
      </c>
      <c r="F803" s="11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</row>
    <row r="804" spans="1:60" ht="15.75" x14ac:dyDescent="0.25">
      <c r="A804" s="12" t="s">
        <v>809</v>
      </c>
      <c r="B804" s="11">
        <v>0</v>
      </c>
      <c r="C804" s="11">
        <v>0</v>
      </c>
      <c r="D804" s="11">
        <v>0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</row>
    <row r="805" spans="1:60" ht="15.75" x14ac:dyDescent="0.25">
      <c r="A805" s="12" t="s">
        <v>810</v>
      </c>
      <c r="B805" s="11">
        <v>0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1">
        <v>0.1</v>
      </c>
      <c r="J805" s="11">
        <v>0</v>
      </c>
      <c r="K805" s="11">
        <v>0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</row>
    <row r="806" spans="1:60" ht="15.75" x14ac:dyDescent="0.25">
      <c r="A806" s="12" t="s">
        <v>811</v>
      </c>
      <c r="B806" s="11">
        <v>0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</row>
    <row r="807" spans="1:60" ht="15.75" x14ac:dyDescent="0.25">
      <c r="A807" s="12" t="s">
        <v>812</v>
      </c>
      <c r="B807" s="11">
        <v>0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</row>
    <row r="808" spans="1:60" ht="15.75" x14ac:dyDescent="0.25">
      <c r="A808" s="12" t="s">
        <v>813</v>
      </c>
      <c r="B808" s="11">
        <v>0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</row>
    <row r="809" spans="1:60" ht="15.75" x14ac:dyDescent="0.25">
      <c r="A809" s="12" t="s">
        <v>814</v>
      </c>
      <c r="B809" s="11">
        <v>0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-0.1</v>
      </c>
      <c r="J809" s="11">
        <v>0</v>
      </c>
      <c r="K809" s="11">
        <v>0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</row>
    <row r="810" spans="1:60" ht="15.75" x14ac:dyDescent="0.25">
      <c r="A810" s="12" t="s">
        <v>815</v>
      </c>
      <c r="B810" s="11">
        <v>0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</row>
    <row r="811" spans="1:60" ht="15.75" x14ac:dyDescent="0.25">
      <c r="A811" s="12" t="s">
        <v>816</v>
      </c>
      <c r="B811" s="11">
        <v>0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</row>
    <row r="812" spans="1:60" ht="15.75" x14ac:dyDescent="0.25">
      <c r="A812" s="12" t="s">
        <v>817</v>
      </c>
      <c r="B812" s="11">
        <v>0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</row>
    <row r="813" spans="1:60" ht="15.75" x14ac:dyDescent="0.25">
      <c r="A813" s="12" t="s">
        <v>818</v>
      </c>
      <c r="B813" s="11">
        <v>0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</row>
    <row r="814" spans="1:60" ht="15.75" x14ac:dyDescent="0.25">
      <c r="A814" s="12" t="s">
        <v>819</v>
      </c>
      <c r="B814" s="11">
        <v>0</v>
      </c>
      <c r="C814" s="11">
        <v>0.1</v>
      </c>
      <c r="D814" s="11">
        <v>0.1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</row>
    <row r="815" spans="1:60" ht="15.75" x14ac:dyDescent="0.25">
      <c r="A815" s="12" t="s">
        <v>820</v>
      </c>
      <c r="B815" s="11">
        <v>-0.1</v>
      </c>
      <c r="C815" s="11">
        <v>0</v>
      </c>
      <c r="D815" s="11">
        <v>-0.1</v>
      </c>
      <c r="E815" s="11">
        <v>0</v>
      </c>
      <c r="F815" s="11">
        <v>0</v>
      </c>
      <c r="G815" s="11">
        <v>0</v>
      </c>
      <c r="H815" s="11">
        <v>-0.1</v>
      </c>
      <c r="I815" s="11">
        <v>0</v>
      </c>
      <c r="J815" s="11">
        <v>0</v>
      </c>
      <c r="K815" s="11">
        <v>0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</row>
    <row r="816" spans="1:60" ht="15.75" x14ac:dyDescent="0.25">
      <c r="A816" s="12" t="s">
        <v>821</v>
      </c>
      <c r="B816" s="11">
        <v>0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0.1</v>
      </c>
      <c r="I816" s="11">
        <v>0</v>
      </c>
      <c r="J816" s="11">
        <v>0</v>
      </c>
      <c r="K816" s="11">
        <v>0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</row>
    <row r="817" spans="1:60" ht="15.75" x14ac:dyDescent="0.25">
      <c r="A817" s="12" t="s">
        <v>822</v>
      </c>
      <c r="B817" s="11">
        <v>0</v>
      </c>
      <c r="C817" s="11">
        <v>0</v>
      </c>
      <c r="D817" s="11">
        <v>0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0</v>
      </c>
      <c r="K817" s="11">
        <v>0</v>
      </c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</row>
    <row r="818" spans="1:60" ht="15.75" x14ac:dyDescent="0.25">
      <c r="A818" s="12" t="s">
        <v>823</v>
      </c>
      <c r="B818" s="11">
        <v>0</v>
      </c>
      <c r="C818" s="11">
        <v>0</v>
      </c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</row>
    <row r="819" spans="1:60" ht="15.75" x14ac:dyDescent="0.25">
      <c r="A819" s="12" t="s">
        <v>824</v>
      </c>
      <c r="B819" s="11">
        <v>0</v>
      </c>
      <c r="C819" s="11">
        <v>0.1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</row>
    <row r="820" spans="1:60" ht="15.75" x14ac:dyDescent="0.25">
      <c r="A820" s="12" t="s">
        <v>825</v>
      </c>
      <c r="B820" s="11">
        <v>0</v>
      </c>
      <c r="C820" s="11">
        <v>0</v>
      </c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</row>
    <row r="821" spans="1:60" ht="15.75" x14ac:dyDescent="0.25">
      <c r="A821" s="12" t="s">
        <v>826</v>
      </c>
      <c r="B821" s="11">
        <v>0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</row>
    <row r="822" spans="1:60" ht="15.75" x14ac:dyDescent="0.25">
      <c r="A822" s="12" t="s">
        <v>827</v>
      </c>
      <c r="B822" s="11">
        <v>0</v>
      </c>
      <c r="C822" s="11">
        <v>0</v>
      </c>
      <c r="D822" s="11">
        <v>0</v>
      </c>
      <c r="E822" s="11">
        <v>0</v>
      </c>
      <c r="F822" s="11">
        <v>0</v>
      </c>
      <c r="G822" s="11">
        <v>0.1</v>
      </c>
      <c r="H822" s="11">
        <v>0</v>
      </c>
      <c r="I822" s="11">
        <v>0</v>
      </c>
      <c r="J822" s="11">
        <v>0</v>
      </c>
      <c r="K822" s="11">
        <v>0.1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</row>
    <row r="823" spans="1:60" ht="15.75" x14ac:dyDescent="0.25">
      <c r="A823" s="12" t="s">
        <v>828</v>
      </c>
      <c r="B823" s="11">
        <v>0</v>
      </c>
      <c r="C823" s="11">
        <v>-0.1</v>
      </c>
      <c r="D823" s="11">
        <v>0</v>
      </c>
      <c r="E823" s="11">
        <v>0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</row>
    <row r="824" spans="1:60" ht="15.75" x14ac:dyDescent="0.25">
      <c r="A824" s="12" t="s">
        <v>829</v>
      </c>
      <c r="B824" s="11">
        <v>0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</row>
    <row r="825" spans="1:60" ht="15.75" x14ac:dyDescent="0.25">
      <c r="A825" s="12" t="s">
        <v>830</v>
      </c>
      <c r="B825" s="11">
        <v>0</v>
      </c>
      <c r="C825" s="11">
        <v>0</v>
      </c>
      <c r="D825" s="11">
        <v>0</v>
      </c>
      <c r="E825" s="11">
        <v>0</v>
      </c>
      <c r="F825" s="11">
        <v>0</v>
      </c>
      <c r="G825" s="11">
        <v>-0.1</v>
      </c>
      <c r="H825" s="11">
        <v>0</v>
      </c>
      <c r="I825" s="11">
        <v>0</v>
      </c>
      <c r="J825" s="11">
        <v>0</v>
      </c>
      <c r="K825" s="11">
        <v>0</v>
      </c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</row>
    <row r="826" spans="1:60" ht="15.75" x14ac:dyDescent="0.25">
      <c r="A826" s="12" t="s">
        <v>831</v>
      </c>
      <c r="B826" s="11">
        <v>0</v>
      </c>
      <c r="C826" s="11">
        <v>0.1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</row>
    <row r="827" spans="1:60" ht="15.75" x14ac:dyDescent="0.25">
      <c r="A827" s="12" t="s">
        <v>832</v>
      </c>
      <c r="B827" s="11">
        <v>0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0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</row>
    <row r="828" spans="1:60" ht="15.75" x14ac:dyDescent="0.25">
      <c r="A828" s="12" t="s">
        <v>833</v>
      </c>
      <c r="B828" s="11">
        <v>0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</row>
    <row r="829" spans="1:60" ht="15.75" x14ac:dyDescent="0.25">
      <c r="A829" s="12" t="s">
        <v>834</v>
      </c>
      <c r="B829" s="11">
        <v>0</v>
      </c>
      <c r="C829" s="11">
        <v>0.1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-0.1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</row>
    <row r="830" spans="1:60" ht="15.75" x14ac:dyDescent="0.25">
      <c r="A830" s="12" t="s">
        <v>835</v>
      </c>
      <c r="B830" s="11">
        <v>0</v>
      </c>
      <c r="C830" s="11">
        <v>0</v>
      </c>
      <c r="D830" s="11">
        <v>0</v>
      </c>
      <c r="E830" s="11">
        <v>0</v>
      </c>
      <c r="F830" s="11">
        <v>0.1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</row>
    <row r="831" spans="1:60" ht="15.75" x14ac:dyDescent="0.25">
      <c r="A831" s="12" t="s">
        <v>836</v>
      </c>
      <c r="B831" s="11">
        <v>0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</row>
    <row r="832" spans="1:60" ht="15.75" x14ac:dyDescent="0.25">
      <c r="A832" s="12" t="s">
        <v>837</v>
      </c>
      <c r="B832" s="11">
        <v>0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</row>
    <row r="833" spans="1:60" ht="15.75" x14ac:dyDescent="0.25">
      <c r="A833" s="12" t="s">
        <v>838</v>
      </c>
      <c r="B833" s="11">
        <v>0</v>
      </c>
      <c r="C833" s="11">
        <v>0.1</v>
      </c>
      <c r="D833" s="11">
        <v>0</v>
      </c>
      <c r="E833" s="11">
        <v>0</v>
      </c>
      <c r="F833" s="11">
        <v>0</v>
      </c>
      <c r="G833" s="11">
        <v>0</v>
      </c>
      <c r="H833" s="11">
        <v>0</v>
      </c>
      <c r="I833" s="11">
        <v>0</v>
      </c>
      <c r="J833" s="11">
        <v>0</v>
      </c>
      <c r="K833" s="11">
        <v>0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</row>
    <row r="834" spans="1:60" ht="15.75" x14ac:dyDescent="0.25">
      <c r="A834" s="12" t="s">
        <v>839</v>
      </c>
      <c r="B834" s="11">
        <v>0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</row>
    <row r="835" spans="1:60" ht="15.75" x14ac:dyDescent="0.25">
      <c r="A835" s="12" t="s">
        <v>840</v>
      </c>
      <c r="B835" s="11">
        <v>-0.1</v>
      </c>
      <c r="C835" s="11">
        <v>0</v>
      </c>
      <c r="D835" s="11">
        <v>-0.1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0.1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</row>
    <row r="836" spans="1:60" ht="15.75" x14ac:dyDescent="0.25">
      <c r="A836" s="12" t="s">
        <v>841</v>
      </c>
      <c r="B836" s="11">
        <v>0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</row>
    <row r="837" spans="1:60" ht="15.75" x14ac:dyDescent="0.25">
      <c r="A837" s="12" t="s">
        <v>842</v>
      </c>
      <c r="B837" s="11">
        <v>0</v>
      </c>
      <c r="C837" s="11">
        <v>0</v>
      </c>
      <c r="D837" s="11">
        <v>0</v>
      </c>
      <c r="E837" s="11">
        <v>-0.1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</row>
    <row r="838" spans="1:60" ht="15.75" x14ac:dyDescent="0.25">
      <c r="A838" s="12" t="s">
        <v>843</v>
      </c>
      <c r="B838" s="11">
        <v>0</v>
      </c>
      <c r="C838" s="11">
        <v>0</v>
      </c>
      <c r="D838" s="11">
        <v>0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</row>
    <row r="839" spans="1:60" ht="15.75" x14ac:dyDescent="0.25">
      <c r="A839" s="12" t="s">
        <v>844</v>
      </c>
      <c r="B839" s="11">
        <v>0</v>
      </c>
      <c r="C839" s="11">
        <v>0</v>
      </c>
      <c r="D839" s="11">
        <v>-0.1</v>
      </c>
      <c r="E839" s="11">
        <v>0</v>
      </c>
      <c r="F839" s="11">
        <v>0.1</v>
      </c>
      <c r="G839" s="11">
        <v>0</v>
      </c>
      <c r="H839" s="11">
        <v>-0.1</v>
      </c>
      <c r="I839" s="11">
        <v>0</v>
      </c>
      <c r="J839" s="11">
        <v>0</v>
      </c>
      <c r="K839" s="1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</row>
    <row r="840" spans="1:60" ht="15.75" x14ac:dyDescent="0.25">
      <c r="A840" s="12" t="s">
        <v>845</v>
      </c>
      <c r="B840" s="11">
        <v>0</v>
      </c>
      <c r="C840" s="11">
        <v>-0.1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</row>
    <row r="841" spans="1:60" ht="15.75" x14ac:dyDescent="0.25">
      <c r="A841" s="12" t="s">
        <v>846</v>
      </c>
      <c r="B841" s="11">
        <v>0</v>
      </c>
      <c r="C841" s="11">
        <v>0</v>
      </c>
      <c r="D841" s="11">
        <v>0.1</v>
      </c>
      <c r="E841" s="11">
        <v>0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-0.1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</row>
    <row r="842" spans="1:60" ht="15.75" x14ac:dyDescent="0.25">
      <c r="A842" s="12" t="s">
        <v>847</v>
      </c>
      <c r="B842" s="11">
        <v>0</v>
      </c>
      <c r="C842" s="11">
        <v>0</v>
      </c>
      <c r="D842" s="11">
        <v>0</v>
      </c>
      <c r="E842" s="11">
        <v>0</v>
      </c>
      <c r="F842" s="11">
        <v>0</v>
      </c>
      <c r="G842" s="11">
        <v>0</v>
      </c>
      <c r="H842" s="11">
        <v>0</v>
      </c>
      <c r="I842" s="11">
        <v>-0.1</v>
      </c>
      <c r="J842" s="11">
        <v>0</v>
      </c>
      <c r="K842" s="1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</row>
    <row r="843" spans="1:60" ht="15.75" x14ac:dyDescent="0.25">
      <c r="A843" s="12" t="s">
        <v>848</v>
      </c>
      <c r="B843" s="11">
        <v>0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</row>
    <row r="844" spans="1:60" ht="15.75" x14ac:dyDescent="0.25">
      <c r="A844" s="12" t="s">
        <v>849</v>
      </c>
      <c r="B844" s="11">
        <v>0</v>
      </c>
      <c r="C844" s="11">
        <v>0</v>
      </c>
      <c r="D844" s="11">
        <v>0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</row>
    <row r="845" spans="1:60" ht="15.75" x14ac:dyDescent="0.25">
      <c r="A845" s="12" t="s">
        <v>850</v>
      </c>
      <c r="B845" s="11">
        <v>0</v>
      </c>
      <c r="C845" s="11">
        <v>0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</row>
    <row r="846" spans="1:60" ht="15.75" x14ac:dyDescent="0.25">
      <c r="A846" s="12" t="s">
        <v>851</v>
      </c>
      <c r="B846" s="11">
        <v>0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</row>
    <row r="847" spans="1:60" ht="15.75" x14ac:dyDescent="0.25">
      <c r="A847" s="12" t="s">
        <v>852</v>
      </c>
      <c r="B847" s="11">
        <v>-0.1</v>
      </c>
      <c r="C847" s="11">
        <v>-0.1</v>
      </c>
      <c r="D847" s="11">
        <v>-0.1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</row>
    <row r="848" spans="1:60" ht="15.75" x14ac:dyDescent="0.25">
      <c r="A848" s="12" t="s">
        <v>853</v>
      </c>
      <c r="B848" s="11">
        <v>0.1</v>
      </c>
      <c r="C848" s="11">
        <v>0.1</v>
      </c>
      <c r="D848" s="11">
        <v>0.1</v>
      </c>
      <c r="E848" s="11">
        <v>0</v>
      </c>
      <c r="F848" s="11">
        <v>-0.1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</row>
    <row r="849" spans="1:60" ht="15.75" x14ac:dyDescent="0.25">
      <c r="A849" s="12" t="s">
        <v>854</v>
      </c>
      <c r="B849" s="11">
        <v>0</v>
      </c>
      <c r="C849" s="11">
        <v>0</v>
      </c>
      <c r="D849" s="11">
        <v>0</v>
      </c>
      <c r="E849" s="11">
        <v>-0.1</v>
      </c>
      <c r="F849" s="11">
        <v>0.1</v>
      </c>
      <c r="G849" s="11">
        <v>0</v>
      </c>
      <c r="H849" s="11">
        <v>0</v>
      </c>
      <c r="I849" s="11">
        <v>0</v>
      </c>
      <c r="J849" s="11">
        <v>0</v>
      </c>
      <c r="K849" s="11">
        <v>0.1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</row>
    <row r="850" spans="1:60" ht="15.75" x14ac:dyDescent="0.25">
      <c r="A850" s="12" t="s">
        <v>855</v>
      </c>
      <c r="B850" s="11">
        <v>0</v>
      </c>
      <c r="C850" s="11">
        <v>0</v>
      </c>
      <c r="D850" s="11">
        <v>0.1</v>
      </c>
      <c r="E850" s="11">
        <v>0</v>
      </c>
      <c r="F850" s="11">
        <v>-0.1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</row>
    <row r="851" spans="1:60" ht="15.75" x14ac:dyDescent="0.25">
      <c r="A851" s="12" t="s">
        <v>856</v>
      </c>
      <c r="B851" s="11">
        <v>0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</row>
    <row r="852" spans="1:60" ht="15.75" x14ac:dyDescent="0.25">
      <c r="A852" s="12" t="s">
        <v>857</v>
      </c>
      <c r="B852" s="11">
        <v>-0.1</v>
      </c>
      <c r="C852" s="11">
        <v>0</v>
      </c>
      <c r="D852" s="11">
        <v>-0.1</v>
      </c>
      <c r="E852" s="11">
        <v>0</v>
      </c>
      <c r="F852" s="11">
        <v>0</v>
      </c>
      <c r="G852" s="11">
        <v>0</v>
      </c>
      <c r="H852" s="11">
        <v>0.1</v>
      </c>
      <c r="I852" s="11">
        <v>0</v>
      </c>
      <c r="J852" s="11">
        <v>0</v>
      </c>
      <c r="K852" s="11">
        <v>0.1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</row>
    <row r="853" spans="1:60" ht="15.75" x14ac:dyDescent="0.25">
      <c r="A853" s="12" t="s">
        <v>858</v>
      </c>
      <c r="B853" s="11">
        <v>0</v>
      </c>
      <c r="C853" s="11">
        <v>0.1</v>
      </c>
      <c r="D853" s="11">
        <v>0.1</v>
      </c>
      <c r="E853" s="11">
        <v>0</v>
      </c>
      <c r="F853" s="11">
        <v>0</v>
      </c>
      <c r="G853" s="11">
        <v>0</v>
      </c>
      <c r="H853" s="11">
        <v>0</v>
      </c>
      <c r="I853" s="11">
        <v>0.1</v>
      </c>
      <c r="J853" s="11">
        <v>0</v>
      </c>
      <c r="K853" s="11">
        <v>-0.2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</row>
    <row r="854" spans="1:60" ht="15.75" x14ac:dyDescent="0.25">
      <c r="A854" s="12" t="s">
        <v>859</v>
      </c>
      <c r="B854" s="11">
        <v>0</v>
      </c>
      <c r="C854" s="11">
        <v>-0.1</v>
      </c>
      <c r="D854" s="11">
        <v>0</v>
      </c>
      <c r="E854" s="11">
        <v>0</v>
      </c>
      <c r="F854" s="11">
        <v>0.1</v>
      </c>
      <c r="G854" s="11">
        <v>0</v>
      </c>
      <c r="H854" s="11">
        <v>-0.1</v>
      </c>
      <c r="I854" s="11">
        <v>-0.1</v>
      </c>
      <c r="J854" s="11">
        <v>0</v>
      </c>
      <c r="K854" s="1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</row>
    <row r="855" spans="1:60" ht="15.75" x14ac:dyDescent="0.25">
      <c r="A855" s="12" t="s">
        <v>860</v>
      </c>
      <c r="B855" s="11">
        <v>0</v>
      </c>
      <c r="C855" s="11">
        <v>0.1</v>
      </c>
      <c r="D855" s="11">
        <v>0.1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</row>
    <row r="856" spans="1:60" ht="15.75" x14ac:dyDescent="0.25">
      <c r="A856" s="12" t="s">
        <v>861</v>
      </c>
      <c r="B856" s="11">
        <v>0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</row>
    <row r="857" spans="1:60" ht="15.75" x14ac:dyDescent="0.25">
      <c r="A857" s="12" t="s">
        <v>862</v>
      </c>
      <c r="B857" s="11">
        <v>0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-0.1</v>
      </c>
      <c r="K857" s="11">
        <v>0</v>
      </c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</row>
    <row r="858" spans="1:60" ht="15.75" x14ac:dyDescent="0.25">
      <c r="A858" s="12" t="s">
        <v>863</v>
      </c>
      <c r="B858" s="11">
        <v>0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0</v>
      </c>
      <c r="I858" s="11">
        <v>-0.1</v>
      </c>
      <c r="J858" s="11">
        <v>0</v>
      </c>
      <c r="K858" s="11">
        <v>0.1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</row>
    <row r="859" spans="1:60" ht="15.75" x14ac:dyDescent="0.25">
      <c r="A859" s="12" t="s">
        <v>864</v>
      </c>
      <c r="B859" s="11">
        <v>-0.1</v>
      </c>
      <c r="C859" s="11">
        <v>-0.1</v>
      </c>
      <c r="D859" s="11">
        <v>-0.2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</row>
    <row r="860" spans="1:60" ht="15.75" x14ac:dyDescent="0.25">
      <c r="A860" s="12" t="s">
        <v>865</v>
      </c>
      <c r="B860" s="11">
        <v>0.1</v>
      </c>
      <c r="C860" s="11">
        <v>0.1</v>
      </c>
      <c r="D860" s="11">
        <v>0.3</v>
      </c>
      <c r="E860" s="11">
        <v>0</v>
      </c>
      <c r="F860" s="11">
        <v>0</v>
      </c>
      <c r="G860" s="11">
        <v>0</v>
      </c>
      <c r="H860" s="11">
        <v>0</v>
      </c>
      <c r="I860" s="11">
        <v>-0.1</v>
      </c>
      <c r="J860" s="11">
        <v>0</v>
      </c>
      <c r="K860" s="11">
        <v>-0.1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</row>
    <row r="861" spans="1:60" ht="15.75" x14ac:dyDescent="0.25">
      <c r="A861" s="12" t="s">
        <v>866</v>
      </c>
      <c r="B861" s="11">
        <v>0</v>
      </c>
      <c r="C861" s="11">
        <v>0</v>
      </c>
      <c r="D861" s="11">
        <v>0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0.1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</row>
    <row r="862" spans="1:60" ht="15.75" x14ac:dyDescent="0.25">
      <c r="A862" s="12" t="s">
        <v>867</v>
      </c>
      <c r="B862" s="11">
        <v>0</v>
      </c>
      <c r="C862" s="11">
        <v>0</v>
      </c>
      <c r="D862" s="11">
        <v>0</v>
      </c>
      <c r="E862" s="11">
        <v>0.1</v>
      </c>
      <c r="F862" s="11">
        <v>0</v>
      </c>
      <c r="G862" s="11">
        <v>-0.1</v>
      </c>
      <c r="H862" s="11">
        <v>0.1</v>
      </c>
      <c r="I862" s="11">
        <v>0</v>
      </c>
      <c r="J862" s="11">
        <v>0.1</v>
      </c>
      <c r="K862" s="1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</row>
    <row r="863" spans="1:60" ht="15.75" x14ac:dyDescent="0.25">
      <c r="A863" s="12" t="s">
        <v>868</v>
      </c>
      <c r="B863" s="11">
        <v>0</v>
      </c>
      <c r="C863" s="11">
        <v>0</v>
      </c>
      <c r="D863" s="11">
        <v>0</v>
      </c>
      <c r="E863" s="11">
        <v>0</v>
      </c>
      <c r="F863" s="11">
        <v>0</v>
      </c>
      <c r="G863" s="11">
        <v>-0.1</v>
      </c>
      <c r="H863" s="11">
        <v>-0.1</v>
      </c>
      <c r="I863" s="11">
        <v>0.1</v>
      </c>
      <c r="J863" s="11">
        <v>0</v>
      </c>
      <c r="K863" s="1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</row>
    <row r="864" spans="1:60" ht="15.75" x14ac:dyDescent="0.25">
      <c r="A864" s="12" t="s">
        <v>869</v>
      </c>
      <c r="B864" s="11">
        <v>0</v>
      </c>
      <c r="C864" s="11">
        <v>-0.1</v>
      </c>
      <c r="D864" s="11">
        <v>-0.1</v>
      </c>
      <c r="E864" s="11">
        <v>0.1</v>
      </c>
      <c r="F864" s="11">
        <v>-0.1</v>
      </c>
      <c r="G864" s="11">
        <v>0</v>
      </c>
      <c r="H864" s="11">
        <v>0.1</v>
      </c>
      <c r="I864" s="11">
        <v>0.1</v>
      </c>
      <c r="J864" s="11">
        <v>0</v>
      </c>
      <c r="K864" s="1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</row>
    <row r="865" spans="1:60" ht="15.75" x14ac:dyDescent="0.25">
      <c r="A865" s="12" t="s">
        <v>870</v>
      </c>
      <c r="B865" s="11">
        <v>0</v>
      </c>
      <c r="C865" s="11">
        <v>0</v>
      </c>
      <c r="D865" s="11">
        <v>0</v>
      </c>
      <c r="E865" s="11">
        <v>0</v>
      </c>
      <c r="F865" s="11">
        <v>-0.1</v>
      </c>
      <c r="G865" s="11">
        <v>0</v>
      </c>
      <c r="H865" s="11">
        <v>0</v>
      </c>
      <c r="I865" s="11">
        <v>0.1</v>
      </c>
      <c r="J865" s="11">
        <v>0</v>
      </c>
      <c r="K865" s="11">
        <v>-0.1</v>
      </c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</row>
    <row r="866" spans="1:60" ht="15.75" x14ac:dyDescent="0.25">
      <c r="A866" s="12" t="s">
        <v>871</v>
      </c>
      <c r="B866" s="11">
        <v>-0.1</v>
      </c>
      <c r="C866" s="11">
        <v>0</v>
      </c>
      <c r="D866" s="11">
        <v>-0.1</v>
      </c>
      <c r="E866" s="11">
        <v>0</v>
      </c>
      <c r="F866" s="11">
        <v>0.1</v>
      </c>
      <c r="G866" s="11">
        <v>0</v>
      </c>
      <c r="H866" s="11">
        <v>0</v>
      </c>
      <c r="I866" s="11">
        <v>-0.2</v>
      </c>
      <c r="J866" s="11">
        <v>0</v>
      </c>
      <c r="K866" s="11">
        <v>0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</row>
    <row r="867" spans="1:60" ht="15.75" x14ac:dyDescent="0.25">
      <c r="A867" s="12" t="s">
        <v>872</v>
      </c>
      <c r="B867" s="11">
        <v>0.1</v>
      </c>
      <c r="C867" s="11">
        <v>0</v>
      </c>
      <c r="D867" s="11">
        <v>0.1</v>
      </c>
      <c r="E867" s="11">
        <v>0</v>
      </c>
      <c r="F867" s="11">
        <v>-0.1</v>
      </c>
      <c r="G867" s="11">
        <v>0</v>
      </c>
      <c r="H867" s="11">
        <v>0</v>
      </c>
      <c r="I867" s="11">
        <v>0.1</v>
      </c>
      <c r="J867" s="11">
        <v>0</v>
      </c>
      <c r="K867" s="11">
        <v>0</v>
      </c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</row>
    <row r="868" spans="1:60" ht="15.75" x14ac:dyDescent="0.25">
      <c r="A868" s="12" t="s">
        <v>873</v>
      </c>
      <c r="B868" s="11">
        <v>0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</row>
    <row r="869" spans="1:60" ht="15.75" x14ac:dyDescent="0.25">
      <c r="A869" s="12" t="s">
        <v>874</v>
      </c>
      <c r="B869" s="11">
        <v>0</v>
      </c>
      <c r="C869" s="11">
        <v>0</v>
      </c>
      <c r="D869" s="11">
        <v>0</v>
      </c>
      <c r="E869" s="11">
        <v>-0.1</v>
      </c>
      <c r="F869" s="11">
        <v>0</v>
      </c>
      <c r="G869" s="11">
        <v>0.1</v>
      </c>
      <c r="H869" s="11">
        <v>0</v>
      </c>
      <c r="I869" s="11">
        <v>-0.1</v>
      </c>
      <c r="J869" s="11">
        <v>-0.1</v>
      </c>
      <c r="K869" s="11">
        <v>0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</row>
    <row r="870" spans="1:60" ht="15.75" x14ac:dyDescent="0.25">
      <c r="A870" s="12" t="s">
        <v>875</v>
      </c>
      <c r="B870" s="11">
        <v>0</v>
      </c>
      <c r="C870" s="11">
        <v>0</v>
      </c>
      <c r="D870" s="11">
        <v>0</v>
      </c>
      <c r="E870" s="11">
        <v>0</v>
      </c>
      <c r="F870" s="11">
        <v>0</v>
      </c>
      <c r="G870" s="11">
        <v>0.1</v>
      </c>
      <c r="H870" s="11">
        <v>0</v>
      </c>
      <c r="I870" s="11">
        <v>0</v>
      </c>
      <c r="J870" s="11">
        <v>0</v>
      </c>
      <c r="K870" s="11">
        <v>0</v>
      </c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</row>
    <row r="871" spans="1:60" ht="15.75" x14ac:dyDescent="0.25">
      <c r="A871" s="12" t="s">
        <v>876</v>
      </c>
      <c r="B871" s="11">
        <v>-0.1</v>
      </c>
      <c r="C871" s="11">
        <v>0</v>
      </c>
      <c r="D871" s="11">
        <v>-0.1</v>
      </c>
      <c r="E871" s="11">
        <v>0</v>
      </c>
      <c r="F871" s="11">
        <v>0.1</v>
      </c>
      <c r="G871" s="11">
        <v>0</v>
      </c>
      <c r="H871" s="11">
        <v>0</v>
      </c>
      <c r="I871" s="11">
        <v>0</v>
      </c>
      <c r="J871" s="11">
        <v>0.1</v>
      </c>
      <c r="K871" s="11">
        <v>0.1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</row>
    <row r="872" spans="1:60" ht="15.75" x14ac:dyDescent="0.25">
      <c r="A872" s="12" t="s">
        <v>877</v>
      </c>
      <c r="B872" s="11">
        <v>0.1</v>
      </c>
      <c r="C872" s="11">
        <v>0.1</v>
      </c>
      <c r="D872" s="11">
        <v>0.3</v>
      </c>
      <c r="E872" s="11">
        <v>0</v>
      </c>
      <c r="F872" s="11">
        <v>-0.1</v>
      </c>
      <c r="G872" s="11">
        <v>0</v>
      </c>
      <c r="H872" s="11">
        <v>0</v>
      </c>
      <c r="I872" s="11">
        <v>-0.1</v>
      </c>
      <c r="J872" s="11">
        <v>0</v>
      </c>
      <c r="K872" s="11">
        <v>0</v>
      </c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</row>
    <row r="873" spans="1:60" ht="15.75" x14ac:dyDescent="0.25">
      <c r="A873" s="12" t="s">
        <v>878</v>
      </c>
      <c r="B873" s="11">
        <v>0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</row>
    <row r="874" spans="1:60" ht="15.75" x14ac:dyDescent="0.25">
      <c r="A874" s="12" t="s">
        <v>879</v>
      </c>
      <c r="B874" s="11">
        <v>0</v>
      </c>
      <c r="C874" s="11">
        <v>0</v>
      </c>
      <c r="D874" s="11">
        <v>0.1</v>
      </c>
      <c r="E874" s="11">
        <v>0</v>
      </c>
      <c r="F874" s="11">
        <v>0</v>
      </c>
      <c r="G874" s="11">
        <v>-0.1</v>
      </c>
      <c r="H874" s="11">
        <v>0.2</v>
      </c>
      <c r="I874" s="11">
        <v>0</v>
      </c>
      <c r="J874" s="11">
        <v>0</v>
      </c>
      <c r="K874" s="11">
        <v>0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</row>
    <row r="875" spans="1:60" ht="15.75" x14ac:dyDescent="0.25">
      <c r="A875" s="12" t="s">
        <v>880</v>
      </c>
      <c r="B875" s="11">
        <v>0</v>
      </c>
      <c r="C875" s="11">
        <v>0</v>
      </c>
      <c r="D875" s="11">
        <v>0</v>
      </c>
      <c r="E875" s="11">
        <v>0</v>
      </c>
      <c r="F875" s="11">
        <v>0.2</v>
      </c>
      <c r="G875" s="11">
        <v>0</v>
      </c>
      <c r="H875" s="11">
        <v>-0.2</v>
      </c>
      <c r="I875" s="11">
        <v>-0.1</v>
      </c>
      <c r="J875" s="11">
        <v>0.3</v>
      </c>
      <c r="K875" s="11">
        <v>-0.1</v>
      </c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</row>
    <row r="876" spans="1:60" ht="15.75" x14ac:dyDescent="0.25">
      <c r="A876" s="12" t="s">
        <v>881</v>
      </c>
      <c r="B876" s="11">
        <v>-0.1</v>
      </c>
      <c r="C876" s="11">
        <v>-0.1</v>
      </c>
      <c r="D876" s="11">
        <v>-0.1</v>
      </c>
      <c r="E876" s="11">
        <v>0.1</v>
      </c>
      <c r="F876" s="11">
        <v>0.1</v>
      </c>
      <c r="G876" s="11">
        <v>-0.1</v>
      </c>
      <c r="H876" s="11">
        <v>0.2</v>
      </c>
      <c r="I876" s="11">
        <v>0.1</v>
      </c>
      <c r="J876" s="11">
        <v>-0.2</v>
      </c>
      <c r="K876" s="1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</row>
    <row r="877" spans="1:60" ht="15.75" x14ac:dyDescent="0.25">
      <c r="A877" s="12" t="s">
        <v>882</v>
      </c>
      <c r="B877" s="11">
        <v>-0.1</v>
      </c>
      <c r="C877" s="11">
        <v>0</v>
      </c>
      <c r="D877" s="11">
        <v>0</v>
      </c>
      <c r="E877" s="11">
        <v>0</v>
      </c>
      <c r="F877" s="11">
        <v>-0.5</v>
      </c>
      <c r="G877" s="11">
        <v>0</v>
      </c>
      <c r="H877" s="11">
        <v>-0.1</v>
      </c>
      <c r="I877" s="11">
        <v>0.3</v>
      </c>
      <c r="J877" s="11">
        <v>0</v>
      </c>
      <c r="K877" s="11">
        <v>-0.3</v>
      </c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</row>
    <row r="878" spans="1:60" ht="15.75" x14ac:dyDescent="0.25">
      <c r="A878" s="12" t="s">
        <v>883</v>
      </c>
      <c r="B878" s="11">
        <v>0</v>
      </c>
      <c r="C878" s="11">
        <v>-0.1</v>
      </c>
      <c r="D878" s="11">
        <v>-0.1</v>
      </c>
      <c r="E878" s="11">
        <v>0</v>
      </c>
      <c r="F878" s="11">
        <v>0.3</v>
      </c>
      <c r="G878" s="11">
        <v>0</v>
      </c>
      <c r="H878" s="11">
        <v>0</v>
      </c>
      <c r="I878" s="11">
        <v>-0.4</v>
      </c>
      <c r="J878" s="11">
        <v>-0.1</v>
      </c>
      <c r="K878" s="11">
        <v>0.1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</row>
    <row r="879" spans="1:60" ht="15.75" x14ac:dyDescent="0.25">
      <c r="A879" s="12" t="s">
        <v>884</v>
      </c>
      <c r="B879" s="11">
        <v>0.1</v>
      </c>
      <c r="C879" s="11">
        <v>0.1</v>
      </c>
      <c r="D879" s="11">
        <v>0.2</v>
      </c>
      <c r="E879" s="11">
        <v>0.1</v>
      </c>
      <c r="F879" s="11">
        <v>0</v>
      </c>
      <c r="G879" s="11">
        <v>0</v>
      </c>
      <c r="H879" s="11">
        <v>0</v>
      </c>
      <c r="I879" s="11">
        <v>0.1</v>
      </c>
      <c r="J879" s="11">
        <v>-0.1</v>
      </c>
      <c r="K879" s="1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</row>
    <row r="880" spans="1:60" ht="15.75" x14ac:dyDescent="0.25">
      <c r="A880" s="12" t="s">
        <v>885</v>
      </c>
      <c r="B880" s="11">
        <v>0</v>
      </c>
      <c r="C880" s="11">
        <v>0</v>
      </c>
      <c r="D880" s="11">
        <v>0</v>
      </c>
      <c r="E880" s="11">
        <v>0</v>
      </c>
      <c r="F880" s="11">
        <v>0</v>
      </c>
      <c r="G880" s="11">
        <v>0.1</v>
      </c>
      <c r="H880" s="11">
        <v>0</v>
      </c>
      <c r="I880" s="11">
        <v>0</v>
      </c>
      <c r="J880" s="11">
        <v>-0.1</v>
      </c>
      <c r="K880" s="1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</row>
    <row r="881" spans="1:60" ht="15.75" x14ac:dyDescent="0.25">
      <c r="A881" s="12" t="s">
        <v>886</v>
      </c>
      <c r="B881" s="11">
        <v>0</v>
      </c>
      <c r="C881" s="11">
        <v>-0.1</v>
      </c>
      <c r="D881" s="11">
        <v>0</v>
      </c>
      <c r="E881" s="11">
        <v>0</v>
      </c>
      <c r="F881" s="11">
        <v>0</v>
      </c>
      <c r="G881" s="11">
        <v>-0.1</v>
      </c>
      <c r="H881" s="11">
        <v>0</v>
      </c>
      <c r="I881" s="11">
        <v>-0.2</v>
      </c>
      <c r="J881" s="11">
        <v>0.1</v>
      </c>
      <c r="K881" s="11">
        <v>0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</row>
    <row r="882" spans="1:60" ht="15.75" x14ac:dyDescent="0.25">
      <c r="A882" s="12" t="s">
        <v>887</v>
      </c>
      <c r="B882" s="11">
        <v>0</v>
      </c>
      <c r="C882" s="11">
        <v>0</v>
      </c>
      <c r="D882" s="11">
        <v>0</v>
      </c>
      <c r="E882" s="11">
        <v>0</v>
      </c>
      <c r="F882" s="11">
        <v>0</v>
      </c>
      <c r="G882" s="11">
        <v>0.1</v>
      </c>
      <c r="H882" s="11">
        <v>0.1</v>
      </c>
      <c r="I882" s="11">
        <v>0.1</v>
      </c>
      <c r="J882" s="11">
        <v>0</v>
      </c>
      <c r="K882" s="11">
        <v>0</v>
      </c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</row>
    <row r="883" spans="1:60" ht="15.75" x14ac:dyDescent="0.25">
      <c r="A883" s="12" t="s">
        <v>888</v>
      </c>
      <c r="B883" s="11">
        <v>0</v>
      </c>
      <c r="C883" s="11">
        <v>-0.1</v>
      </c>
      <c r="D883" s="11">
        <v>-0.1</v>
      </c>
      <c r="E883" s="11">
        <v>0</v>
      </c>
      <c r="F883" s="11">
        <v>0.1</v>
      </c>
      <c r="G883" s="11">
        <v>0</v>
      </c>
      <c r="H883" s="11">
        <v>0</v>
      </c>
      <c r="I883" s="11">
        <v>0</v>
      </c>
      <c r="J883" s="11">
        <v>0.1</v>
      </c>
      <c r="K883" s="1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</row>
    <row r="884" spans="1:60" ht="15.75" x14ac:dyDescent="0.25">
      <c r="A884" s="12" t="s">
        <v>889</v>
      </c>
      <c r="B884" s="11">
        <v>0.2</v>
      </c>
      <c r="C884" s="11">
        <v>0.1</v>
      </c>
      <c r="D884" s="11">
        <v>0.4</v>
      </c>
      <c r="E884" s="11">
        <v>-0.1</v>
      </c>
      <c r="F884" s="11">
        <v>-0.1</v>
      </c>
      <c r="G884" s="11">
        <v>0</v>
      </c>
      <c r="H884" s="11">
        <v>0</v>
      </c>
      <c r="I884" s="11">
        <v>0</v>
      </c>
      <c r="J884" s="11">
        <v>0.1</v>
      </c>
      <c r="K884" s="11">
        <v>0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</row>
    <row r="885" spans="1:60" ht="15.75" x14ac:dyDescent="0.25">
      <c r="A885" s="12" t="s">
        <v>890</v>
      </c>
      <c r="B885" s="11">
        <v>0</v>
      </c>
      <c r="C885" s="11">
        <v>-0.1</v>
      </c>
      <c r="D885" s="11">
        <v>0</v>
      </c>
      <c r="E885" s="11">
        <v>-0.1</v>
      </c>
      <c r="F885" s="11">
        <v>-0.1</v>
      </c>
      <c r="G885" s="11">
        <v>0</v>
      </c>
      <c r="H885" s="11">
        <v>0</v>
      </c>
      <c r="I885" s="11">
        <v>0</v>
      </c>
      <c r="J885" s="11">
        <v>0</v>
      </c>
      <c r="K885" s="11">
        <v>0.1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</row>
    <row r="886" spans="1:60" ht="15.75" x14ac:dyDescent="0.25">
      <c r="A886" s="12" t="s">
        <v>891</v>
      </c>
      <c r="B886" s="11">
        <v>0</v>
      </c>
      <c r="C886" s="11">
        <v>0</v>
      </c>
      <c r="D886" s="11">
        <v>0</v>
      </c>
      <c r="E886" s="11">
        <v>0</v>
      </c>
      <c r="F886" s="11">
        <v>0</v>
      </c>
      <c r="G886" s="11">
        <v>-0.1</v>
      </c>
      <c r="H886" s="11">
        <v>0.3</v>
      </c>
      <c r="I886" s="11">
        <v>0</v>
      </c>
      <c r="J886" s="11">
        <v>0</v>
      </c>
      <c r="K886" s="1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</row>
    <row r="887" spans="1:60" ht="15.75" x14ac:dyDescent="0.25">
      <c r="A887" s="12" t="s">
        <v>892</v>
      </c>
      <c r="B887" s="11">
        <v>0.1</v>
      </c>
      <c r="C887" s="11">
        <v>0.1</v>
      </c>
      <c r="D887" s="11">
        <v>0.1</v>
      </c>
      <c r="E887" s="11">
        <v>-0.1</v>
      </c>
      <c r="F887" s="11">
        <v>0.2</v>
      </c>
      <c r="G887" s="11">
        <v>0</v>
      </c>
      <c r="H887" s="11">
        <v>-0.2</v>
      </c>
      <c r="I887" s="11">
        <v>-0.2</v>
      </c>
      <c r="J887" s="11">
        <v>0.6</v>
      </c>
      <c r="K887" s="1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</row>
    <row r="888" spans="1:60" ht="15.75" x14ac:dyDescent="0.25">
      <c r="A888" s="12" t="s">
        <v>893</v>
      </c>
      <c r="B888" s="11">
        <v>-0.2</v>
      </c>
      <c r="C888" s="11">
        <v>-0.1</v>
      </c>
      <c r="D888" s="11">
        <v>-0.2</v>
      </c>
      <c r="E888" s="11">
        <v>0.1</v>
      </c>
      <c r="F888" s="11">
        <v>0.1</v>
      </c>
      <c r="G888" s="11">
        <v>-0.1</v>
      </c>
      <c r="H888" s="11">
        <v>0.2</v>
      </c>
      <c r="I888" s="11">
        <v>0.1</v>
      </c>
      <c r="J888" s="11">
        <v>-0.5</v>
      </c>
      <c r="K888" s="11">
        <v>0.1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</row>
    <row r="889" spans="1:60" ht="15.75" x14ac:dyDescent="0.25">
      <c r="A889" s="12" t="s">
        <v>894</v>
      </c>
      <c r="B889" s="11">
        <v>-0.2</v>
      </c>
      <c r="C889" s="11">
        <v>-0.1</v>
      </c>
      <c r="D889" s="11">
        <v>-0.2</v>
      </c>
      <c r="E889" s="11">
        <v>-0.1</v>
      </c>
      <c r="F889" s="11">
        <v>-0.8</v>
      </c>
      <c r="G889" s="11">
        <v>0</v>
      </c>
      <c r="H889" s="11">
        <v>-0.2</v>
      </c>
      <c r="I889" s="11">
        <v>0.6</v>
      </c>
      <c r="J889" s="11">
        <v>-0.5</v>
      </c>
      <c r="K889" s="11">
        <v>-0.5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</row>
    <row r="890" spans="1:60" ht="15.75" x14ac:dyDescent="0.25">
      <c r="A890" s="12" t="s">
        <v>895</v>
      </c>
      <c r="B890" s="11">
        <v>0</v>
      </c>
      <c r="C890" s="11">
        <v>0</v>
      </c>
      <c r="D890" s="11">
        <v>-0.1</v>
      </c>
      <c r="E890" s="11">
        <v>-0.1</v>
      </c>
      <c r="F890" s="11">
        <v>0.4</v>
      </c>
      <c r="G890" s="11">
        <v>0.1</v>
      </c>
      <c r="H890" s="11">
        <v>0</v>
      </c>
      <c r="I890" s="11">
        <v>-0.5</v>
      </c>
      <c r="J890" s="11">
        <v>0.1</v>
      </c>
      <c r="K890" s="11">
        <v>0.3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</row>
    <row r="891" spans="1:60" ht="15.75" x14ac:dyDescent="0.25">
      <c r="A891" s="12" t="s">
        <v>896</v>
      </c>
      <c r="B891" s="11">
        <v>0.1</v>
      </c>
      <c r="C891" s="11">
        <v>0.1</v>
      </c>
      <c r="D891" s="11">
        <v>0.1</v>
      </c>
      <c r="E891" s="11">
        <v>0.1</v>
      </c>
      <c r="F891" s="11">
        <v>0.1</v>
      </c>
      <c r="G891" s="11">
        <v>0</v>
      </c>
      <c r="H891" s="11">
        <v>0</v>
      </c>
      <c r="I891" s="11">
        <v>0.1</v>
      </c>
      <c r="J891" s="11">
        <v>0</v>
      </c>
      <c r="K891" s="11">
        <v>0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</row>
    <row r="892" spans="1:60" ht="15.75" x14ac:dyDescent="0.25">
      <c r="A892" s="12" t="s">
        <v>897</v>
      </c>
      <c r="B892" s="11">
        <v>0</v>
      </c>
      <c r="C892" s="11">
        <v>-0.1</v>
      </c>
      <c r="D892" s="11">
        <v>0</v>
      </c>
      <c r="E892" s="11">
        <v>0</v>
      </c>
      <c r="F892" s="11">
        <v>0</v>
      </c>
      <c r="G892" s="11">
        <v>0.1</v>
      </c>
      <c r="H892" s="11">
        <v>0</v>
      </c>
      <c r="I892" s="11">
        <v>0</v>
      </c>
      <c r="J892" s="11">
        <v>-0.3</v>
      </c>
      <c r="K892" s="1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</row>
    <row r="893" spans="1:60" ht="15.75" x14ac:dyDescent="0.25">
      <c r="A893" s="12" t="s">
        <v>898</v>
      </c>
      <c r="B893" s="11">
        <v>0</v>
      </c>
      <c r="C893" s="11">
        <v>0</v>
      </c>
      <c r="D893" s="11">
        <v>-0.1</v>
      </c>
      <c r="E893" s="11">
        <v>-0.1</v>
      </c>
      <c r="F893" s="11">
        <v>0</v>
      </c>
      <c r="G893" s="11">
        <v>0</v>
      </c>
      <c r="H893" s="11">
        <v>-0.1</v>
      </c>
      <c r="I893" s="11">
        <v>-0.2</v>
      </c>
      <c r="J893" s="11">
        <v>0.3</v>
      </c>
      <c r="K893" s="11">
        <v>0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</row>
    <row r="894" spans="1:60" ht="15.75" x14ac:dyDescent="0.25">
      <c r="A894" s="12" t="s">
        <v>899</v>
      </c>
      <c r="B894" s="11">
        <v>0.1</v>
      </c>
      <c r="C894" s="11">
        <v>0</v>
      </c>
      <c r="D894" s="11">
        <v>-0.1</v>
      </c>
      <c r="E894" s="11">
        <v>0.1</v>
      </c>
      <c r="F894" s="11">
        <v>-0.1</v>
      </c>
      <c r="G894" s="11">
        <v>0.1</v>
      </c>
      <c r="H894" s="11">
        <v>0</v>
      </c>
      <c r="I894" s="11">
        <v>0.1</v>
      </c>
      <c r="J894" s="11">
        <v>0</v>
      </c>
      <c r="K894" s="11">
        <v>0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</row>
    <row r="895" spans="1:60" ht="15.75" x14ac:dyDescent="0.25">
      <c r="A895" s="12" t="s">
        <v>900</v>
      </c>
      <c r="B895" s="11">
        <v>0</v>
      </c>
      <c r="C895" s="11">
        <v>0</v>
      </c>
      <c r="D895" s="11">
        <v>-0.1</v>
      </c>
      <c r="E895" s="11">
        <v>0</v>
      </c>
      <c r="F895" s="11">
        <v>0.2</v>
      </c>
      <c r="G895" s="11">
        <v>0</v>
      </c>
      <c r="H895" s="11">
        <v>0</v>
      </c>
      <c r="I895" s="11">
        <v>-0.1</v>
      </c>
      <c r="J895" s="11">
        <v>0.1</v>
      </c>
      <c r="K895" s="11">
        <v>0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</row>
    <row r="896" spans="1:60" ht="15.75" x14ac:dyDescent="0.25">
      <c r="A896" s="12" t="s">
        <v>901</v>
      </c>
      <c r="B896" s="11">
        <v>0.1</v>
      </c>
      <c r="C896" s="11">
        <v>0.2</v>
      </c>
      <c r="D896" s="11">
        <v>0.6</v>
      </c>
      <c r="E896" s="11">
        <v>0</v>
      </c>
      <c r="F896" s="11">
        <v>-0.1</v>
      </c>
      <c r="G896" s="11">
        <v>0</v>
      </c>
      <c r="H896" s="11">
        <v>-0.1</v>
      </c>
      <c r="I896" s="11">
        <v>-0.1</v>
      </c>
      <c r="J896" s="11">
        <v>0.1</v>
      </c>
      <c r="K896" s="11">
        <v>0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</row>
    <row r="897" spans="1:60" ht="15.75" x14ac:dyDescent="0.25">
      <c r="A897" s="12" t="s">
        <v>902</v>
      </c>
      <c r="B897" s="11">
        <v>0</v>
      </c>
      <c r="C897" s="11">
        <v>0</v>
      </c>
      <c r="D897" s="11">
        <v>-0.1</v>
      </c>
      <c r="E897" s="11">
        <v>0</v>
      </c>
      <c r="F897" s="11">
        <v>-0.2</v>
      </c>
      <c r="G897" s="11">
        <v>0</v>
      </c>
      <c r="H897" s="11">
        <v>0.1</v>
      </c>
      <c r="I897" s="11">
        <v>0</v>
      </c>
      <c r="J897" s="11">
        <v>0</v>
      </c>
      <c r="K897" s="11">
        <v>0.1</v>
      </c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</row>
    <row r="898" spans="1:60" ht="15.75" x14ac:dyDescent="0.25">
      <c r="A898" s="12" t="s">
        <v>903</v>
      </c>
      <c r="B898" s="11">
        <v>0</v>
      </c>
      <c r="C898" s="11">
        <v>0</v>
      </c>
      <c r="D898" s="11">
        <v>0.1</v>
      </c>
      <c r="E898" s="11">
        <v>0</v>
      </c>
      <c r="F898" s="11">
        <v>0.1</v>
      </c>
      <c r="G898" s="11">
        <v>-0.2</v>
      </c>
      <c r="H898" s="11">
        <v>0.3</v>
      </c>
      <c r="I898" s="11">
        <v>-0.1</v>
      </c>
      <c r="J898" s="11">
        <v>0</v>
      </c>
      <c r="K898" s="11">
        <v>0.1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</row>
    <row r="899" spans="1:60" ht="15.75" x14ac:dyDescent="0.25">
      <c r="A899" s="12" t="s">
        <v>904</v>
      </c>
      <c r="B899" s="11">
        <v>0.2</v>
      </c>
      <c r="C899" s="11">
        <v>0.2</v>
      </c>
      <c r="D899" s="11">
        <v>0.2</v>
      </c>
      <c r="E899" s="11">
        <v>0</v>
      </c>
      <c r="F899" s="11">
        <v>0.3</v>
      </c>
      <c r="G899" s="11">
        <v>0.1</v>
      </c>
      <c r="H899" s="11">
        <v>-0.4</v>
      </c>
      <c r="I899" s="11">
        <v>-0.1</v>
      </c>
      <c r="J899" s="11">
        <v>1.1000000000000001</v>
      </c>
      <c r="K899" s="11">
        <v>0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</row>
    <row r="900" spans="1:60" ht="15.75" x14ac:dyDescent="0.25">
      <c r="A900" s="12" t="s">
        <v>905</v>
      </c>
      <c r="B900" s="11">
        <v>-0.2</v>
      </c>
      <c r="C900" s="11">
        <v>-0.2</v>
      </c>
      <c r="D900" s="11">
        <v>-0.3</v>
      </c>
      <c r="E900" s="11">
        <v>0</v>
      </c>
      <c r="F900" s="11">
        <v>0.4</v>
      </c>
      <c r="G900" s="11">
        <v>-0.3</v>
      </c>
      <c r="H900" s="11">
        <v>0.3</v>
      </c>
      <c r="I900" s="11">
        <v>0</v>
      </c>
      <c r="J900" s="11">
        <v>-0.9</v>
      </c>
      <c r="K900" s="11">
        <v>0.1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</row>
    <row r="901" spans="1:60" ht="15.75" x14ac:dyDescent="0.25">
      <c r="A901" s="12" t="s">
        <v>906</v>
      </c>
      <c r="B901" s="11">
        <v>-0.4</v>
      </c>
      <c r="C901" s="11">
        <v>-0.3</v>
      </c>
      <c r="D901" s="11">
        <v>-0.3</v>
      </c>
      <c r="E901" s="11">
        <v>0</v>
      </c>
      <c r="F901" s="11">
        <v>-1.2</v>
      </c>
      <c r="G901" s="11">
        <v>-0.1</v>
      </c>
      <c r="H901" s="11">
        <v>-0.3</v>
      </c>
      <c r="I901" s="11">
        <v>0.9</v>
      </c>
      <c r="J901" s="11">
        <v>-1.6</v>
      </c>
      <c r="K901" s="11">
        <v>-0.6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</row>
    <row r="902" spans="1:60" ht="15.75" x14ac:dyDescent="0.25">
      <c r="A902" s="12" t="s">
        <v>907</v>
      </c>
      <c r="B902" s="11">
        <v>0.1</v>
      </c>
      <c r="C902" s="11">
        <v>0</v>
      </c>
      <c r="D902" s="11">
        <v>-0.1</v>
      </c>
      <c r="E902" s="11">
        <v>-0.1</v>
      </c>
      <c r="F902" s="11">
        <v>0.6</v>
      </c>
      <c r="G902" s="11">
        <v>0.2</v>
      </c>
      <c r="H902" s="11">
        <v>0.1</v>
      </c>
      <c r="I902" s="11">
        <v>-0.7</v>
      </c>
      <c r="J902" s="11">
        <v>0.5</v>
      </c>
      <c r="K902" s="11">
        <v>0.5</v>
      </c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</row>
    <row r="903" spans="1:60" ht="15.75" x14ac:dyDescent="0.25">
      <c r="A903" s="12" t="s">
        <v>908</v>
      </c>
      <c r="B903" s="11">
        <v>0.1</v>
      </c>
      <c r="C903" s="11">
        <v>0.2</v>
      </c>
      <c r="D903" s="11">
        <v>0.3</v>
      </c>
      <c r="E903" s="11">
        <v>0.1</v>
      </c>
      <c r="F903" s="11">
        <v>0.1</v>
      </c>
      <c r="G903" s="11">
        <v>0.1</v>
      </c>
      <c r="H903" s="11">
        <v>0</v>
      </c>
      <c r="I903" s="11">
        <v>0.1</v>
      </c>
      <c r="J903" s="11">
        <v>0.1</v>
      </c>
      <c r="K903" s="11">
        <v>0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</row>
    <row r="904" spans="1:60" ht="15.75" x14ac:dyDescent="0.25">
      <c r="A904" s="12" t="s">
        <v>909</v>
      </c>
      <c r="B904" s="11">
        <v>0.1</v>
      </c>
      <c r="C904" s="11">
        <v>0.1</v>
      </c>
      <c r="D904" s="11">
        <v>0</v>
      </c>
      <c r="E904" s="11">
        <v>0</v>
      </c>
      <c r="F904" s="11">
        <v>0</v>
      </c>
      <c r="G904" s="11">
        <v>0.2</v>
      </c>
      <c r="H904" s="11">
        <v>0</v>
      </c>
      <c r="I904" s="11">
        <v>-0.1</v>
      </c>
      <c r="J904" s="11">
        <v>0.6</v>
      </c>
      <c r="K904" s="11">
        <v>-0.1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</row>
    <row r="905" spans="1:60" ht="15.75" x14ac:dyDescent="0.25">
      <c r="A905" s="12" t="s">
        <v>910</v>
      </c>
      <c r="B905" s="11">
        <v>0</v>
      </c>
      <c r="C905" s="11">
        <v>0</v>
      </c>
      <c r="D905" s="11">
        <v>-0.1</v>
      </c>
      <c r="E905" s="11">
        <v>0</v>
      </c>
      <c r="F905" s="11">
        <v>0</v>
      </c>
      <c r="G905" s="11">
        <v>0</v>
      </c>
      <c r="H905" s="11">
        <v>-0.2</v>
      </c>
      <c r="I905" s="11">
        <v>0.1</v>
      </c>
      <c r="J905" s="11">
        <v>-0.3</v>
      </c>
      <c r="K905" s="11">
        <v>0.1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</row>
    <row r="906" spans="1:60" ht="15.75" x14ac:dyDescent="0.25">
      <c r="A906" s="12" t="s">
        <v>911</v>
      </c>
      <c r="B906" s="11">
        <v>0</v>
      </c>
      <c r="C906" s="11">
        <v>-0.1</v>
      </c>
      <c r="D906" s="11">
        <v>0</v>
      </c>
      <c r="E906" s="11">
        <v>0</v>
      </c>
      <c r="F906" s="11">
        <v>0</v>
      </c>
      <c r="G906" s="11">
        <v>0</v>
      </c>
      <c r="H906" s="11">
        <v>0.1</v>
      </c>
      <c r="I906" s="11">
        <v>0</v>
      </c>
      <c r="J906" s="11">
        <v>0.1</v>
      </c>
      <c r="K906" s="11">
        <v>0.1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</row>
    <row r="907" spans="1:60" ht="15.75" x14ac:dyDescent="0.25">
      <c r="A907" s="12" t="s">
        <v>912</v>
      </c>
      <c r="B907" s="11">
        <v>0</v>
      </c>
      <c r="C907" s="11">
        <v>-0.1</v>
      </c>
      <c r="D907" s="11">
        <v>0</v>
      </c>
      <c r="E907" s="11">
        <v>-0.1</v>
      </c>
      <c r="F907" s="11">
        <v>0.2</v>
      </c>
      <c r="G907" s="11">
        <v>-0.1</v>
      </c>
      <c r="H907" s="11">
        <v>-0.1</v>
      </c>
      <c r="I907" s="11">
        <v>-0.2</v>
      </c>
      <c r="J907" s="11">
        <v>0.1</v>
      </c>
      <c r="K907" s="11">
        <v>-0.1</v>
      </c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</row>
    <row r="908" spans="1:60" ht="15.75" x14ac:dyDescent="0.25">
      <c r="A908" s="12" t="s">
        <v>913</v>
      </c>
      <c r="B908" s="11">
        <v>0.2</v>
      </c>
      <c r="C908" s="11">
        <v>0.3</v>
      </c>
      <c r="D908" s="11">
        <v>0.6</v>
      </c>
      <c r="E908" s="11">
        <v>0</v>
      </c>
      <c r="F908" s="11">
        <v>-0.2</v>
      </c>
      <c r="G908" s="11">
        <v>0.2</v>
      </c>
      <c r="H908" s="11">
        <v>-0.1</v>
      </c>
      <c r="I908" s="11">
        <v>-0.1</v>
      </c>
      <c r="J908" s="11">
        <v>0.3</v>
      </c>
      <c r="K908" s="11">
        <v>0.1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</row>
    <row r="909" spans="1:60" ht="15.75" x14ac:dyDescent="0.25">
      <c r="A909" s="12" t="s">
        <v>914</v>
      </c>
      <c r="B909" s="11">
        <v>-0.1</v>
      </c>
      <c r="C909" s="11">
        <v>0</v>
      </c>
      <c r="D909" s="11">
        <v>-0.2</v>
      </c>
      <c r="E909" s="11">
        <v>0</v>
      </c>
      <c r="F909" s="11">
        <v>0</v>
      </c>
      <c r="G909" s="11">
        <v>0.2</v>
      </c>
      <c r="H909" s="11">
        <v>0.1</v>
      </c>
      <c r="I909" s="11">
        <v>-0.1</v>
      </c>
      <c r="J909" s="11">
        <v>0.1</v>
      </c>
      <c r="K909" s="11">
        <v>0.2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</row>
    <row r="910" spans="1:60" ht="15.75" x14ac:dyDescent="0.25">
      <c r="A910" s="12" t="s">
        <v>915</v>
      </c>
      <c r="B910" s="11">
        <v>-0.1</v>
      </c>
      <c r="C910" s="11">
        <v>-0.2</v>
      </c>
      <c r="D910" s="11">
        <v>0.1</v>
      </c>
      <c r="E910" s="11">
        <v>-0.4</v>
      </c>
      <c r="F910" s="11">
        <v>-0.1</v>
      </c>
      <c r="G910" s="11">
        <v>0</v>
      </c>
      <c r="H910" s="11">
        <v>-1</v>
      </c>
      <c r="I910" s="11">
        <v>-0.6</v>
      </c>
      <c r="J910" s="11">
        <v>0.3</v>
      </c>
      <c r="K910" s="11">
        <v>0.1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</row>
    <row r="911" spans="1:60" ht="15.75" x14ac:dyDescent="0.25">
      <c r="A911" s="12" t="s">
        <v>916</v>
      </c>
      <c r="B911" s="11">
        <v>0.4</v>
      </c>
      <c r="C911" s="11">
        <v>0.4</v>
      </c>
      <c r="D911" s="11">
        <v>0.4</v>
      </c>
      <c r="E911" s="11">
        <v>0.3</v>
      </c>
      <c r="F911" s="11">
        <v>0.3</v>
      </c>
      <c r="G911" s="11">
        <v>0.4</v>
      </c>
      <c r="H911" s="11">
        <v>0.3</v>
      </c>
      <c r="I911" s="11">
        <v>0</v>
      </c>
      <c r="J911" s="11">
        <v>0.6</v>
      </c>
      <c r="K911" s="11">
        <v>0.3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</row>
    <row r="912" spans="1:60" ht="15.75" x14ac:dyDescent="0.25">
      <c r="A912" s="12" t="s">
        <v>917</v>
      </c>
      <c r="B912" s="11">
        <v>-0.1</v>
      </c>
      <c r="C912" s="11">
        <v>-0.1</v>
      </c>
      <c r="D912" s="11">
        <v>-0.4</v>
      </c>
      <c r="E912" s="11">
        <v>-0.1</v>
      </c>
      <c r="F912" s="11">
        <v>-1.7</v>
      </c>
      <c r="G912" s="11">
        <v>1.1000000000000001</v>
      </c>
      <c r="H912" s="11">
        <v>-0.2</v>
      </c>
      <c r="I912" s="11">
        <v>-0.1</v>
      </c>
      <c r="J912" s="11">
        <v>0.4</v>
      </c>
      <c r="K912" s="11">
        <v>0.1</v>
      </c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</row>
    <row r="913" spans="1:60" ht="15.75" x14ac:dyDescent="0.25">
      <c r="A913" s="12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</row>
    <row r="914" spans="1:60" ht="15.75" x14ac:dyDescent="0.25">
      <c r="A914" s="12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</row>
    <row r="915" spans="1:60" ht="15.75" x14ac:dyDescent="0.25">
      <c r="A915" s="12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</row>
    <row r="916" spans="1:60" ht="15.75" x14ac:dyDescent="0.25">
      <c r="A916" s="12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</row>
    <row r="917" spans="1:60" ht="15.75" x14ac:dyDescent="0.25">
      <c r="A917" s="12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</row>
    <row r="918" spans="1:60" ht="15.75" x14ac:dyDescent="0.25">
      <c r="A918" s="12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</row>
    <row r="919" spans="1:60" ht="15.75" x14ac:dyDescent="0.25">
      <c r="A919" s="12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</row>
    <row r="920" spans="1:60" ht="15.75" x14ac:dyDescent="0.25">
      <c r="A920" s="12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</row>
    <row r="921" spans="1:60" ht="15.75" x14ac:dyDescent="0.25">
      <c r="A921" s="12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</row>
    <row r="922" spans="1:60" ht="15.75" x14ac:dyDescent="0.25">
      <c r="A922" s="12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</row>
    <row r="923" spans="1:60" ht="15.75" x14ac:dyDescent="0.25">
      <c r="A923" s="12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</row>
    <row r="924" spans="1:60" ht="15.75" x14ac:dyDescent="0.25">
      <c r="A924" s="12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</row>
    <row r="925" spans="1:60" ht="15.75" x14ac:dyDescent="0.25">
      <c r="A925" s="12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</row>
    <row r="926" spans="1:60" ht="15.75" x14ac:dyDescent="0.25">
      <c r="A926" s="12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</row>
    <row r="927" spans="1:60" ht="15.75" x14ac:dyDescent="0.25">
      <c r="A927" s="12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</row>
    <row r="928" spans="1:60" ht="15.75" x14ac:dyDescent="0.25">
      <c r="A928" s="12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</row>
    <row r="929" spans="1:60" ht="15.75" x14ac:dyDescent="0.25">
      <c r="A929" s="12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</row>
    <row r="930" spans="1:60" ht="15.75" x14ac:dyDescent="0.25">
      <c r="A930" s="12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</row>
    <row r="931" spans="1:60" ht="15.75" x14ac:dyDescent="0.25">
      <c r="A931" s="12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</row>
    <row r="932" spans="1:60" ht="15.75" x14ac:dyDescent="0.25">
      <c r="A932" s="12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</row>
    <row r="933" spans="1:60" ht="15.75" x14ac:dyDescent="0.25">
      <c r="A933" s="12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</row>
    <row r="934" spans="1:60" ht="15.75" x14ac:dyDescent="0.25">
      <c r="A934" s="12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</row>
    <row r="935" spans="1:60" ht="15.75" x14ac:dyDescent="0.25">
      <c r="A935" s="12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</row>
    <row r="936" spans="1:60" ht="15.75" x14ac:dyDescent="0.25">
      <c r="A936" s="12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</row>
    <row r="937" spans="1:60" ht="15.75" x14ac:dyDescent="0.25">
      <c r="A937" s="12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</row>
    <row r="938" spans="1:60" ht="15.75" x14ac:dyDescent="0.25">
      <c r="A938" s="12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</row>
    <row r="939" spans="1:60" ht="15.75" x14ac:dyDescent="0.25">
      <c r="A939" s="12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</row>
    <row r="940" spans="1:60" ht="15.75" x14ac:dyDescent="0.25">
      <c r="A940" s="12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</row>
    <row r="941" spans="1:60" ht="15.75" x14ac:dyDescent="0.25">
      <c r="A941" s="12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</row>
    <row r="942" spans="1:60" ht="15.75" x14ac:dyDescent="0.25">
      <c r="A942" s="12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</row>
    <row r="943" spans="1:60" ht="15.75" x14ac:dyDescent="0.25">
      <c r="A943" s="12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</row>
    <row r="944" spans="1:60" ht="15.75" x14ac:dyDescent="0.25">
      <c r="A944" s="12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</row>
    <row r="945" spans="1:60" ht="15.75" x14ac:dyDescent="0.25">
      <c r="A945" s="12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</row>
    <row r="946" spans="1:60" ht="15.75" x14ac:dyDescent="0.25">
      <c r="A946" s="12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</row>
    <row r="947" spans="1:60" ht="15.75" x14ac:dyDescent="0.25">
      <c r="A947" s="12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</row>
    <row r="948" spans="1:60" ht="15.75" x14ac:dyDescent="0.25">
      <c r="A948" s="12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</row>
    <row r="949" spans="1:60" ht="15.75" x14ac:dyDescent="0.25">
      <c r="A949" s="12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</row>
    <row r="950" spans="1:60" ht="15.75" x14ac:dyDescent="0.25">
      <c r="A950" s="12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</row>
    <row r="951" spans="1:60" ht="15.75" x14ac:dyDescent="0.25">
      <c r="A951" s="12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</row>
    <row r="952" spans="1:60" ht="15.75" x14ac:dyDescent="0.25">
      <c r="A952" s="12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</row>
    <row r="953" spans="1:60" ht="15.75" x14ac:dyDescent="0.25">
      <c r="A953" s="12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</row>
    <row r="954" spans="1:60" ht="15.75" x14ac:dyDescent="0.25">
      <c r="A954" s="12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</row>
    <row r="955" spans="1:60" ht="15.75" x14ac:dyDescent="0.25">
      <c r="A955" s="12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</row>
    <row r="956" spans="1:60" ht="15.75" x14ac:dyDescent="0.25">
      <c r="A956" s="12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</row>
    <row r="957" spans="1:60" ht="15.75" x14ac:dyDescent="0.25">
      <c r="A957" s="12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</row>
    <row r="958" spans="1:60" ht="15.75" x14ac:dyDescent="0.25">
      <c r="A958" s="12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</row>
    <row r="959" spans="1:60" ht="15.75" x14ac:dyDescent="0.25">
      <c r="A959" s="12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</row>
    <row r="960" spans="1:60" ht="15.75" x14ac:dyDescent="0.25">
      <c r="A960" s="12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</row>
    <row r="961" spans="1:60" ht="15.75" x14ac:dyDescent="0.25">
      <c r="A961" s="12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</row>
    <row r="962" spans="1:60" ht="15.75" x14ac:dyDescent="0.25">
      <c r="A962" s="12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</row>
    <row r="963" spans="1:60" ht="15.75" x14ac:dyDescent="0.25">
      <c r="A963" s="12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</row>
    <row r="964" spans="1:60" ht="15.75" x14ac:dyDescent="0.25">
      <c r="A964" s="12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</row>
    <row r="965" spans="1:60" ht="15.75" x14ac:dyDescent="0.25">
      <c r="A965" s="12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</row>
    <row r="966" spans="1:60" ht="15.75" x14ac:dyDescent="0.25">
      <c r="A966" s="12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</row>
    <row r="967" spans="1:60" ht="15.75" x14ac:dyDescent="0.25">
      <c r="A967" s="12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</row>
    <row r="968" spans="1:60" ht="15.75" x14ac:dyDescent="0.25">
      <c r="A968" s="12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</row>
    <row r="969" spans="1:60" ht="15.75" x14ac:dyDescent="0.25">
      <c r="A969" s="12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</row>
    <row r="970" spans="1:60" ht="15.75" x14ac:dyDescent="0.25">
      <c r="A970" s="12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</row>
    <row r="971" spans="1:60" ht="15.75" x14ac:dyDescent="0.25">
      <c r="A971" s="12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</row>
    <row r="972" spans="1:60" ht="15.75" x14ac:dyDescent="0.25">
      <c r="A972" s="12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</row>
    <row r="973" spans="1:60" ht="15.75" x14ac:dyDescent="0.25">
      <c r="A973" s="12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</row>
    <row r="974" spans="1:60" ht="15.75" x14ac:dyDescent="0.25">
      <c r="A974" s="12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</row>
    <row r="975" spans="1:60" ht="15.75" x14ac:dyDescent="0.25">
      <c r="A975" s="12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</row>
    <row r="976" spans="1:60" ht="15.75" x14ac:dyDescent="0.25">
      <c r="A976" s="12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</row>
    <row r="977" spans="1:60" ht="15.75" x14ac:dyDescent="0.25">
      <c r="A977" s="12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</row>
    <row r="978" spans="1:60" ht="15.75" x14ac:dyDescent="0.25">
      <c r="A978" s="12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</row>
    <row r="979" spans="1:60" ht="15.75" x14ac:dyDescent="0.25">
      <c r="A979" s="12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</row>
    <row r="980" spans="1:60" ht="15.75" x14ac:dyDescent="0.25">
      <c r="A980" s="12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</row>
    <row r="981" spans="1:60" ht="15.75" x14ac:dyDescent="0.25">
      <c r="A981" s="12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</row>
    <row r="982" spans="1:60" ht="15.75" x14ac:dyDescent="0.25">
      <c r="A982" s="12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</row>
    <row r="983" spans="1:60" ht="15.75" x14ac:dyDescent="0.25">
      <c r="A983" s="12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</row>
    <row r="984" spans="1:60" ht="15.75" x14ac:dyDescent="0.25">
      <c r="A984" s="12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</row>
    <row r="985" spans="1:60" ht="15.75" x14ac:dyDescent="0.25">
      <c r="A985" s="12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</row>
    <row r="986" spans="1:60" ht="15.75" x14ac:dyDescent="0.25">
      <c r="A986" s="12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</row>
    <row r="987" spans="1:60" ht="15.75" x14ac:dyDescent="0.25">
      <c r="A987" s="12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</row>
    <row r="988" spans="1:60" ht="15.75" x14ac:dyDescent="0.25">
      <c r="A988" s="12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</row>
    <row r="989" spans="1:60" ht="15.75" x14ac:dyDescent="0.25">
      <c r="A989" s="12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</row>
    <row r="990" spans="1:60" ht="15.75" x14ac:dyDescent="0.25">
      <c r="A990" s="12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</row>
    <row r="991" spans="1:60" ht="15.75" x14ac:dyDescent="0.25">
      <c r="A991" s="12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</row>
    <row r="992" spans="1:60" ht="15.75" x14ac:dyDescent="0.25">
      <c r="A992" s="12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</row>
    <row r="993" spans="1:60" ht="15.75" x14ac:dyDescent="0.25">
      <c r="A993" s="12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</row>
    <row r="994" spans="1:60" ht="15.75" x14ac:dyDescent="0.25">
      <c r="A994" s="12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</row>
    <row r="995" spans="1:60" ht="15.75" x14ac:dyDescent="0.25">
      <c r="A995" s="12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</row>
    <row r="996" spans="1:60" ht="15.75" x14ac:dyDescent="0.25">
      <c r="A996" s="12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</row>
    <row r="997" spans="1:60" ht="15.75" x14ac:dyDescent="0.25">
      <c r="A997" s="12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</row>
    <row r="998" spans="1:60" ht="15.75" x14ac:dyDescent="0.25">
      <c r="A998" s="12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</row>
    <row r="999" spans="1:60" ht="15.75" x14ac:dyDescent="0.25">
      <c r="A999" s="12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</row>
    <row r="1000" spans="1:60" ht="15.75" x14ac:dyDescent="0.25">
      <c r="A1000" s="12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</row>
    <row r="1001" spans="1:60" ht="15.75" x14ac:dyDescent="0.25">
      <c r="A1001" s="12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</row>
    <row r="1002" spans="1:60" ht="15.75" x14ac:dyDescent="0.25">
      <c r="A1002" s="12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</row>
    <row r="1003" spans="1:60" ht="15.75" x14ac:dyDescent="0.25">
      <c r="A1003" s="12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</row>
    <row r="1004" spans="1:60" ht="15.75" x14ac:dyDescent="0.25">
      <c r="A1004" s="12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</row>
    <row r="1005" spans="1:60" ht="15.75" x14ac:dyDescent="0.25">
      <c r="A1005" s="12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</row>
    <row r="1006" spans="1:60" ht="15.75" x14ac:dyDescent="0.25">
      <c r="A1006" s="12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</row>
    <row r="1007" spans="1:60" ht="15.75" x14ac:dyDescent="0.25">
      <c r="A1007" s="12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</row>
    <row r="1008" spans="1:60" ht="15.75" x14ac:dyDescent="0.25">
      <c r="A1008" s="12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</row>
    <row r="1009" spans="1:60" ht="15.75" x14ac:dyDescent="0.25">
      <c r="A1009" s="12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</row>
    <row r="1010" spans="1:60" ht="15.75" x14ac:dyDescent="0.25">
      <c r="A1010" s="12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</row>
    <row r="1011" spans="1:60" ht="15.75" x14ac:dyDescent="0.25">
      <c r="A1011" s="12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</row>
    <row r="1012" spans="1:60" ht="15.75" x14ac:dyDescent="0.25">
      <c r="A1012" s="12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</row>
    <row r="1013" spans="1:60" ht="15.75" x14ac:dyDescent="0.25">
      <c r="A1013" s="12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</row>
    <row r="1014" spans="1:60" ht="15.75" x14ac:dyDescent="0.25">
      <c r="A1014" s="12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</row>
    <row r="1015" spans="1:60" ht="15.75" x14ac:dyDescent="0.25">
      <c r="A1015" s="12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</row>
    <row r="1016" spans="1:60" ht="15.75" x14ac:dyDescent="0.25">
      <c r="A1016" s="12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</row>
    <row r="1017" spans="1:60" ht="15.75" x14ac:dyDescent="0.25">
      <c r="A1017" s="12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</row>
    <row r="1018" spans="1:60" ht="15.75" x14ac:dyDescent="0.25">
      <c r="A1018" s="12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</row>
    <row r="1019" spans="1:60" ht="15.75" x14ac:dyDescent="0.25">
      <c r="A1019" s="12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</row>
    <row r="1020" spans="1:60" ht="15.75" x14ac:dyDescent="0.25">
      <c r="A1020" s="12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</row>
    <row r="1021" spans="1:60" ht="15.75" x14ac:dyDescent="0.25">
      <c r="A1021" s="12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</row>
    <row r="1022" spans="1:60" ht="15.75" x14ac:dyDescent="0.25">
      <c r="A1022" s="12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</row>
    <row r="1023" spans="1:60" ht="15.75" x14ac:dyDescent="0.25">
      <c r="A1023" s="12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</row>
    <row r="1024" spans="1:60" ht="15.75" x14ac:dyDescent="0.25">
      <c r="A1024" s="12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</row>
    <row r="1025" spans="1:60" ht="15.75" x14ac:dyDescent="0.25">
      <c r="A1025" s="12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</row>
    <row r="1026" spans="1:60" ht="15.75" x14ac:dyDescent="0.25">
      <c r="A1026" s="12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</row>
    <row r="1027" spans="1:60" ht="15.75" x14ac:dyDescent="0.25">
      <c r="A1027" s="12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</row>
    <row r="1028" spans="1:60" ht="15.75" x14ac:dyDescent="0.25">
      <c r="A1028" s="12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</row>
    <row r="1029" spans="1:60" ht="15.75" x14ac:dyDescent="0.25">
      <c r="A1029" s="12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</row>
    <row r="1030" spans="1:60" ht="15.75" x14ac:dyDescent="0.25">
      <c r="A1030" s="12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</row>
    <row r="1031" spans="1:60" ht="15.75" x14ac:dyDescent="0.25">
      <c r="A1031" s="12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</row>
    <row r="1032" spans="1:60" ht="15.75" x14ac:dyDescent="0.25">
      <c r="A1032" s="12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</row>
    <row r="1033" spans="1:60" ht="15.75" x14ac:dyDescent="0.25">
      <c r="A1033" s="12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</row>
    <row r="1034" spans="1:60" ht="15.75" x14ac:dyDescent="0.25">
      <c r="A1034" s="12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</row>
    <row r="1035" spans="1:60" ht="15.75" x14ac:dyDescent="0.25">
      <c r="A1035" s="12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</row>
    <row r="1036" spans="1:60" ht="15.75" x14ac:dyDescent="0.25">
      <c r="A1036" s="12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</row>
    <row r="1037" spans="1:60" ht="15.75" x14ac:dyDescent="0.25">
      <c r="A1037" s="12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</row>
    <row r="1038" spans="1:60" ht="15.75" x14ac:dyDescent="0.25">
      <c r="A1038" s="12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</row>
    <row r="1039" spans="1:60" ht="15.75" x14ac:dyDescent="0.25">
      <c r="A1039" s="12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</row>
    <row r="1040" spans="1:60" ht="15.75" x14ac:dyDescent="0.25">
      <c r="A1040" s="12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</row>
    <row r="1041" spans="1:60" ht="15.75" x14ac:dyDescent="0.25">
      <c r="A1041" s="12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</row>
    <row r="1042" spans="1:60" ht="15.75" x14ac:dyDescent="0.25">
      <c r="A1042" s="12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</row>
    <row r="1043" spans="1:60" ht="15.75" x14ac:dyDescent="0.25">
      <c r="A1043" s="12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</row>
    <row r="1044" spans="1:60" ht="15.75" x14ac:dyDescent="0.25">
      <c r="A1044" s="12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</row>
    <row r="1045" spans="1:60" ht="15.75" x14ac:dyDescent="0.25">
      <c r="A1045" s="12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</row>
    <row r="1046" spans="1:60" ht="15.75" x14ac:dyDescent="0.25">
      <c r="A1046" s="12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</row>
    <row r="1047" spans="1:60" ht="15.75" x14ac:dyDescent="0.25">
      <c r="A1047" s="12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</row>
    <row r="1048" spans="1:60" ht="15.75" x14ac:dyDescent="0.25">
      <c r="A1048" s="12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</row>
    <row r="1049" spans="1:60" ht="15.75" x14ac:dyDescent="0.25">
      <c r="A1049" s="12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</row>
    <row r="1050" spans="1:60" ht="15.75" x14ac:dyDescent="0.25">
      <c r="A1050" s="12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</row>
    <row r="1051" spans="1:60" ht="15.75" x14ac:dyDescent="0.25">
      <c r="A1051" s="12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</row>
    <row r="1052" spans="1:60" ht="15.75" x14ac:dyDescent="0.25">
      <c r="A1052" s="12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</row>
    <row r="1053" spans="1:60" ht="15.75" x14ac:dyDescent="0.25">
      <c r="A1053" s="12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</row>
    <row r="1054" spans="1:60" ht="15.75" x14ac:dyDescent="0.25">
      <c r="A1054" s="12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</row>
    <row r="1055" spans="1:60" ht="15.75" x14ac:dyDescent="0.25">
      <c r="A1055" s="12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</row>
    <row r="1056" spans="1:60" ht="15.75" x14ac:dyDescent="0.25">
      <c r="A1056" s="12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</row>
    <row r="1057" spans="1:60" ht="15.75" x14ac:dyDescent="0.25">
      <c r="A1057" s="12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</row>
    <row r="1058" spans="1:60" ht="15.75" x14ac:dyDescent="0.25">
      <c r="A1058" s="12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</row>
    <row r="1059" spans="1:60" ht="15.75" x14ac:dyDescent="0.25">
      <c r="A1059" s="12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</row>
    <row r="1060" spans="1:60" ht="15.75" x14ac:dyDescent="0.25">
      <c r="A1060" s="12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</row>
    <row r="1061" spans="1:60" ht="15.75" x14ac:dyDescent="0.25">
      <c r="A1061" s="12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</row>
    <row r="1062" spans="1:60" ht="15.75" x14ac:dyDescent="0.25">
      <c r="A1062" s="12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</row>
    <row r="1063" spans="1:60" ht="15.75" x14ac:dyDescent="0.25">
      <c r="A1063" s="12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</row>
    <row r="1064" spans="1:60" ht="15.75" x14ac:dyDescent="0.25">
      <c r="A1064" s="12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</row>
    <row r="1065" spans="1:60" ht="15.75" x14ac:dyDescent="0.25">
      <c r="A1065" s="12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</row>
    <row r="1066" spans="1:60" ht="15.75" x14ac:dyDescent="0.25">
      <c r="A1066" s="12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</row>
    <row r="1067" spans="1:60" ht="15.75" x14ac:dyDescent="0.25">
      <c r="A1067" s="12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</row>
    <row r="1068" spans="1:60" ht="15.75" x14ac:dyDescent="0.25">
      <c r="A1068" s="12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</row>
    <row r="1069" spans="1:60" ht="15.75" x14ac:dyDescent="0.25">
      <c r="A1069" s="12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</row>
    <row r="1070" spans="1:60" ht="15.75" x14ac:dyDescent="0.25">
      <c r="A1070" s="12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</row>
    <row r="1071" spans="1:60" ht="15.75" x14ac:dyDescent="0.25">
      <c r="A1071" s="12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</row>
    <row r="1072" spans="1:60" ht="15.75" x14ac:dyDescent="0.25">
      <c r="A1072" s="12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</row>
    <row r="1073" spans="1:60" ht="15.75" x14ac:dyDescent="0.25">
      <c r="A1073" s="12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</row>
    <row r="1074" spans="1:60" ht="15.75" x14ac:dyDescent="0.25">
      <c r="A1074" s="12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</row>
    <row r="1075" spans="1:60" ht="15.75" x14ac:dyDescent="0.25">
      <c r="A1075" s="12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</row>
    <row r="1076" spans="1:60" ht="15.75" x14ac:dyDescent="0.25">
      <c r="A1076" s="12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</row>
    <row r="1077" spans="1:60" ht="15.75" x14ac:dyDescent="0.25">
      <c r="A1077" s="12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</row>
    <row r="1078" spans="1:60" ht="15.75" x14ac:dyDescent="0.25">
      <c r="A1078" s="12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</row>
    <row r="1079" spans="1:60" ht="15.75" x14ac:dyDescent="0.25">
      <c r="A1079" s="12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</row>
    <row r="1080" spans="1:60" ht="15.75" x14ac:dyDescent="0.25">
      <c r="A1080" s="12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</row>
    <row r="1081" spans="1:60" ht="15.75" x14ac:dyDescent="0.25">
      <c r="A1081" s="12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</row>
    <row r="1082" spans="1:60" ht="15.75" x14ac:dyDescent="0.25">
      <c r="A1082" s="12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</row>
    <row r="1083" spans="1:60" ht="15.75" x14ac:dyDescent="0.25">
      <c r="A1083" s="12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</row>
    <row r="1084" spans="1:60" ht="15.75" x14ac:dyDescent="0.25">
      <c r="A1084" s="12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</row>
    <row r="1085" spans="1:60" ht="15.75" x14ac:dyDescent="0.25">
      <c r="A1085" s="12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</row>
    <row r="1086" spans="1:60" ht="15.75" x14ac:dyDescent="0.25">
      <c r="A1086" s="12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</row>
    <row r="1087" spans="1:60" ht="15.75" x14ac:dyDescent="0.25">
      <c r="A1087" s="12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</row>
    <row r="1088" spans="1:60" ht="15.75" x14ac:dyDescent="0.25">
      <c r="A1088" s="12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</row>
    <row r="1089" spans="1:60" ht="15.75" x14ac:dyDescent="0.25">
      <c r="A1089" s="12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</row>
    <row r="1090" spans="1:60" ht="15.75" x14ac:dyDescent="0.25">
      <c r="A1090" s="12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</row>
    <row r="1091" spans="1:60" ht="15.75" x14ac:dyDescent="0.25">
      <c r="A1091" s="12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</row>
    <row r="1092" spans="1:60" ht="15.75" x14ac:dyDescent="0.25">
      <c r="A1092" s="12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</row>
    <row r="1093" spans="1:60" ht="15.75" x14ac:dyDescent="0.25">
      <c r="A1093" s="12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</row>
    <row r="1094" spans="1:60" ht="15.75" x14ac:dyDescent="0.25">
      <c r="A1094" s="12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</row>
    <row r="1095" spans="1:60" ht="15.75" x14ac:dyDescent="0.25">
      <c r="A1095" s="12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</row>
    <row r="1096" spans="1:60" ht="15.75" x14ac:dyDescent="0.25">
      <c r="A1096" s="12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</row>
    <row r="1097" spans="1:60" ht="15.75" x14ac:dyDescent="0.25">
      <c r="A1097" s="12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</row>
    <row r="1098" spans="1:60" ht="15.75" x14ac:dyDescent="0.25">
      <c r="A1098" s="12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</row>
    <row r="1099" spans="1:60" ht="15.75" x14ac:dyDescent="0.25">
      <c r="A1099" s="12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</row>
    <row r="1100" spans="1:60" ht="15.75" x14ac:dyDescent="0.25">
      <c r="A1100" s="12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</row>
    <row r="1101" spans="1:60" ht="15.75" x14ac:dyDescent="0.25">
      <c r="A1101" s="12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</row>
    <row r="1102" spans="1:60" ht="15.75" x14ac:dyDescent="0.25">
      <c r="A1102" s="12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</row>
    <row r="1103" spans="1:60" ht="15.75" x14ac:dyDescent="0.25">
      <c r="A1103" s="12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</row>
    <row r="1104" spans="1:60" ht="15.75" x14ac:dyDescent="0.25">
      <c r="A1104" s="12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</row>
    <row r="1105" spans="1:60" ht="15.75" x14ac:dyDescent="0.25">
      <c r="A1105" s="12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</row>
    <row r="1106" spans="1:60" ht="15.75" x14ac:dyDescent="0.25">
      <c r="A1106" s="12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</row>
    <row r="1107" spans="1:60" ht="15.75" x14ac:dyDescent="0.25">
      <c r="A1107" s="12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</row>
    <row r="1108" spans="1:60" ht="15.75" x14ac:dyDescent="0.25">
      <c r="A1108" s="12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</row>
    <row r="1109" spans="1:60" ht="15.75" x14ac:dyDescent="0.25">
      <c r="A1109" s="12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</row>
    <row r="1110" spans="1:60" ht="15.75" x14ac:dyDescent="0.25">
      <c r="A1110" s="12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</row>
    <row r="1111" spans="1:60" ht="15.75" x14ac:dyDescent="0.25">
      <c r="A1111" s="12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</row>
    <row r="1112" spans="1:60" ht="15.75" x14ac:dyDescent="0.25">
      <c r="A1112" s="12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</row>
    <row r="1113" spans="1:60" ht="15.75" x14ac:dyDescent="0.25">
      <c r="A1113" s="12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</row>
    <row r="1114" spans="1:60" ht="15.75" x14ac:dyDescent="0.25">
      <c r="A1114" s="12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</row>
    <row r="1115" spans="1:60" ht="15.75" x14ac:dyDescent="0.25">
      <c r="A1115" s="12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</row>
    <row r="1116" spans="1:60" ht="15.75" x14ac:dyDescent="0.25">
      <c r="A1116" s="12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</row>
    <row r="1117" spans="1:60" ht="15.75" x14ac:dyDescent="0.25">
      <c r="A1117" s="12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</row>
    <row r="1118" spans="1:60" ht="15.75" x14ac:dyDescent="0.25">
      <c r="A1118" s="12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</row>
    <row r="1119" spans="1:60" ht="15.75" x14ac:dyDescent="0.25">
      <c r="A1119" s="12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</row>
    <row r="1120" spans="1:60" ht="15.75" x14ac:dyDescent="0.25">
      <c r="A1120" s="12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</row>
    <row r="1121" spans="1:60" ht="15.75" x14ac:dyDescent="0.25">
      <c r="A1121" s="12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</row>
    <row r="1122" spans="1:60" ht="15.75" x14ac:dyDescent="0.25">
      <c r="A1122" s="12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</row>
    <row r="1123" spans="1:60" ht="15.75" x14ac:dyDescent="0.25">
      <c r="A1123" s="12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</row>
    <row r="1124" spans="1:60" ht="15.75" x14ac:dyDescent="0.25">
      <c r="A1124" s="12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</row>
    <row r="1125" spans="1:60" ht="15.75" x14ac:dyDescent="0.25">
      <c r="A1125" s="12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</row>
    <row r="1126" spans="1:60" ht="15.75" x14ac:dyDescent="0.25">
      <c r="A1126" s="12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</row>
    <row r="1127" spans="1:60" ht="15.75" x14ac:dyDescent="0.25">
      <c r="A1127" s="12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</row>
    <row r="1128" spans="1:60" ht="15.75" x14ac:dyDescent="0.25">
      <c r="A1128" s="12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</row>
    <row r="1129" spans="1:60" ht="15.75" x14ac:dyDescent="0.25">
      <c r="A1129" s="12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</row>
    <row r="1130" spans="1:60" ht="15.75" x14ac:dyDescent="0.25">
      <c r="A1130" s="12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</row>
    <row r="1131" spans="1:60" ht="15.75" x14ac:dyDescent="0.25">
      <c r="A1131" s="12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</row>
    <row r="1132" spans="1:60" ht="15.75" x14ac:dyDescent="0.25">
      <c r="A1132" s="12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</row>
    <row r="1133" spans="1:60" ht="15.75" x14ac:dyDescent="0.25">
      <c r="A1133" s="12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</row>
    <row r="1134" spans="1:60" ht="15.75" x14ac:dyDescent="0.25">
      <c r="A1134" s="12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</row>
    <row r="1135" spans="1:60" ht="15.75" x14ac:dyDescent="0.25">
      <c r="A1135" s="12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</row>
    <row r="1136" spans="1:60" ht="15.75" x14ac:dyDescent="0.25">
      <c r="A1136" s="12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</row>
    <row r="1137" spans="1:60" ht="15.75" x14ac:dyDescent="0.25">
      <c r="A1137" s="12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</row>
    <row r="1138" spans="1:60" ht="15.75" x14ac:dyDescent="0.25">
      <c r="A1138" s="12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</row>
    <row r="1139" spans="1:60" ht="15.75" x14ac:dyDescent="0.25">
      <c r="A1139" s="12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</row>
    <row r="1140" spans="1:60" ht="15.75" x14ac:dyDescent="0.25">
      <c r="A1140" s="12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</row>
    <row r="1141" spans="1:60" ht="15.75" x14ac:dyDescent="0.25">
      <c r="A1141" s="12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</row>
    <row r="1142" spans="1:60" ht="15.75" x14ac:dyDescent="0.25">
      <c r="A1142" s="12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</row>
    <row r="1143" spans="1:60" ht="15.75" x14ac:dyDescent="0.25">
      <c r="A1143" s="12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</row>
    <row r="1144" spans="1:60" ht="15.75" x14ac:dyDescent="0.25">
      <c r="A1144" s="12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</row>
    <row r="1145" spans="1:60" ht="15.75" x14ac:dyDescent="0.25">
      <c r="A1145" s="12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</row>
    <row r="1146" spans="1:60" ht="15.75" x14ac:dyDescent="0.25">
      <c r="A1146" s="12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</row>
    <row r="1147" spans="1:60" ht="15.75" x14ac:dyDescent="0.25">
      <c r="A1147" s="12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</row>
    <row r="1148" spans="1:60" ht="15.75" x14ac:dyDescent="0.25">
      <c r="A1148" s="12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</row>
    <row r="1149" spans="1:60" ht="15.75" x14ac:dyDescent="0.25">
      <c r="A1149" s="12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</row>
    <row r="1150" spans="1:60" ht="15.75" x14ac:dyDescent="0.25">
      <c r="A1150" s="12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</row>
    <row r="1151" spans="1:60" ht="15.75" x14ac:dyDescent="0.25">
      <c r="A1151" s="12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</row>
    <row r="1152" spans="1:60" ht="15.75" x14ac:dyDescent="0.25">
      <c r="A1152" s="12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</row>
    <row r="1153" spans="1:60" ht="15.75" x14ac:dyDescent="0.25">
      <c r="A1153" s="12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</row>
    <row r="1154" spans="1:60" ht="15.75" x14ac:dyDescent="0.25">
      <c r="A1154" s="12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</row>
    <row r="1155" spans="1:60" ht="15.75" x14ac:dyDescent="0.25">
      <c r="A1155" s="12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</row>
    <row r="1156" spans="1:60" ht="15.75" x14ac:dyDescent="0.25">
      <c r="A1156" s="12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</row>
    <row r="1157" spans="1:60" ht="15.75" x14ac:dyDescent="0.25">
      <c r="A1157" s="12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</row>
    <row r="1158" spans="1:60" ht="15.75" x14ac:dyDescent="0.25">
      <c r="A1158" s="12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</row>
    <row r="1159" spans="1:60" ht="15.75" x14ac:dyDescent="0.25">
      <c r="A1159" s="12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</row>
    <row r="1160" spans="1:60" ht="15.75" x14ac:dyDescent="0.25">
      <c r="A1160" s="12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</row>
    <row r="1161" spans="1:60" ht="15.75" x14ac:dyDescent="0.25">
      <c r="A1161" s="12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</row>
    <row r="1162" spans="1:60" ht="15.75" x14ac:dyDescent="0.25">
      <c r="A1162" s="12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</row>
    <row r="1163" spans="1:60" ht="15.75" x14ac:dyDescent="0.25">
      <c r="A1163" s="12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</row>
    <row r="1164" spans="1:60" ht="15.75" x14ac:dyDescent="0.25">
      <c r="A1164" s="12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</row>
    <row r="1165" spans="1:60" ht="15.75" x14ac:dyDescent="0.25">
      <c r="A1165" s="12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</row>
    <row r="1166" spans="1:60" ht="15.75" x14ac:dyDescent="0.25">
      <c r="A1166" s="12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</row>
    <row r="1167" spans="1:60" ht="15.75" x14ac:dyDescent="0.25">
      <c r="A1167" s="12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</row>
    <row r="1168" spans="1:60" ht="15.75" x14ac:dyDescent="0.25">
      <c r="A1168" s="12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</row>
    <row r="1169" spans="1:60" ht="15.75" x14ac:dyDescent="0.25">
      <c r="A1169" s="12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</row>
    <row r="1170" spans="1:60" ht="15.75" x14ac:dyDescent="0.25">
      <c r="A1170" s="12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</row>
    <row r="1171" spans="1:60" ht="15.75" x14ac:dyDescent="0.25">
      <c r="A1171" s="12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</row>
    <row r="1172" spans="1:60" ht="15.75" x14ac:dyDescent="0.25">
      <c r="A1172" s="12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</row>
    <row r="1173" spans="1:60" ht="15.75" x14ac:dyDescent="0.25">
      <c r="A1173" s="12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</row>
    <row r="1174" spans="1:60" ht="15.75" x14ac:dyDescent="0.25">
      <c r="A1174" s="12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</row>
    <row r="1175" spans="1:60" ht="15.75" x14ac:dyDescent="0.25">
      <c r="A1175" s="12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</row>
    <row r="1176" spans="1:60" ht="15.75" x14ac:dyDescent="0.25">
      <c r="A1176" s="12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</row>
    <row r="1177" spans="1:60" ht="15.75" x14ac:dyDescent="0.25">
      <c r="A1177" s="12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</row>
    <row r="1178" spans="1:60" ht="15.75" x14ac:dyDescent="0.25">
      <c r="A1178" s="12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</row>
    <row r="1179" spans="1:60" ht="15.75" x14ac:dyDescent="0.25">
      <c r="A1179" s="12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</row>
    <row r="1180" spans="1:60" ht="15.75" x14ac:dyDescent="0.25">
      <c r="A1180" s="12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</row>
    <row r="1181" spans="1:60" ht="15.75" x14ac:dyDescent="0.25">
      <c r="A1181" s="12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</row>
    <row r="1182" spans="1:60" ht="15.75" x14ac:dyDescent="0.25">
      <c r="A1182" s="12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</row>
    <row r="1183" spans="1:60" ht="15.75" x14ac:dyDescent="0.25">
      <c r="A1183" s="12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</row>
    <row r="1184" spans="1:60" ht="15.75" x14ac:dyDescent="0.25">
      <c r="A1184" s="12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</row>
    <row r="1185" spans="1:60" ht="15.75" x14ac:dyDescent="0.25">
      <c r="A1185" s="12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</row>
    <row r="1186" spans="1:60" ht="15.75" x14ac:dyDescent="0.25">
      <c r="A1186" s="12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</row>
    <row r="1187" spans="1:60" ht="15.75" x14ac:dyDescent="0.25">
      <c r="A1187" s="12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</row>
    <row r="1188" spans="1:60" ht="15.75" x14ac:dyDescent="0.25">
      <c r="A1188" s="12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</row>
    <row r="1189" spans="1:60" ht="15.75" x14ac:dyDescent="0.25">
      <c r="A1189" s="12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</row>
    <row r="1190" spans="1:60" ht="15.75" x14ac:dyDescent="0.25">
      <c r="A1190" s="12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</row>
    <row r="1191" spans="1:60" ht="15.75" x14ac:dyDescent="0.25">
      <c r="A1191" s="12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</row>
    <row r="1192" spans="1:60" ht="15.75" x14ac:dyDescent="0.25">
      <c r="A1192" s="12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</row>
    <row r="1193" spans="1:60" ht="15.75" x14ac:dyDescent="0.25">
      <c r="A1193" s="12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</row>
    <row r="1194" spans="1:60" ht="15.75" x14ac:dyDescent="0.25">
      <c r="A1194" s="12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</row>
    <row r="1195" spans="1:60" ht="15.75" x14ac:dyDescent="0.25">
      <c r="A1195" s="12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</row>
    <row r="1196" spans="1:60" ht="15.75" x14ac:dyDescent="0.25">
      <c r="A1196" s="12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</row>
    <row r="1197" spans="1:60" ht="15.75" x14ac:dyDescent="0.25">
      <c r="A1197" s="12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</row>
    <row r="1198" spans="1:60" ht="15.75" x14ac:dyDescent="0.25">
      <c r="A1198" s="12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</row>
    <row r="1199" spans="1:60" ht="15.75" x14ac:dyDescent="0.25">
      <c r="A1199" s="12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</row>
    <row r="1200" spans="1:60" ht="15.75" x14ac:dyDescent="0.25">
      <c r="A1200" s="12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</row>
    <row r="1201" spans="1:60" ht="15.75" x14ac:dyDescent="0.25">
      <c r="A1201" s="12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</row>
    <row r="1202" spans="1:60" ht="15.75" x14ac:dyDescent="0.25">
      <c r="A1202" s="12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</row>
    <row r="1203" spans="1:60" ht="15.75" x14ac:dyDescent="0.25">
      <c r="A1203" s="12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</row>
    <row r="1204" spans="1:60" ht="15.75" x14ac:dyDescent="0.25">
      <c r="A1204" s="12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</row>
    <row r="1205" spans="1:60" ht="15.75" x14ac:dyDescent="0.25">
      <c r="A1205" s="12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</row>
    <row r="1206" spans="1:60" ht="15.75" x14ac:dyDescent="0.25">
      <c r="A1206" s="12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</row>
    <row r="1207" spans="1:60" ht="15.75" x14ac:dyDescent="0.25">
      <c r="A1207" s="12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</row>
    <row r="1208" spans="1:60" ht="15.75" x14ac:dyDescent="0.25">
      <c r="A1208" s="12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</row>
    <row r="1209" spans="1:60" ht="15.75" x14ac:dyDescent="0.25">
      <c r="A1209" s="12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</row>
    <row r="1210" spans="1:60" ht="15.75" x14ac:dyDescent="0.25">
      <c r="A1210" s="12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</row>
    <row r="1211" spans="1:60" ht="15.75" x14ac:dyDescent="0.25">
      <c r="A1211" s="12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</row>
    <row r="1212" spans="1:60" ht="15.75" x14ac:dyDescent="0.25">
      <c r="A1212" s="12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</row>
    <row r="1213" spans="1:60" ht="15.75" x14ac:dyDescent="0.25">
      <c r="A1213" s="12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</row>
    <row r="1214" spans="1:60" ht="15.75" x14ac:dyDescent="0.25">
      <c r="A1214" s="12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</row>
    <row r="1215" spans="1:60" ht="15.75" x14ac:dyDescent="0.25">
      <c r="A1215" s="12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</row>
    <row r="1216" spans="1:60" ht="15.75" x14ac:dyDescent="0.25">
      <c r="A1216" s="12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</row>
    <row r="1217" spans="1:60" ht="15.75" x14ac:dyDescent="0.25">
      <c r="A1217" s="12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</row>
    <row r="1218" spans="1:60" ht="15.75" x14ac:dyDescent="0.25">
      <c r="A1218" s="12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</row>
    <row r="1219" spans="1:60" ht="15.75" x14ac:dyDescent="0.25">
      <c r="A1219" s="12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</row>
    <row r="1220" spans="1:60" ht="15.75" x14ac:dyDescent="0.25">
      <c r="A1220" s="12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</row>
    <row r="1221" spans="1:60" ht="15.75" x14ac:dyDescent="0.25">
      <c r="A1221" s="12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</row>
    <row r="1222" spans="1:60" ht="15.75" x14ac:dyDescent="0.25">
      <c r="A1222" s="12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</row>
    <row r="1223" spans="1:60" ht="15.75" x14ac:dyDescent="0.25">
      <c r="A1223" s="12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</row>
    <row r="1224" spans="1:60" ht="15.75" x14ac:dyDescent="0.25">
      <c r="A1224" s="12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</row>
    <row r="1225" spans="1:60" ht="15.75" x14ac:dyDescent="0.25">
      <c r="A1225" s="12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</row>
    <row r="1226" spans="1:60" ht="15.75" x14ac:dyDescent="0.25">
      <c r="A1226" s="12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</row>
    <row r="1227" spans="1:60" ht="15.75" x14ac:dyDescent="0.25">
      <c r="A1227" s="12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</row>
    <row r="1228" spans="1:60" ht="15.75" x14ac:dyDescent="0.25">
      <c r="A1228" s="12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</row>
    <row r="1229" spans="1:60" ht="15.75" x14ac:dyDescent="0.25">
      <c r="A1229" s="12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</row>
    <row r="1230" spans="1:60" ht="15.75" x14ac:dyDescent="0.25">
      <c r="A1230" s="12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</row>
    <row r="1231" spans="1:60" ht="15.75" x14ac:dyDescent="0.25">
      <c r="A1231" s="12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</row>
    <row r="1232" spans="1:60" ht="15.75" x14ac:dyDescent="0.25">
      <c r="A1232" s="12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</row>
    <row r="1233" spans="1:60" ht="15.75" x14ac:dyDescent="0.25">
      <c r="A1233" s="12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</row>
    <row r="1234" spans="1:60" ht="15.75" x14ac:dyDescent="0.25">
      <c r="A1234" s="12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</row>
    <row r="1235" spans="1:60" ht="15.75" x14ac:dyDescent="0.25">
      <c r="A1235" s="12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</row>
    <row r="1236" spans="1:60" ht="15.75" x14ac:dyDescent="0.25">
      <c r="A1236" s="12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</row>
    <row r="1237" spans="1:60" ht="15.75" x14ac:dyDescent="0.25">
      <c r="A1237" s="12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</row>
    <row r="1238" spans="1:60" ht="15.75" x14ac:dyDescent="0.25">
      <c r="A1238" s="12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</row>
    <row r="1239" spans="1:60" ht="15.75" x14ac:dyDescent="0.25">
      <c r="A1239" s="12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</row>
    <row r="1240" spans="1:60" ht="15.75" x14ac:dyDescent="0.25">
      <c r="A1240" s="12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</row>
    <row r="1241" spans="1:60" ht="15.75" x14ac:dyDescent="0.25">
      <c r="A1241" s="12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</row>
    <row r="1242" spans="1:60" ht="15.75" x14ac:dyDescent="0.25">
      <c r="A1242" s="12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</row>
    <row r="1243" spans="1:60" ht="15.75" x14ac:dyDescent="0.25">
      <c r="A1243" s="12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</row>
    <row r="1244" spans="1:60" ht="15.75" x14ac:dyDescent="0.25">
      <c r="A1244" s="12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</row>
    <row r="1245" spans="1:60" ht="15.75" x14ac:dyDescent="0.25">
      <c r="A1245" s="12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</row>
    <row r="1246" spans="1:60" ht="15.75" x14ac:dyDescent="0.25">
      <c r="A1246" s="12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</row>
    <row r="1247" spans="1:60" ht="15.75" x14ac:dyDescent="0.25">
      <c r="A1247" s="12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</row>
    <row r="1248" spans="1:60" ht="15.75" x14ac:dyDescent="0.25">
      <c r="A1248" s="12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</row>
    <row r="1249" spans="1:60" ht="15.75" x14ac:dyDescent="0.25">
      <c r="A1249" s="12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</row>
    <row r="1250" spans="1:60" ht="15.75" x14ac:dyDescent="0.25">
      <c r="A1250" s="12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</row>
    <row r="1251" spans="1:60" ht="15.75" x14ac:dyDescent="0.25">
      <c r="A1251" s="12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</row>
    <row r="1252" spans="1:60" ht="15.75" x14ac:dyDescent="0.25">
      <c r="A1252" s="12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</row>
    <row r="1253" spans="1:60" ht="15.75" x14ac:dyDescent="0.25">
      <c r="A1253" s="12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</row>
    <row r="1254" spans="1:60" ht="15.75" x14ac:dyDescent="0.25">
      <c r="A1254" s="12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</row>
    <row r="1255" spans="1:60" ht="15.75" x14ac:dyDescent="0.25">
      <c r="A1255" s="12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</row>
    <row r="1256" spans="1:60" ht="15.75" x14ac:dyDescent="0.25">
      <c r="A1256" s="12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</row>
    <row r="1257" spans="1:60" ht="15.75" x14ac:dyDescent="0.25">
      <c r="A1257" s="12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</row>
    <row r="1258" spans="1:60" ht="15.75" x14ac:dyDescent="0.25">
      <c r="A1258" s="12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</row>
    <row r="1259" spans="1:60" ht="15.75" x14ac:dyDescent="0.25">
      <c r="A1259" s="12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</row>
    <row r="1260" spans="1:60" ht="15.75" x14ac:dyDescent="0.25">
      <c r="A1260" s="12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</row>
    <row r="1261" spans="1:60" ht="15.75" x14ac:dyDescent="0.25">
      <c r="A1261" s="12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</row>
    <row r="1262" spans="1:60" ht="15.75" x14ac:dyDescent="0.25">
      <c r="A1262" s="12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</row>
    <row r="1263" spans="1:60" ht="15.75" x14ac:dyDescent="0.25">
      <c r="A1263" s="12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</row>
    <row r="1264" spans="1:60" ht="15.75" x14ac:dyDescent="0.25">
      <c r="A1264" s="12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</row>
    <row r="1265" spans="1:60" ht="15.75" x14ac:dyDescent="0.25">
      <c r="A1265" s="12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</row>
    <row r="1266" spans="1:60" ht="15.75" x14ac:dyDescent="0.25">
      <c r="A1266" s="12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</row>
    <row r="1267" spans="1:60" ht="15.75" x14ac:dyDescent="0.25">
      <c r="A1267" s="12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</row>
    <row r="1268" spans="1:60" ht="15.75" x14ac:dyDescent="0.25">
      <c r="A1268" s="12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</row>
    <row r="1269" spans="1:60" ht="15.75" x14ac:dyDescent="0.25">
      <c r="A1269" s="12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</row>
    <row r="1270" spans="1:60" ht="15.75" x14ac:dyDescent="0.25">
      <c r="A1270" s="12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</row>
    <row r="1271" spans="1:60" ht="15.75" x14ac:dyDescent="0.25">
      <c r="A1271" s="12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</row>
    <row r="1272" spans="1:60" ht="15.75" x14ac:dyDescent="0.25">
      <c r="A1272" s="12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</row>
    <row r="1273" spans="1:60" ht="15.75" x14ac:dyDescent="0.25">
      <c r="A1273" s="12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</row>
    <row r="1274" spans="1:60" ht="15.75" x14ac:dyDescent="0.25">
      <c r="A1274" s="12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</row>
    <row r="1275" spans="1:60" ht="15.75" x14ac:dyDescent="0.25">
      <c r="A1275" s="12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</row>
    <row r="1276" spans="1:60" ht="15.75" x14ac:dyDescent="0.25">
      <c r="A1276" s="12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</row>
    <row r="1277" spans="1:60" ht="15.75" x14ac:dyDescent="0.25">
      <c r="A1277" s="12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</row>
    <row r="1278" spans="1:60" ht="15.75" x14ac:dyDescent="0.25">
      <c r="A1278" s="12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</row>
    <row r="1279" spans="1:60" ht="15.75" x14ac:dyDescent="0.25">
      <c r="A1279" s="12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</row>
    <row r="1280" spans="1:60" ht="15.75" x14ac:dyDescent="0.25">
      <c r="A1280" s="12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</row>
    <row r="1281" spans="1:60" ht="15.75" x14ac:dyDescent="0.25">
      <c r="A1281" s="12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</row>
    <row r="1282" spans="1:60" ht="15.75" x14ac:dyDescent="0.25">
      <c r="A1282" s="12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</row>
    <row r="1283" spans="1:60" ht="15.75" x14ac:dyDescent="0.25">
      <c r="A1283" s="12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</row>
    <row r="1284" spans="1:60" ht="15.75" x14ac:dyDescent="0.25">
      <c r="A1284" s="12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</row>
    <row r="1285" spans="1:60" ht="15.75" x14ac:dyDescent="0.25">
      <c r="A1285" s="12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</row>
    <row r="1286" spans="1:60" ht="15.75" x14ac:dyDescent="0.25">
      <c r="A1286" s="12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</row>
    <row r="1287" spans="1:60" ht="15.75" x14ac:dyDescent="0.25">
      <c r="A1287" s="12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</row>
    <row r="1288" spans="1:60" ht="15.75" x14ac:dyDescent="0.25">
      <c r="A1288" s="12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</row>
    <row r="1289" spans="1:60" ht="15.75" x14ac:dyDescent="0.25">
      <c r="A1289" s="12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</row>
    <row r="1290" spans="1:60" ht="15.75" x14ac:dyDescent="0.25">
      <c r="A1290" s="12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</row>
    <row r="1291" spans="1:60" ht="15.75" x14ac:dyDescent="0.25">
      <c r="A1291" s="12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</row>
    <row r="1292" spans="1:60" ht="15.75" x14ac:dyDescent="0.25">
      <c r="A1292" s="12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</row>
    <row r="1293" spans="1:60" ht="15.75" x14ac:dyDescent="0.25">
      <c r="A1293" s="12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</row>
    <row r="1294" spans="1:60" ht="15.75" x14ac:dyDescent="0.25">
      <c r="A1294" s="12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</row>
    <row r="1295" spans="1:60" ht="15.75" x14ac:dyDescent="0.25">
      <c r="A1295" s="12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</row>
    <row r="1296" spans="1:60" ht="15.75" x14ac:dyDescent="0.25">
      <c r="A1296" s="12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</row>
    <row r="1297" spans="1:60" ht="15.75" x14ac:dyDescent="0.25">
      <c r="A1297" s="12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</row>
    <row r="1298" spans="1:60" ht="15.75" x14ac:dyDescent="0.25">
      <c r="A1298" s="12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</row>
    <row r="1299" spans="1:60" ht="15.75" x14ac:dyDescent="0.25">
      <c r="A1299" s="12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</row>
    <row r="1300" spans="1:60" ht="15.75" x14ac:dyDescent="0.25">
      <c r="A1300" s="12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</row>
    <row r="1301" spans="1:60" ht="15.75" x14ac:dyDescent="0.25">
      <c r="A1301" s="12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</row>
    <row r="1302" spans="1:60" ht="15.75" x14ac:dyDescent="0.25">
      <c r="A1302" s="12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</row>
    <row r="1303" spans="1:60" ht="15.75" x14ac:dyDescent="0.25">
      <c r="A1303" s="12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</row>
    <row r="1304" spans="1:60" ht="15.75" x14ac:dyDescent="0.25">
      <c r="A1304" s="12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</row>
    <row r="1305" spans="1:60" ht="15.75" x14ac:dyDescent="0.25">
      <c r="A1305" s="12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</row>
    <row r="1306" spans="1:60" ht="15.75" x14ac:dyDescent="0.25">
      <c r="A1306" s="12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</row>
    <row r="1307" spans="1:60" ht="15.75" x14ac:dyDescent="0.25">
      <c r="A1307" s="12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</row>
    <row r="1308" spans="1:60" ht="15.75" x14ac:dyDescent="0.25">
      <c r="A1308" s="12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</row>
    <row r="1309" spans="1:60" ht="15.75" x14ac:dyDescent="0.25">
      <c r="A1309" s="12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</row>
    <row r="1310" spans="1:60" ht="15.75" x14ac:dyDescent="0.25">
      <c r="A1310" s="12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</row>
    <row r="1311" spans="1:60" ht="15.75" x14ac:dyDescent="0.25">
      <c r="A1311" s="12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</row>
    <row r="1312" spans="1:60" ht="15.75" x14ac:dyDescent="0.25">
      <c r="A1312" s="12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</row>
    <row r="1313" spans="1:60" ht="15.75" x14ac:dyDescent="0.25">
      <c r="A1313" s="12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</row>
    <row r="1314" spans="1:60" ht="15.75" x14ac:dyDescent="0.25">
      <c r="A1314" s="12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</row>
    <row r="1315" spans="1:60" ht="15.75" x14ac:dyDescent="0.25">
      <c r="A1315" s="12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</row>
    <row r="1316" spans="1:60" ht="15.75" x14ac:dyDescent="0.25">
      <c r="A1316" s="12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</row>
    <row r="1317" spans="1:60" ht="15.75" x14ac:dyDescent="0.25">
      <c r="A1317" s="12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</row>
    <row r="1318" spans="1:60" ht="15.75" x14ac:dyDescent="0.25">
      <c r="A1318" s="12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</row>
    <row r="1319" spans="1:60" ht="15.75" x14ac:dyDescent="0.25">
      <c r="A1319" s="12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</row>
    <row r="1320" spans="1:60" ht="15.75" x14ac:dyDescent="0.25">
      <c r="A1320" s="12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</row>
    <row r="1321" spans="1:60" ht="15.75" x14ac:dyDescent="0.25">
      <c r="A1321" s="12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</row>
    <row r="1322" spans="1:60" ht="15.75" x14ac:dyDescent="0.25">
      <c r="A1322" s="12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</row>
    <row r="1323" spans="1:60" ht="15.75" x14ac:dyDescent="0.25">
      <c r="A1323" s="12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</row>
    <row r="1324" spans="1:60" ht="15.75" x14ac:dyDescent="0.25">
      <c r="A1324" s="12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</row>
    <row r="1325" spans="1:60" ht="15.75" x14ac:dyDescent="0.25">
      <c r="A1325" s="12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</row>
    <row r="1326" spans="1:60" ht="15.75" x14ac:dyDescent="0.25">
      <c r="A1326" s="12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</row>
    <row r="1327" spans="1:60" ht="15.75" x14ac:dyDescent="0.25">
      <c r="A1327" s="12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</row>
    <row r="1328" spans="1:60" ht="15.75" x14ac:dyDescent="0.25">
      <c r="A1328" s="12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</row>
    <row r="1329" spans="1:60" ht="15.75" x14ac:dyDescent="0.25">
      <c r="A1329" s="12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</row>
    <row r="1330" spans="1:60" ht="15.75" x14ac:dyDescent="0.25">
      <c r="A1330" s="12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</row>
    <row r="1331" spans="1:60" ht="15.75" x14ac:dyDescent="0.25">
      <c r="A1331" s="12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</row>
    <row r="1332" spans="1:60" ht="15.75" x14ac:dyDescent="0.25">
      <c r="A1332" s="12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</row>
    <row r="1333" spans="1:60" ht="15.75" x14ac:dyDescent="0.25">
      <c r="A1333" s="12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</row>
    <row r="1334" spans="1:60" ht="15.75" x14ac:dyDescent="0.25">
      <c r="A1334" s="12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</row>
    <row r="1335" spans="1:60" ht="15.75" x14ac:dyDescent="0.25">
      <c r="A1335" s="12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</row>
    <row r="1336" spans="1:60" ht="15.75" x14ac:dyDescent="0.25">
      <c r="A1336" s="12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</row>
    <row r="1337" spans="1:60" ht="15.75" x14ac:dyDescent="0.25">
      <c r="A1337" s="12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</row>
    <row r="1338" spans="1:60" ht="15.75" x14ac:dyDescent="0.25">
      <c r="A1338" s="12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</row>
    <row r="1339" spans="1:60" ht="15.75" x14ac:dyDescent="0.25">
      <c r="A1339" s="12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</row>
    <row r="1340" spans="1:60" ht="15.75" x14ac:dyDescent="0.25">
      <c r="A1340" s="12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</row>
    <row r="1341" spans="1:60" ht="15.75" x14ac:dyDescent="0.25">
      <c r="A1341" s="12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</row>
    <row r="1342" spans="1:60" ht="15.75" x14ac:dyDescent="0.25">
      <c r="A1342" s="12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</row>
    <row r="1343" spans="1:60" ht="15.75" x14ac:dyDescent="0.25">
      <c r="A1343" s="12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</row>
    <row r="1344" spans="1:60" ht="15.75" x14ac:dyDescent="0.25">
      <c r="A1344" s="12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</row>
    <row r="1345" spans="1:60" ht="15.75" x14ac:dyDescent="0.25">
      <c r="A1345" s="12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</row>
    <row r="1346" spans="1:60" ht="15.75" x14ac:dyDescent="0.25">
      <c r="A1346" s="12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</row>
    <row r="1347" spans="1:60" ht="15.75" x14ac:dyDescent="0.25">
      <c r="A1347" s="12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</row>
    <row r="1348" spans="1:60" ht="15.75" x14ac:dyDescent="0.25">
      <c r="A1348" s="12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</row>
    <row r="1349" spans="1:60" ht="15.75" x14ac:dyDescent="0.25">
      <c r="A1349" s="12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</row>
    <row r="1350" spans="1:60" ht="15.75" x14ac:dyDescent="0.25">
      <c r="A1350" s="12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</row>
    <row r="1351" spans="1:60" ht="15.75" x14ac:dyDescent="0.25">
      <c r="A1351" s="12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</row>
    <row r="1352" spans="1:60" ht="15.75" x14ac:dyDescent="0.25">
      <c r="A1352" s="12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</row>
    <row r="1353" spans="1:60" ht="15.75" x14ac:dyDescent="0.25">
      <c r="A1353" s="12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</row>
    <row r="1354" spans="1:60" ht="15.75" x14ac:dyDescent="0.25">
      <c r="A1354" s="12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</row>
    <row r="1355" spans="1:60" ht="15.75" x14ac:dyDescent="0.25">
      <c r="A1355" s="12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</row>
    <row r="1356" spans="1:60" ht="15.75" x14ac:dyDescent="0.25">
      <c r="A1356" s="12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</row>
    <row r="1357" spans="1:60" ht="15.75" x14ac:dyDescent="0.25">
      <c r="A1357" s="12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</row>
    <row r="1358" spans="1:60" ht="15.75" x14ac:dyDescent="0.25">
      <c r="A1358" s="12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</row>
    <row r="1359" spans="1:60" ht="15.75" x14ac:dyDescent="0.25">
      <c r="A1359" s="12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</row>
    <row r="1360" spans="1:60" ht="15.75" x14ac:dyDescent="0.25">
      <c r="A1360" s="12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</row>
    <row r="1361" spans="1:60" ht="15.75" x14ac:dyDescent="0.25">
      <c r="A1361" s="12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</row>
    <row r="1362" spans="1:60" ht="15.75" x14ac:dyDescent="0.25">
      <c r="A1362" s="12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</row>
    <row r="1363" spans="1:60" ht="15.75" x14ac:dyDescent="0.25">
      <c r="A1363" s="12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</row>
    <row r="1364" spans="1:60" ht="15.75" x14ac:dyDescent="0.25">
      <c r="A1364" s="12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</row>
    <row r="1365" spans="1:60" ht="15.75" x14ac:dyDescent="0.25">
      <c r="A1365" s="12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</row>
    <row r="1366" spans="1:60" ht="15.75" x14ac:dyDescent="0.25">
      <c r="A1366" s="12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</row>
    <row r="1367" spans="1:60" ht="15.75" x14ac:dyDescent="0.25">
      <c r="A1367" s="12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</row>
    <row r="1368" spans="1:60" ht="15.75" x14ac:dyDescent="0.25">
      <c r="A1368" s="12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</row>
    <row r="1369" spans="1:60" ht="15.75" x14ac:dyDescent="0.25">
      <c r="A1369" s="12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</row>
    <row r="1370" spans="1:60" ht="15.75" x14ac:dyDescent="0.25">
      <c r="A1370" s="12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</row>
    <row r="1371" spans="1:60" ht="15.75" x14ac:dyDescent="0.25">
      <c r="A1371" s="12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</row>
    <row r="1372" spans="1:60" ht="15.75" x14ac:dyDescent="0.25">
      <c r="A1372" s="12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</row>
    <row r="1373" spans="1:60" ht="15.75" x14ac:dyDescent="0.25">
      <c r="A1373" s="12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</row>
    <row r="1374" spans="1:60" ht="15.75" x14ac:dyDescent="0.25">
      <c r="A1374" s="12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</row>
    <row r="1375" spans="1:60" ht="15.75" x14ac:dyDescent="0.25">
      <c r="A1375" s="12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</row>
    <row r="1376" spans="1:60" ht="15.75" x14ac:dyDescent="0.25">
      <c r="A1376" s="12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</row>
    <row r="1377" spans="1:60" ht="15.75" x14ac:dyDescent="0.25">
      <c r="A1377" s="12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</row>
    <row r="1378" spans="1:60" ht="15.75" x14ac:dyDescent="0.25">
      <c r="A1378" s="12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</row>
    <row r="1379" spans="1:60" ht="15.75" x14ac:dyDescent="0.25">
      <c r="A1379" s="12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</row>
    <row r="1380" spans="1:60" ht="15.75" x14ac:dyDescent="0.25">
      <c r="A1380" s="12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</row>
    <row r="1381" spans="1:60" ht="15.75" x14ac:dyDescent="0.25">
      <c r="A1381" s="12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</row>
    <row r="1382" spans="1:60" ht="15.75" x14ac:dyDescent="0.25">
      <c r="A1382" s="12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</row>
    <row r="1383" spans="1:60" ht="15.75" x14ac:dyDescent="0.25">
      <c r="A1383" s="12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</row>
    <row r="1384" spans="1:60" ht="15.75" x14ac:dyDescent="0.25">
      <c r="A1384" s="12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</row>
    <row r="1385" spans="1:60" ht="15.75" x14ac:dyDescent="0.25">
      <c r="A1385" s="12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</row>
    <row r="1386" spans="1:60" ht="15.75" x14ac:dyDescent="0.25">
      <c r="A1386" s="12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</row>
    <row r="1387" spans="1:60" ht="15.75" x14ac:dyDescent="0.25">
      <c r="A1387" s="12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</row>
    <row r="1388" spans="1:60" ht="15.75" x14ac:dyDescent="0.25">
      <c r="A1388" s="12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</row>
    <row r="1389" spans="1:60" ht="15.75" x14ac:dyDescent="0.25">
      <c r="A1389" s="12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</row>
    <row r="1390" spans="1:60" ht="15.75" x14ac:dyDescent="0.25">
      <c r="A1390" s="12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</row>
    <row r="1391" spans="1:60" ht="15.75" x14ac:dyDescent="0.25">
      <c r="A1391" s="12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</row>
    <row r="1392" spans="1:60" ht="15.75" x14ac:dyDescent="0.25">
      <c r="A1392" s="12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</row>
    <row r="1393" spans="1:60" ht="15.75" x14ac:dyDescent="0.25">
      <c r="A1393" s="12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</row>
    <row r="1394" spans="1:60" ht="15.75" x14ac:dyDescent="0.25">
      <c r="A1394" s="12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</row>
    <row r="1395" spans="1:60" ht="15.75" x14ac:dyDescent="0.25">
      <c r="A1395" s="12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</row>
    <row r="1396" spans="1:60" ht="15.75" x14ac:dyDescent="0.25">
      <c r="A1396" s="12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</row>
    <row r="1397" spans="1:60" ht="15.75" x14ac:dyDescent="0.25">
      <c r="A1397" s="12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</row>
    <row r="1398" spans="1:60" ht="15.75" x14ac:dyDescent="0.25">
      <c r="A1398" s="12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</row>
    <row r="1399" spans="1:60" ht="15.75" x14ac:dyDescent="0.25">
      <c r="A1399" s="12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</row>
    <row r="1400" spans="1:60" ht="15.75" x14ac:dyDescent="0.25">
      <c r="A1400" s="12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</row>
    <row r="1401" spans="1:60" ht="15.75" x14ac:dyDescent="0.25">
      <c r="A1401" s="12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</row>
    <row r="1402" spans="1:60" ht="15.75" x14ac:dyDescent="0.25">
      <c r="A1402" s="12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</row>
    <row r="1403" spans="1:60" ht="15.75" x14ac:dyDescent="0.25">
      <c r="A1403" s="12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</row>
    <row r="1404" spans="1:60" ht="15.75" x14ac:dyDescent="0.25">
      <c r="A1404" s="12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</row>
    <row r="1405" spans="1:60" ht="15.75" x14ac:dyDescent="0.25">
      <c r="A1405" s="12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</row>
    <row r="1406" spans="1:60" ht="15.75" x14ac:dyDescent="0.25">
      <c r="A1406" s="12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</row>
    <row r="1407" spans="1:60" ht="15.75" x14ac:dyDescent="0.25">
      <c r="A1407" s="12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</row>
    <row r="1408" spans="1:60" ht="15.75" x14ac:dyDescent="0.25">
      <c r="A1408" s="12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</row>
    <row r="1409" spans="1:60" ht="15.75" x14ac:dyDescent="0.25">
      <c r="A1409" s="12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</row>
    <row r="1410" spans="1:60" ht="15.75" x14ac:dyDescent="0.25">
      <c r="A1410" s="12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</row>
    <row r="1411" spans="1:60" ht="15.75" x14ac:dyDescent="0.25">
      <c r="A1411" s="12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</row>
    <row r="1412" spans="1:60" ht="15.75" x14ac:dyDescent="0.25">
      <c r="A1412" s="12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</row>
    <row r="1413" spans="1:60" ht="15.75" x14ac:dyDescent="0.25">
      <c r="A1413" s="12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</row>
    <row r="1414" spans="1:60" ht="15.75" x14ac:dyDescent="0.25">
      <c r="A1414" s="12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</row>
    <row r="1415" spans="1:60" ht="15.75" x14ac:dyDescent="0.25">
      <c r="A1415" s="12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</row>
    <row r="1416" spans="1:60" ht="15.75" x14ac:dyDescent="0.25">
      <c r="A1416" s="12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</row>
    <row r="1417" spans="1:60" ht="15.75" x14ac:dyDescent="0.25">
      <c r="A1417" s="12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</row>
    <row r="1418" spans="1:60" ht="15.75" x14ac:dyDescent="0.25">
      <c r="A1418" s="12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</row>
    <row r="1419" spans="1:60" ht="15.75" x14ac:dyDescent="0.25">
      <c r="A1419" s="12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</row>
    <row r="1420" spans="1:60" ht="15.75" x14ac:dyDescent="0.25">
      <c r="A1420" s="12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</row>
    <row r="1421" spans="1:60" ht="15.75" x14ac:dyDescent="0.25">
      <c r="A1421" s="12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</row>
    <row r="1422" spans="1:60" ht="15.75" x14ac:dyDescent="0.25">
      <c r="A1422" s="12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</row>
    <row r="1423" spans="1:60" ht="15.75" x14ac:dyDescent="0.25">
      <c r="A1423" s="12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</row>
    <row r="1424" spans="1:60" ht="15.75" x14ac:dyDescent="0.25">
      <c r="A1424" s="12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</row>
    <row r="1425" spans="1:60" ht="15.75" x14ac:dyDescent="0.25">
      <c r="A1425" s="12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</row>
    <row r="1426" spans="1:60" ht="15.75" x14ac:dyDescent="0.25">
      <c r="A1426" s="12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</row>
    <row r="1427" spans="1:60" ht="15.75" x14ac:dyDescent="0.25">
      <c r="A1427" s="12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</row>
    <row r="1428" spans="1:60" ht="15.75" x14ac:dyDescent="0.25">
      <c r="A1428" s="12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</row>
    <row r="1429" spans="1:60" ht="15.75" x14ac:dyDescent="0.25">
      <c r="A1429" s="12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</row>
    <row r="1430" spans="1:60" ht="15.75" x14ac:dyDescent="0.25">
      <c r="A1430" s="12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</row>
    <row r="1431" spans="1:60" ht="15.75" x14ac:dyDescent="0.25">
      <c r="A1431" s="12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</row>
    <row r="1432" spans="1:60" ht="15.75" x14ac:dyDescent="0.25">
      <c r="A1432" s="12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</row>
    <row r="1433" spans="1:60" ht="15.75" x14ac:dyDescent="0.25">
      <c r="A1433" s="12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</row>
    <row r="1434" spans="1:60" ht="15.75" x14ac:dyDescent="0.25">
      <c r="A1434" s="12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</row>
    <row r="1435" spans="1:60" ht="15.75" x14ac:dyDescent="0.25">
      <c r="A1435" s="12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</row>
    <row r="1436" spans="1:60" ht="15.75" x14ac:dyDescent="0.25">
      <c r="A1436" s="12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</row>
    <row r="1437" spans="1:60" ht="15.75" x14ac:dyDescent="0.25">
      <c r="A1437" s="12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</row>
    <row r="1438" spans="1:60" ht="15.75" x14ac:dyDescent="0.25">
      <c r="A1438" s="12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</row>
    <row r="1439" spans="1:60" ht="15.75" x14ac:dyDescent="0.25">
      <c r="A1439" s="12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</row>
    <row r="1440" spans="1:60" ht="15.75" x14ac:dyDescent="0.25">
      <c r="A1440" s="12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</row>
    <row r="1441" spans="1:60" ht="15.75" x14ac:dyDescent="0.25">
      <c r="A1441" s="12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</row>
    <row r="1442" spans="1:60" ht="15.75" x14ac:dyDescent="0.25">
      <c r="A1442" s="12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</row>
    <row r="1443" spans="1:60" ht="15.75" x14ac:dyDescent="0.25">
      <c r="A1443" s="12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</row>
    <row r="1444" spans="1:60" ht="15.75" x14ac:dyDescent="0.25">
      <c r="A1444" s="12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</row>
    <row r="1445" spans="1:60" ht="15.75" x14ac:dyDescent="0.25">
      <c r="A1445" s="12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</row>
    <row r="1446" spans="1:60" ht="15.75" x14ac:dyDescent="0.25">
      <c r="A1446" s="12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</row>
    <row r="1447" spans="1:60" ht="15.75" x14ac:dyDescent="0.25">
      <c r="A1447" s="12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</row>
    <row r="1448" spans="1:60" ht="15.75" x14ac:dyDescent="0.25">
      <c r="A1448" s="12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</row>
    <row r="1449" spans="1:60" ht="15.75" x14ac:dyDescent="0.25">
      <c r="A1449" s="12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</row>
    <row r="1450" spans="1:60" ht="15.75" x14ac:dyDescent="0.25">
      <c r="A1450" s="12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</row>
    <row r="1451" spans="1:60" ht="15.75" x14ac:dyDescent="0.25">
      <c r="A1451" s="12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</row>
    <row r="1452" spans="1:60" ht="15.75" x14ac:dyDescent="0.25">
      <c r="A1452" s="12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</row>
    <row r="1453" spans="1:60" ht="15.75" x14ac:dyDescent="0.25">
      <c r="A1453" s="12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</row>
    <row r="1454" spans="1:60" ht="15.75" x14ac:dyDescent="0.25">
      <c r="A1454" s="12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</row>
    <row r="1455" spans="1:60" ht="15.75" x14ac:dyDescent="0.25">
      <c r="A1455" s="12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</row>
    <row r="1456" spans="1:60" ht="15.75" x14ac:dyDescent="0.25">
      <c r="A1456" s="12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</row>
    <row r="1457" spans="1:60" ht="15.75" x14ac:dyDescent="0.25">
      <c r="A1457" s="12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</row>
    <row r="1458" spans="1:60" ht="15.75" x14ac:dyDescent="0.25">
      <c r="A1458" s="12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</row>
    <row r="1459" spans="1:60" ht="15.75" x14ac:dyDescent="0.25">
      <c r="A1459" s="12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</row>
    <row r="1460" spans="1:60" ht="15.75" x14ac:dyDescent="0.25">
      <c r="A1460" s="12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</row>
    <row r="1461" spans="1:60" ht="15.75" x14ac:dyDescent="0.25">
      <c r="A1461" s="12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</row>
    <row r="1462" spans="1:60" ht="15.75" x14ac:dyDescent="0.25">
      <c r="A1462" s="12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</row>
    <row r="1463" spans="1:60" ht="15.75" x14ac:dyDescent="0.25">
      <c r="A1463" s="12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</row>
    <row r="1464" spans="1:60" ht="15.75" x14ac:dyDescent="0.25">
      <c r="A1464" s="12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</row>
    <row r="1465" spans="1:60" ht="15.75" x14ac:dyDescent="0.25">
      <c r="A1465" s="12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</row>
    <row r="1466" spans="1:60" ht="15.75" x14ac:dyDescent="0.25">
      <c r="A1466" s="12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</row>
    <row r="1467" spans="1:60" ht="15.75" x14ac:dyDescent="0.25">
      <c r="A1467" s="12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</row>
    <row r="1468" spans="1:60" ht="15.75" x14ac:dyDescent="0.25">
      <c r="A1468" s="12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</row>
    <row r="1469" spans="1:60" ht="15.75" x14ac:dyDescent="0.25">
      <c r="A1469" s="12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</row>
    <row r="1470" spans="1:60" ht="15.75" x14ac:dyDescent="0.25">
      <c r="A1470" s="12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</row>
    <row r="1471" spans="1:60" ht="15.75" x14ac:dyDescent="0.25">
      <c r="A1471" s="12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</row>
    <row r="1472" spans="1:60" ht="15.75" x14ac:dyDescent="0.25">
      <c r="A1472" s="12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</row>
    <row r="1473" spans="1:60" ht="15.75" x14ac:dyDescent="0.25">
      <c r="A1473" s="12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</row>
    <row r="1474" spans="1:60" ht="15.75" x14ac:dyDescent="0.25">
      <c r="A1474" s="12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</row>
    <row r="1475" spans="1:60" ht="15.75" x14ac:dyDescent="0.25">
      <c r="A1475" s="12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</row>
    <row r="1476" spans="1:60" ht="15.75" x14ac:dyDescent="0.25">
      <c r="A1476" s="12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</row>
    <row r="1477" spans="1:60" ht="15.75" x14ac:dyDescent="0.25">
      <c r="A1477" s="12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</row>
    <row r="1478" spans="1:60" ht="15.75" x14ac:dyDescent="0.25">
      <c r="A1478" s="12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</row>
    <row r="1479" spans="1:60" ht="15.75" x14ac:dyDescent="0.25">
      <c r="A1479" s="12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</row>
    <row r="1480" spans="1:60" ht="15.75" x14ac:dyDescent="0.25">
      <c r="A1480" s="12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</row>
    <row r="1481" spans="1:60" ht="15.75" x14ac:dyDescent="0.25">
      <c r="A1481" s="12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</row>
    <row r="1482" spans="1:60" ht="15.75" x14ac:dyDescent="0.25">
      <c r="A1482" s="12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</row>
    <row r="1483" spans="1:60" ht="15.75" x14ac:dyDescent="0.25">
      <c r="A1483" s="12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</row>
    <row r="1484" spans="1:60" ht="15.75" x14ac:dyDescent="0.25">
      <c r="A1484" s="12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</row>
    <row r="1485" spans="1:60" ht="15.75" x14ac:dyDescent="0.25">
      <c r="A1485" s="12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</row>
    <row r="1486" spans="1:60" ht="15.75" x14ac:dyDescent="0.25">
      <c r="A1486" s="12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</row>
    <row r="1487" spans="1:60" ht="15.75" x14ac:dyDescent="0.25">
      <c r="A1487" s="12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</row>
    <row r="1488" spans="1:60" ht="15.75" x14ac:dyDescent="0.25">
      <c r="A1488" s="12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</row>
    <row r="1489" spans="1:60" ht="15.75" x14ac:dyDescent="0.25">
      <c r="A1489" s="12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</row>
    <row r="1490" spans="1:60" ht="15.75" x14ac:dyDescent="0.25">
      <c r="A1490" s="12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</row>
    <row r="1491" spans="1:60" ht="15.75" x14ac:dyDescent="0.25">
      <c r="A1491" s="12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</row>
    <row r="1492" spans="1:60" ht="15.75" x14ac:dyDescent="0.25">
      <c r="A1492" s="12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</row>
    <row r="1493" spans="1:60" ht="15.75" x14ac:dyDescent="0.25">
      <c r="A1493" s="12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</row>
    <row r="1494" spans="1:60" ht="15.75" x14ac:dyDescent="0.25">
      <c r="A1494" s="12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</row>
    <row r="1495" spans="1:60" ht="15.75" x14ac:dyDescent="0.25">
      <c r="A1495" s="12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</row>
    <row r="1496" spans="1:60" ht="15.75" x14ac:dyDescent="0.25">
      <c r="A1496" s="12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</row>
    <row r="1497" spans="1:60" ht="15.75" x14ac:dyDescent="0.25">
      <c r="A1497" s="12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</row>
    <row r="1498" spans="1:60" ht="15.75" x14ac:dyDescent="0.25">
      <c r="A1498" s="12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</row>
    <row r="1499" spans="1:60" ht="15.75" x14ac:dyDescent="0.25">
      <c r="A1499" s="12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</row>
    <row r="1500" spans="1:60" ht="15.75" x14ac:dyDescent="0.25">
      <c r="A1500" s="12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</row>
    <row r="1501" spans="1:60" ht="15.75" x14ac:dyDescent="0.25">
      <c r="A1501" s="12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</row>
    <row r="1502" spans="1:60" ht="15.75" x14ac:dyDescent="0.25">
      <c r="A1502" s="12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</row>
    <row r="1503" spans="1:60" ht="15.75" x14ac:dyDescent="0.25">
      <c r="A1503" s="12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</row>
    <row r="1504" spans="1:60" ht="15.75" x14ac:dyDescent="0.25">
      <c r="A1504" s="12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</row>
    <row r="1505" spans="1:60" ht="15.75" x14ac:dyDescent="0.25">
      <c r="A1505" s="12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</row>
    <row r="1506" spans="1:60" ht="15.75" x14ac:dyDescent="0.25">
      <c r="A1506" s="12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</row>
    <row r="1507" spans="1:60" ht="15.75" x14ac:dyDescent="0.25">
      <c r="A1507" s="12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</row>
    <row r="1508" spans="1:60" ht="15.75" x14ac:dyDescent="0.25">
      <c r="A1508" s="12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</row>
    <row r="1509" spans="1:60" ht="15.75" x14ac:dyDescent="0.25">
      <c r="A1509" s="12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</row>
    <row r="1510" spans="1:60" ht="15.75" x14ac:dyDescent="0.25">
      <c r="A1510" s="12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</row>
    <row r="1511" spans="1:60" ht="15.75" x14ac:dyDescent="0.25">
      <c r="A1511" s="12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</row>
    <row r="1512" spans="1:60" ht="15.75" x14ac:dyDescent="0.25">
      <c r="A1512" s="12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</row>
    <row r="1513" spans="1:60" ht="15.75" x14ac:dyDescent="0.25">
      <c r="A1513" s="12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</row>
    <row r="1514" spans="1:60" ht="15.75" x14ac:dyDescent="0.25">
      <c r="A1514" s="12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</row>
    <row r="1515" spans="1:60" ht="15.75" x14ac:dyDescent="0.25">
      <c r="A1515" s="12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</row>
    <row r="1516" spans="1:60" ht="15.75" x14ac:dyDescent="0.25">
      <c r="A1516" s="12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</row>
    <row r="1517" spans="1:60" ht="15.75" x14ac:dyDescent="0.25">
      <c r="A1517" s="12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</row>
    <row r="1518" spans="1:60" ht="15.75" x14ac:dyDescent="0.25">
      <c r="A1518" s="12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</row>
    <row r="1519" spans="1:60" ht="15.75" x14ac:dyDescent="0.25">
      <c r="A1519" s="12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</row>
    <row r="1520" spans="1:60" ht="15.75" x14ac:dyDescent="0.25">
      <c r="A1520" s="12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</row>
    <row r="1521" spans="1:60" ht="15.75" x14ac:dyDescent="0.25">
      <c r="A1521" s="12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</row>
    <row r="1522" spans="1:60" ht="15.75" x14ac:dyDescent="0.25">
      <c r="A1522" s="12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</row>
    <row r="1523" spans="1:60" ht="15.75" x14ac:dyDescent="0.25">
      <c r="A1523" s="12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</row>
    <row r="1524" spans="1:60" ht="15.75" x14ac:dyDescent="0.25">
      <c r="A1524" s="12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</row>
    <row r="1525" spans="1:60" ht="15.75" x14ac:dyDescent="0.25">
      <c r="A1525" s="12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</row>
    <row r="1526" spans="1:60" ht="15.75" x14ac:dyDescent="0.25">
      <c r="A1526" s="12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</row>
    <row r="1527" spans="1:60" ht="15.75" x14ac:dyDescent="0.25">
      <c r="A1527" s="12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</row>
    <row r="1528" spans="1:60" ht="15.75" x14ac:dyDescent="0.25">
      <c r="A1528" s="12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</row>
    <row r="1529" spans="1:60" ht="15.75" x14ac:dyDescent="0.25">
      <c r="A1529" s="12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</row>
    <row r="1530" spans="1:60" ht="15.75" x14ac:dyDescent="0.25">
      <c r="A1530" s="12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</row>
    <row r="1531" spans="1:60" ht="15.75" x14ac:dyDescent="0.25">
      <c r="A1531" s="12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</row>
    <row r="1532" spans="1:60" ht="15.75" x14ac:dyDescent="0.25">
      <c r="A1532" s="12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</row>
    <row r="1533" spans="1:60" ht="15.75" x14ac:dyDescent="0.25">
      <c r="A1533" s="12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</row>
    <row r="1534" spans="1:60" ht="15.75" x14ac:dyDescent="0.25">
      <c r="A1534" s="12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</row>
    <row r="1535" spans="1:60" ht="15.75" x14ac:dyDescent="0.25">
      <c r="A1535" s="12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</row>
    <row r="1536" spans="1:60" ht="15.75" x14ac:dyDescent="0.25">
      <c r="A1536" s="12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</row>
    <row r="1537" spans="1:60" ht="15.75" x14ac:dyDescent="0.25">
      <c r="A1537" s="12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</row>
    <row r="1538" spans="1:60" ht="15.75" x14ac:dyDescent="0.25">
      <c r="A1538" s="12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</row>
    <row r="1539" spans="1:60" ht="15.75" x14ac:dyDescent="0.25">
      <c r="A1539" s="12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</row>
    <row r="1540" spans="1:60" ht="15.75" x14ac:dyDescent="0.25">
      <c r="A1540" s="12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</row>
    <row r="1541" spans="1:60" ht="15.75" x14ac:dyDescent="0.25">
      <c r="A1541" s="12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</row>
    <row r="1542" spans="1:60" ht="15.75" x14ac:dyDescent="0.25">
      <c r="A1542" s="12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</row>
    <row r="1543" spans="1:60" ht="15.75" x14ac:dyDescent="0.25">
      <c r="A1543" s="12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</row>
    <row r="1544" spans="1:60" ht="15.75" x14ac:dyDescent="0.25">
      <c r="A1544" s="12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</row>
    <row r="1545" spans="1:60" ht="15.75" x14ac:dyDescent="0.25">
      <c r="A1545" s="12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</row>
    <row r="1546" spans="1:60" ht="15.75" x14ac:dyDescent="0.25">
      <c r="A1546" s="12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</row>
    <row r="1547" spans="1:60" ht="15.75" x14ac:dyDescent="0.25">
      <c r="A1547" s="12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</row>
    <row r="1548" spans="1:60" ht="15.75" x14ac:dyDescent="0.25">
      <c r="A1548" s="12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</row>
    <row r="1549" spans="1:60" ht="15.75" x14ac:dyDescent="0.25">
      <c r="A1549" s="12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</row>
    <row r="1550" spans="1:60" ht="15.75" x14ac:dyDescent="0.25">
      <c r="A1550" s="12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</row>
    <row r="1551" spans="1:60" ht="15.75" x14ac:dyDescent="0.25">
      <c r="A1551" s="12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</row>
    <row r="1552" spans="1:60" ht="15.75" x14ac:dyDescent="0.25">
      <c r="A1552" s="12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</row>
    <row r="1553" spans="1:60" ht="15.75" x14ac:dyDescent="0.25">
      <c r="A1553" s="12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</row>
    <row r="1554" spans="1:60" ht="15.75" x14ac:dyDescent="0.25">
      <c r="A1554" s="12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</row>
    <row r="1555" spans="1:60" ht="15.75" x14ac:dyDescent="0.25">
      <c r="A1555" s="12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</row>
    <row r="1556" spans="1:60" ht="15.75" x14ac:dyDescent="0.25">
      <c r="A1556" s="12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</row>
    <row r="1557" spans="1:60" ht="15.75" x14ac:dyDescent="0.25">
      <c r="A1557" s="12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</row>
    <row r="1558" spans="1:60" ht="15.75" x14ac:dyDescent="0.25">
      <c r="A1558" s="12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</row>
    <row r="1559" spans="1:60" ht="15.75" x14ac:dyDescent="0.25">
      <c r="A1559" s="12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</row>
    <row r="1560" spans="1:60" ht="15.75" x14ac:dyDescent="0.25">
      <c r="A1560" s="12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</row>
    <row r="1561" spans="1:60" ht="15.75" x14ac:dyDescent="0.25">
      <c r="A1561" s="12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</row>
    <row r="1562" spans="1:60" ht="15.75" x14ac:dyDescent="0.25">
      <c r="A1562" s="12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</row>
    <row r="1563" spans="1:60" ht="15.75" x14ac:dyDescent="0.25">
      <c r="A1563" s="12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</row>
    <row r="1564" spans="1:60" ht="15.75" x14ac:dyDescent="0.25">
      <c r="A1564" s="12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</row>
    <row r="1565" spans="1:60" ht="15.75" x14ac:dyDescent="0.25">
      <c r="A1565" s="12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</row>
    <row r="1566" spans="1:60" ht="15.75" x14ac:dyDescent="0.25">
      <c r="A1566" s="12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</row>
    <row r="1567" spans="1:60" ht="15.75" x14ac:dyDescent="0.25">
      <c r="A1567" s="12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</row>
    <row r="1568" spans="1:60" ht="15.75" x14ac:dyDescent="0.25">
      <c r="A1568" s="12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</row>
    <row r="1569" spans="1:60" ht="15.75" x14ac:dyDescent="0.25">
      <c r="A1569" s="12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</row>
    <row r="1570" spans="1:60" ht="15.75" x14ac:dyDescent="0.25">
      <c r="A1570" s="12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</row>
    <row r="1571" spans="1:60" ht="15.75" x14ac:dyDescent="0.25">
      <c r="A1571" s="12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</row>
    <row r="1572" spans="1:60" ht="15.75" x14ac:dyDescent="0.25">
      <c r="A1572" s="12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</row>
    <row r="1573" spans="1:60" ht="15.75" x14ac:dyDescent="0.25">
      <c r="A1573" s="12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</row>
    <row r="1574" spans="1:60" ht="15.75" x14ac:dyDescent="0.25">
      <c r="A1574" s="12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</row>
    <row r="1575" spans="1:60" ht="15.75" x14ac:dyDescent="0.25">
      <c r="A1575" s="12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</row>
    <row r="1576" spans="1:60" ht="15.75" x14ac:dyDescent="0.25">
      <c r="A1576" s="12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</row>
    <row r="1577" spans="1:60" ht="15.75" x14ac:dyDescent="0.25">
      <c r="A1577" s="12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</row>
    <row r="1578" spans="1:60" ht="15.75" x14ac:dyDescent="0.25">
      <c r="A1578" s="12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</row>
    <row r="1579" spans="1:60" ht="15.75" x14ac:dyDescent="0.25">
      <c r="A1579" s="12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</row>
    <row r="1580" spans="1:60" ht="15.75" x14ac:dyDescent="0.25">
      <c r="A1580" s="12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</row>
    <row r="1581" spans="1:60" ht="15.75" x14ac:dyDescent="0.25">
      <c r="A1581" s="12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</row>
    <row r="1582" spans="1:60" ht="15.75" x14ac:dyDescent="0.25">
      <c r="A1582" s="12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</row>
    <row r="1583" spans="1:60" ht="15.75" x14ac:dyDescent="0.25">
      <c r="A1583" s="12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</row>
    <row r="1584" spans="1:60" ht="15.75" x14ac:dyDescent="0.25">
      <c r="A1584" s="12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</row>
    <row r="1585" spans="1:60" ht="15.75" x14ac:dyDescent="0.25">
      <c r="A1585" s="12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</row>
    <row r="1586" spans="1:60" ht="15.75" x14ac:dyDescent="0.25">
      <c r="A1586" s="12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</row>
    <row r="1587" spans="1:60" ht="15.75" x14ac:dyDescent="0.25">
      <c r="A1587" s="12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</row>
    <row r="1588" spans="1:60" ht="15.75" x14ac:dyDescent="0.25">
      <c r="A1588" s="12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</row>
    <row r="1589" spans="1:60" ht="15.75" x14ac:dyDescent="0.25">
      <c r="A1589" s="12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</row>
    <row r="1590" spans="1:60" ht="15.75" x14ac:dyDescent="0.25">
      <c r="A1590" s="12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</row>
    <row r="1591" spans="1:60" ht="15.75" x14ac:dyDescent="0.25">
      <c r="A1591" s="12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</row>
    <row r="1592" spans="1:60" ht="15.75" x14ac:dyDescent="0.25">
      <c r="A1592" s="12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</row>
    <row r="1593" spans="1:60" ht="15.75" x14ac:dyDescent="0.25">
      <c r="A1593" s="12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</row>
    <row r="1594" spans="1:60" ht="15.75" x14ac:dyDescent="0.25">
      <c r="A1594" s="12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</row>
    <row r="1595" spans="1:60" ht="15.75" x14ac:dyDescent="0.25">
      <c r="A1595" s="12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</row>
    <row r="1596" spans="1:60" ht="15.75" x14ac:dyDescent="0.25">
      <c r="A1596" s="12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</row>
    <row r="1597" spans="1:60" ht="15.75" x14ac:dyDescent="0.25">
      <c r="A1597" s="12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</row>
    <row r="1598" spans="1:60" ht="15.75" x14ac:dyDescent="0.25">
      <c r="A1598" s="12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</row>
    <row r="1599" spans="1:60" ht="15.75" x14ac:dyDescent="0.25">
      <c r="A1599" s="12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</row>
    <row r="1600" spans="1:60" ht="15.75" x14ac:dyDescent="0.25">
      <c r="A1600" s="12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</row>
    <row r="1601" spans="1:60" ht="15.75" x14ac:dyDescent="0.25">
      <c r="A1601" s="12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</row>
    <row r="1602" spans="1:60" ht="15.75" x14ac:dyDescent="0.25">
      <c r="A1602" s="12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</row>
    <row r="1603" spans="1:60" ht="15.75" x14ac:dyDescent="0.25">
      <c r="A1603" s="12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</row>
    <row r="1604" spans="1:60" ht="15.75" x14ac:dyDescent="0.25">
      <c r="A1604" s="12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</row>
    <row r="1605" spans="1:60" ht="15.75" x14ac:dyDescent="0.25">
      <c r="A1605" s="12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</row>
    <row r="1606" spans="1:60" ht="15.75" x14ac:dyDescent="0.25">
      <c r="A1606" s="12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</row>
    <row r="1607" spans="1:60" ht="15.75" x14ac:dyDescent="0.25">
      <c r="A1607" s="12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</row>
    <row r="1608" spans="1:60" ht="15.75" x14ac:dyDescent="0.25">
      <c r="A1608" s="12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</row>
    <row r="1609" spans="1:60" ht="15.75" x14ac:dyDescent="0.25">
      <c r="A1609" s="12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</row>
    <row r="1610" spans="1:60" ht="15.75" x14ac:dyDescent="0.25">
      <c r="A1610" s="12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</row>
    <row r="1611" spans="1:60" ht="15.75" x14ac:dyDescent="0.25">
      <c r="A1611" s="12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</row>
    <row r="1612" spans="1:60" ht="15.75" x14ac:dyDescent="0.25">
      <c r="A1612" s="12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</row>
    <row r="1613" spans="1:60" ht="15.75" x14ac:dyDescent="0.25">
      <c r="A1613" s="12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</row>
    <row r="1614" spans="1:60" ht="15.75" x14ac:dyDescent="0.25">
      <c r="A1614" s="12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</row>
    <row r="1615" spans="1:60" ht="15.75" x14ac:dyDescent="0.25">
      <c r="A1615" s="12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</row>
    <row r="1616" spans="1:60" ht="15.75" x14ac:dyDescent="0.25">
      <c r="A1616" s="12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</row>
    <row r="1617" spans="1:60" ht="15.75" x14ac:dyDescent="0.25">
      <c r="A1617" s="12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</row>
    <row r="1618" spans="1:60" ht="15.75" x14ac:dyDescent="0.25">
      <c r="A1618" s="12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</row>
    <row r="1619" spans="1:60" ht="15.75" x14ac:dyDescent="0.25">
      <c r="A1619" s="12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</row>
    <row r="1620" spans="1:60" ht="15.75" x14ac:dyDescent="0.25">
      <c r="A1620" s="12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</row>
    <row r="1621" spans="1:60" ht="15.75" x14ac:dyDescent="0.25">
      <c r="A1621" s="12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</row>
    <row r="1622" spans="1:60" ht="15.75" x14ac:dyDescent="0.25">
      <c r="A1622" s="12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</row>
    <row r="1623" spans="1:60" ht="15.75" x14ac:dyDescent="0.25">
      <c r="A1623" s="12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</row>
    <row r="1624" spans="1:60" ht="15.75" x14ac:dyDescent="0.25">
      <c r="A1624" s="12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</row>
    <row r="1625" spans="1:60" ht="15.75" x14ac:dyDescent="0.25">
      <c r="A1625" s="12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</row>
    <row r="1626" spans="1:60" ht="15.75" x14ac:dyDescent="0.25">
      <c r="A1626" s="12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</row>
    <row r="1627" spans="1:60" ht="15.75" x14ac:dyDescent="0.25">
      <c r="A1627" s="12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</row>
    <row r="1628" spans="1:60" ht="15.75" x14ac:dyDescent="0.25">
      <c r="A1628" s="12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</row>
    <row r="1629" spans="1:60" ht="15.75" x14ac:dyDescent="0.25">
      <c r="A1629" s="12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</row>
    <row r="1630" spans="1:60" ht="15.75" x14ac:dyDescent="0.25">
      <c r="A1630" s="12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</row>
    <row r="1631" spans="1:60" ht="15.75" x14ac:dyDescent="0.25">
      <c r="A1631" s="12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</row>
    <row r="1632" spans="1:60" ht="15.75" x14ac:dyDescent="0.25">
      <c r="A1632" s="12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</row>
    <row r="1633" spans="1:60" ht="15.75" x14ac:dyDescent="0.25">
      <c r="A1633" s="12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</row>
    <row r="1634" spans="1:60" ht="15.75" x14ac:dyDescent="0.25">
      <c r="A1634" s="12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</row>
    <row r="1635" spans="1:60" ht="15.75" x14ac:dyDescent="0.25">
      <c r="A1635" s="12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</row>
    <row r="1636" spans="1:60" ht="15.75" x14ac:dyDescent="0.25">
      <c r="A1636" s="12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</row>
    <row r="1637" spans="1:60" ht="15.75" x14ac:dyDescent="0.25">
      <c r="A1637" s="12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</row>
    <row r="1638" spans="1:60" ht="15.75" x14ac:dyDescent="0.25">
      <c r="A1638" s="12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</row>
    <row r="1639" spans="1:60" ht="15.75" x14ac:dyDescent="0.25">
      <c r="A1639" s="12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</row>
    <row r="1640" spans="1:60" ht="15.75" x14ac:dyDescent="0.25">
      <c r="A1640" s="12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</row>
    <row r="1641" spans="1:60" ht="15.75" x14ac:dyDescent="0.25">
      <c r="A1641" s="12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</row>
    <row r="1642" spans="1:60" ht="15.75" x14ac:dyDescent="0.25">
      <c r="A1642" s="12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</row>
    <row r="1643" spans="1:60" ht="15.75" x14ac:dyDescent="0.25">
      <c r="A1643" s="12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</row>
    <row r="1644" spans="1:60" ht="15.75" x14ac:dyDescent="0.25">
      <c r="A1644" s="12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</row>
    <row r="1645" spans="1:60" ht="15.75" x14ac:dyDescent="0.25">
      <c r="A1645" s="12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</row>
    <row r="1646" spans="1:60" ht="15.75" x14ac:dyDescent="0.25">
      <c r="A1646" s="12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</row>
    <row r="1647" spans="1:60" ht="15.75" x14ac:dyDescent="0.25">
      <c r="A1647" s="12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</row>
    <row r="1648" spans="1:60" ht="15.75" x14ac:dyDescent="0.25">
      <c r="A1648" s="12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</row>
    <row r="1649" spans="1:60" ht="15.75" x14ac:dyDescent="0.25">
      <c r="A1649" s="12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</row>
    <row r="1650" spans="1:60" ht="15.75" x14ac:dyDescent="0.25">
      <c r="A1650" s="12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</row>
    <row r="1651" spans="1:60" ht="15.75" x14ac:dyDescent="0.25">
      <c r="A1651" s="12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</row>
    <row r="1652" spans="1:60" ht="15.75" x14ac:dyDescent="0.25">
      <c r="A1652" s="12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</row>
    <row r="1653" spans="1:60" ht="15.75" x14ac:dyDescent="0.25">
      <c r="A1653" s="12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</row>
    <row r="1654" spans="1:60" ht="15.75" x14ac:dyDescent="0.25">
      <c r="A1654" s="12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</row>
    <row r="1655" spans="1:60" ht="15.75" x14ac:dyDescent="0.25">
      <c r="A1655" s="12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</row>
    <row r="1656" spans="1:60" ht="15.75" x14ac:dyDescent="0.25">
      <c r="A1656" s="12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</row>
    <row r="1657" spans="1:60" ht="15.75" x14ac:dyDescent="0.25">
      <c r="A1657" s="12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</row>
    <row r="1658" spans="1:60" ht="15.75" x14ac:dyDescent="0.25">
      <c r="A1658" s="12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</row>
    <row r="1659" spans="1:60" ht="15.75" x14ac:dyDescent="0.25">
      <c r="A1659" s="12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</row>
    <row r="1660" spans="1:60" ht="15.75" x14ac:dyDescent="0.25">
      <c r="A1660" s="12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</row>
    <row r="1661" spans="1:60" ht="15.75" x14ac:dyDescent="0.25">
      <c r="A1661" s="12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</row>
    <row r="1662" spans="1:60" ht="15.75" x14ac:dyDescent="0.25">
      <c r="A1662" s="12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</row>
    <row r="1663" spans="1:60" ht="15.75" x14ac:dyDescent="0.25">
      <c r="A1663" s="12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</row>
    <row r="1664" spans="1:60" ht="15.75" x14ac:dyDescent="0.25">
      <c r="A1664" s="12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</row>
    <row r="1665" spans="1:60" ht="15.75" x14ac:dyDescent="0.25">
      <c r="A1665" s="12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</row>
    <row r="1666" spans="1:60" ht="15.75" x14ac:dyDescent="0.25">
      <c r="A1666" s="12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</row>
    <row r="1667" spans="1:60" ht="15.75" x14ac:dyDescent="0.25">
      <c r="A1667" s="12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</row>
    <row r="1668" spans="1:60" ht="15.75" x14ac:dyDescent="0.25">
      <c r="A1668" s="12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</row>
    <row r="1669" spans="1:60" ht="15.75" x14ac:dyDescent="0.25">
      <c r="A1669" s="12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</row>
    <row r="1670" spans="1:60" ht="15.75" x14ac:dyDescent="0.25">
      <c r="A1670" s="12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</row>
    <row r="1671" spans="1:60" ht="15.75" x14ac:dyDescent="0.25">
      <c r="A1671" s="12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</row>
    <row r="1672" spans="1:60" ht="15.75" x14ac:dyDescent="0.25">
      <c r="A1672" s="12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</row>
    <row r="1673" spans="1:60" ht="15.75" x14ac:dyDescent="0.25">
      <c r="A1673" s="12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</row>
    <row r="1674" spans="1:60" ht="15.75" x14ac:dyDescent="0.25">
      <c r="A1674" s="12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</row>
    <row r="1675" spans="1:60" ht="15.75" x14ac:dyDescent="0.25">
      <c r="A1675" s="12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</row>
    <row r="1676" spans="1:60" ht="15.75" x14ac:dyDescent="0.25">
      <c r="A1676" s="12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</row>
    <row r="1677" spans="1:60" ht="15.75" x14ac:dyDescent="0.25">
      <c r="A1677" s="12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</row>
    <row r="1678" spans="1:60" ht="15.75" x14ac:dyDescent="0.25">
      <c r="A1678" s="12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</row>
    <row r="1679" spans="1:60" ht="15.75" x14ac:dyDescent="0.25">
      <c r="A1679" s="12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</row>
    <row r="1680" spans="1:60" ht="15.75" x14ac:dyDescent="0.25">
      <c r="A1680" s="12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</row>
    <row r="1681" spans="1:60" ht="15.75" x14ac:dyDescent="0.25">
      <c r="A1681" s="12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</row>
    <row r="1682" spans="1:60" ht="15.75" x14ac:dyDescent="0.25">
      <c r="A1682" s="12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</row>
    <row r="1683" spans="1:60" ht="15.75" x14ac:dyDescent="0.25">
      <c r="A1683" s="12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</row>
    <row r="1684" spans="1:60" ht="15.75" x14ac:dyDescent="0.25">
      <c r="A1684" s="12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</row>
    <row r="1685" spans="1:60" ht="15.75" x14ac:dyDescent="0.25">
      <c r="A1685" s="12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</row>
    <row r="1686" spans="1:60" ht="15.75" x14ac:dyDescent="0.25">
      <c r="A1686" s="12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</row>
    <row r="1687" spans="1:60" ht="15.75" x14ac:dyDescent="0.25">
      <c r="A1687" s="12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</row>
    <row r="1688" spans="1:60" ht="15.75" x14ac:dyDescent="0.25">
      <c r="A1688" s="12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</row>
    <row r="1689" spans="1:60" ht="15.75" x14ac:dyDescent="0.25">
      <c r="A1689" s="12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</row>
    <row r="1690" spans="1:60" ht="15.75" x14ac:dyDescent="0.25">
      <c r="A1690" s="12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</row>
    <row r="1691" spans="1:60" ht="15.75" x14ac:dyDescent="0.25">
      <c r="A1691" s="12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</row>
    <row r="1692" spans="1:60" ht="15.75" x14ac:dyDescent="0.25">
      <c r="A1692" s="12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</row>
    <row r="1693" spans="1:60" ht="15.75" x14ac:dyDescent="0.25">
      <c r="A1693" s="12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</row>
    <row r="1694" spans="1:60" ht="15.75" x14ac:dyDescent="0.25">
      <c r="A1694" s="12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</row>
    <row r="1695" spans="1:60" ht="15.75" x14ac:dyDescent="0.25">
      <c r="A1695" s="12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</row>
    <row r="1696" spans="1:60" ht="15.75" x14ac:dyDescent="0.25">
      <c r="A1696" s="12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</row>
    <row r="1697" spans="1:60" ht="15.75" x14ac:dyDescent="0.25">
      <c r="A1697" s="12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</row>
    <row r="1698" spans="1:60" ht="15.75" x14ac:dyDescent="0.25">
      <c r="A1698" s="12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</row>
    <row r="1699" spans="1:60" ht="15.75" x14ac:dyDescent="0.25">
      <c r="A1699" s="12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</row>
    <row r="1700" spans="1:60" ht="15.75" x14ac:dyDescent="0.25">
      <c r="A1700" s="12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</row>
    <row r="1701" spans="1:60" ht="15.75" x14ac:dyDescent="0.25">
      <c r="A1701" s="12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</row>
    <row r="1702" spans="1:60" ht="15.75" x14ac:dyDescent="0.25">
      <c r="A1702" s="12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</row>
    <row r="1703" spans="1:60" ht="15.75" x14ac:dyDescent="0.25">
      <c r="A1703" s="12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</row>
    <row r="1704" spans="1:60" ht="15.75" x14ac:dyDescent="0.25">
      <c r="A1704" s="12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</row>
    <row r="1705" spans="1:60" ht="15.75" x14ac:dyDescent="0.25">
      <c r="A1705" s="12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</row>
    <row r="1706" spans="1:60" ht="15.75" x14ac:dyDescent="0.25">
      <c r="A1706" s="12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</row>
    <row r="1707" spans="1:60" ht="15.75" x14ac:dyDescent="0.25">
      <c r="A1707" s="12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</row>
    <row r="1708" spans="1:60" ht="15.75" x14ac:dyDescent="0.25">
      <c r="A1708" s="12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</row>
    <row r="1709" spans="1:60" ht="15.75" x14ac:dyDescent="0.25">
      <c r="A1709" s="12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</row>
    <row r="1710" spans="1:60" ht="15.75" x14ac:dyDescent="0.25">
      <c r="A1710" s="12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</row>
    <row r="1711" spans="1:60" ht="15.75" x14ac:dyDescent="0.25">
      <c r="A1711" s="12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</row>
    <row r="1712" spans="1:60" ht="15.75" x14ac:dyDescent="0.25">
      <c r="A1712" s="12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</row>
    <row r="1713" spans="1:60" ht="15.75" x14ac:dyDescent="0.25">
      <c r="A1713" s="12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</row>
    <row r="1714" spans="1:60" ht="15.75" x14ac:dyDescent="0.25">
      <c r="A1714" s="12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</row>
    <row r="1715" spans="1:60" ht="15.75" x14ac:dyDescent="0.25">
      <c r="A1715" s="12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</row>
    <row r="1716" spans="1:60" ht="15.75" x14ac:dyDescent="0.25">
      <c r="A1716" s="12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</row>
    <row r="1717" spans="1:60" ht="15.75" x14ac:dyDescent="0.25">
      <c r="A1717" s="12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</row>
    <row r="1718" spans="1:60" ht="15.75" x14ac:dyDescent="0.25">
      <c r="A1718" s="12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</row>
    <row r="1719" spans="1:60" ht="15.75" x14ac:dyDescent="0.25">
      <c r="A1719" s="12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</row>
    <row r="1720" spans="1:60" ht="15.75" x14ac:dyDescent="0.25">
      <c r="A1720" s="12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</row>
    <row r="1721" spans="1:60" ht="15.75" x14ac:dyDescent="0.25">
      <c r="A1721" s="12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</row>
    <row r="1722" spans="1:60" ht="15.75" x14ac:dyDescent="0.25">
      <c r="A1722" s="12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</row>
    <row r="1723" spans="1:60" ht="15.75" x14ac:dyDescent="0.25">
      <c r="A1723" s="12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</row>
    <row r="1724" spans="1:60" ht="15.75" x14ac:dyDescent="0.25">
      <c r="A1724" s="12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</row>
    <row r="1725" spans="1:60" ht="15.75" x14ac:dyDescent="0.25">
      <c r="A1725" s="12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</row>
    <row r="1726" spans="1:60" ht="15.75" x14ac:dyDescent="0.25">
      <c r="A1726" s="12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</row>
    <row r="1727" spans="1:60" ht="15.75" x14ac:dyDescent="0.25">
      <c r="A1727" s="12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</row>
    <row r="1728" spans="1:60" ht="15.75" x14ac:dyDescent="0.25">
      <c r="A1728" s="12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</row>
    <row r="1729" spans="1:60" ht="15.75" x14ac:dyDescent="0.25">
      <c r="A1729" s="12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</row>
    <row r="1730" spans="1:60" ht="15.75" x14ac:dyDescent="0.25">
      <c r="A1730" s="12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</row>
    <row r="1731" spans="1:60" ht="15.75" x14ac:dyDescent="0.25">
      <c r="A1731" s="12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</row>
    <row r="1732" spans="1:60" ht="15.75" x14ac:dyDescent="0.25">
      <c r="A1732" s="12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</row>
    <row r="1733" spans="1:60" ht="15.75" x14ac:dyDescent="0.25">
      <c r="A1733" s="12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</row>
    <row r="1734" spans="1:60" ht="15.75" x14ac:dyDescent="0.25">
      <c r="A1734" s="12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</row>
    <row r="1735" spans="1:60" ht="15.75" x14ac:dyDescent="0.25">
      <c r="A1735" s="12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</row>
    <row r="1736" spans="1:60" ht="15.75" x14ac:dyDescent="0.25">
      <c r="A1736" s="12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</row>
    <row r="1737" spans="1:60" ht="15.75" x14ac:dyDescent="0.25">
      <c r="A1737" s="12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</row>
    <row r="1738" spans="1:60" ht="15.75" x14ac:dyDescent="0.25">
      <c r="A1738" s="12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</row>
    <row r="1739" spans="1:60" ht="15.75" x14ac:dyDescent="0.25">
      <c r="A1739" s="12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</row>
    <row r="1740" spans="1:60" ht="15.75" x14ac:dyDescent="0.25">
      <c r="A1740" s="12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</row>
    <row r="1741" spans="1:60" ht="15.75" x14ac:dyDescent="0.25">
      <c r="A1741" s="12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</row>
    <row r="1742" spans="1:60" ht="15.75" x14ac:dyDescent="0.25">
      <c r="A1742" s="12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</row>
    <row r="1743" spans="1:60" ht="15.75" x14ac:dyDescent="0.25">
      <c r="A1743" s="12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</row>
    <row r="1744" spans="1:60" ht="15.75" x14ac:dyDescent="0.25">
      <c r="A1744" s="12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</row>
    <row r="1745" spans="1:60" ht="15.75" x14ac:dyDescent="0.25">
      <c r="A1745" s="12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</row>
    <row r="1746" spans="1:60" ht="15.75" x14ac:dyDescent="0.25">
      <c r="A1746" s="12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</row>
    <row r="1747" spans="1:60" ht="15.75" x14ac:dyDescent="0.25">
      <c r="A1747" s="12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</row>
    <row r="1748" spans="1:60" ht="15.75" x14ac:dyDescent="0.25">
      <c r="A1748" s="12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</row>
    <row r="1749" spans="1:60" ht="15.75" x14ac:dyDescent="0.25">
      <c r="A1749" s="12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</row>
    <row r="1750" spans="1:60" ht="15.75" x14ac:dyDescent="0.25">
      <c r="A1750" s="12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</row>
    <row r="1751" spans="1:60" ht="15.75" x14ac:dyDescent="0.25">
      <c r="A1751" s="12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</row>
    <row r="1752" spans="1:60" ht="15.75" x14ac:dyDescent="0.25">
      <c r="A1752" s="12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</row>
    <row r="1753" spans="1:60" ht="15.75" x14ac:dyDescent="0.25">
      <c r="A1753" s="12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</row>
    <row r="1754" spans="1:60" ht="15.75" x14ac:dyDescent="0.25">
      <c r="A1754" s="12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</row>
    <row r="1755" spans="1:60" ht="15.75" x14ac:dyDescent="0.25">
      <c r="A1755" s="12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</row>
    <row r="1756" spans="1:60" ht="15.75" x14ac:dyDescent="0.25">
      <c r="A1756" s="12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</row>
    <row r="1757" spans="1:60" ht="15.75" x14ac:dyDescent="0.25">
      <c r="A1757" s="12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</row>
    <row r="1758" spans="1:60" ht="15.75" x14ac:dyDescent="0.25">
      <c r="A1758" s="12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</row>
    <row r="1759" spans="1:60" ht="15.75" x14ac:dyDescent="0.25">
      <c r="A1759" s="12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</row>
    <row r="1760" spans="1:60" ht="15.75" x14ac:dyDescent="0.25">
      <c r="A1760" s="12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</row>
    <row r="1761" spans="1:60" ht="15.75" x14ac:dyDescent="0.25">
      <c r="A1761" s="12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</row>
    <row r="1762" spans="1:60" ht="15.75" x14ac:dyDescent="0.25">
      <c r="A1762" s="12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</row>
    <row r="1763" spans="1:60" ht="15.75" x14ac:dyDescent="0.25">
      <c r="A1763" s="12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</row>
    <row r="1764" spans="1:60" ht="15.75" x14ac:dyDescent="0.25">
      <c r="A1764" s="12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</row>
    <row r="1765" spans="1:60" ht="15.75" x14ac:dyDescent="0.25">
      <c r="A1765" s="12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</row>
    <row r="1766" spans="1:60" ht="15.75" x14ac:dyDescent="0.25">
      <c r="A1766" s="12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</row>
    <row r="1767" spans="1:60" ht="15.75" x14ac:dyDescent="0.25">
      <c r="A1767" s="12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</row>
    <row r="1768" spans="1:60" ht="15.75" x14ac:dyDescent="0.25">
      <c r="A1768" s="12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</row>
    <row r="1769" spans="1:60" ht="15.75" x14ac:dyDescent="0.25">
      <c r="A1769" s="12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</row>
    <row r="1770" spans="1:60" ht="15.75" x14ac:dyDescent="0.25">
      <c r="A1770" s="12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</row>
    <row r="1771" spans="1:60" ht="15.75" x14ac:dyDescent="0.25">
      <c r="A1771" s="12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</row>
    <row r="1772" spans="1:60" ht="15.75" x14ac:dyDescent="0.25">
      <c r="A1772" s="12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</row>
    <row r="1773" spans="1:60" ht="15.75" x14ac:dyDescent="0.25">
      <c r="A1773" s="12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</row>
    <row r="1774" spans="1:60" ht="15.75" x14ac:dyDescent="0.25">
      <c r="A1774" s="12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</row>
    <row r="1775" spans="1:60" ht="15.75" x14ac:dyDescent="0.25">
      <c r="A1775" s="12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</row>
    <row r="1776" spans="1:60" ht="15.75" x14ac:dyDescent="0.25">
      <c r="A1776" s="12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</row>
    <row r="1777" spans="1:60" ht="15.75" x14ac:dyDescent="0.25">
      <c r="A1777" s="12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</row>
    <row r="1778" spans="1:60" ht="15.75" x14ac:dyDescent="0.25">
      <c r="A1778" s="12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</row>
    <row r="1779" spans="1:60" ht="15.75" x14ac:dyDescent="0.25">
      <c r="A1779" s="12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</row>
    <row r="1780" spans="1:60" ht="15.75" x14ac:dyDescent="0.25">
      <c r="A1780" s="12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</row>
    <row r="1781" spans="1:60" ht="15.75" x14ac:dyDescent="0.25">
      <c r="A1781" s="12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</row>
    <row r="1782" spans="1:60" ht="15.75" x14ac:dyDescent="0.25">
      <c r="A1782" s="12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</row>
    <row r="1783" spans="1:60" ht="15.75" x14ac:dyDescent="0.25">
      <c r="A1783" s="12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</row>
    <row r="1784" spans="1:60" ht="15.75" x14ac:dyDescent="0.25">
      <c r="A1784" s="12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</row>
    <row r="1785" spans="1:60" ht="15.75" x14ac:dyDescent="0.25">
      <c r="A1785" s="12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</row>
    <row r="1786" spans="1:60" ht="15.75" x14ac:dyDescent="0.25">
      <c r="A1786" s="12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</row>
    <row r="1787" spans="1:60" ht="15.75" x14ac:dyDescent="0.25">
      <c r="A1787" s="12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</row>
    <row r="1788" spans="1:60" ht="15.75" x14ac:dyDescent="0.25">
      <c r="A1788" s="12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</row>
    <row r="1789" spans="1:60" ht="15.75" x14ac:dyDescent="0.25">
      <c r="A1789" s="12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</row>
    <row r="1790" spans="1:60" ht="15.75" x14ac:dyDescent="0.25">
      <c r="A1790" s="12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</row>
    <row r="1791" spans="1:60" ht="15.75" x14ac:dyDescent="0.25">
      <c r="A1791" s="12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</row>
    <row r="1792" spans="1:60" ht="15.75" x14ac:dyDescent="0.25">
      <c r="A1792" s="12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</row>
    <row r="1793" spans="1:60" ht="15.75" x14ac:dyDescent="0.25">
      <c r="A1793" s="12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</row>
    <row r="1794" spans="1:60" ht="15.75" x14ac:dyDescent="0.25">
      <c r="A1794" s="12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</row>
    <row r="1795" spans="1:60" ht="15.75" x14ac:dyDescent="0.25">
      <c r="A1795" s="12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</row>
    <row r="1796" spans="1:60" ht="15.75" x14ac:dyDescent="0.25">
      <c r="A1796" s="12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</row>
    <row r="1797" spans="1:60" ht="15.75" x14ac:dyDescent="0.25">
      <c r="A1797" s="12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</row>
    <row r="1798" spans="1:60" ht="15.75" x14ac:dyDescent="0.25">
      <c r="A1798" s="12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</row>
    <row r="1799" spans="1:60" ht="15.75" x14ac:dyDescent="0.25">
      <c r="A1799" s="12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</row>
    <row r="1800" spans="1:60" ht="15.75" x14ac:dyDescent="0.25">
      <c r="A1800" s="12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</row>
    <row r="1801" spans="1:60" ht="15.75" x14ac:dyDescent="0.25">
      <c r="A1801" s="12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</row>
    <row r="1802" spans="1:60" ht="15.75" x14ac:dyDescent="0.25">
      <c r="A1802" s="12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</row>
    <row r="1803" spans="1:60" ht="15.75" x14ac:dyDescent="0.25">
      <c r="A1803" s="12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</row>
    <row r="1804" spans="1:60" ht="15.75" x14ac:dyDescent="0.25">
      <c r="A1804" s="12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</row>
    <row r="1805" spans="1:60" ht="15.75" x14ac:dyDescent="0.25">
      <c r="A1805" s="12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</row>
    <row r="1806" spans="1:60" ht="15.75" x14ac:dyDescent="0.25">
      <c r="A1806" s="12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</row>
    <row r="1807" spans="1:60" ht="15.75" x14ac:dyDescent="0.25">
      <c r="A1807" s="12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</row>
    <row r="1808" spans="1:60" ht="15.75" x14ac:dyDescent="0.25">
      <c r="A1808" s="12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</row>
    <row r="1809" spans="1:60" ht="15.75" x14ac:dyDescent="0.25">
      <c r="A1809" s="12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</row>
    <row r="1810" spans="1:60" ht="15.75" x14ac:dyDescent="0.25">
      <c r="A1810" s="12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</row>
    <row r="1811" spans="1:60" ht="15.75" x14ac:dyDescent="0.25">
      <c r="A1811" s="12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</row>
    <row r="1812" spans="1:60" ht="15.75" x14ac:dyDescent="0.25">
      <c r="A1812" s="12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</row>
    <row r="1813" spans="1:60" ht="15.75" x14ac:dyDescent="0.25">
      <c r="A1813" s="12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</row>
    <row r="1814" spans="1:60" ht="15.75" x14ac:dyDescent="0.25">
      <c r="A1814" s="12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</row>
    <row r="1815" spans="1:60" ht="15.75" x14ac:dyDescent="0.25">
      <c r="A1815" s="12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</row>
    <row r="1816" spans="1:60" ht="15.75" x14ac:dyDescent="0.25">
      <c r="A1816" s="12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</row>
    <row r="1817" spans="1:60" ht="15.75" x14ac:dyDescent="0.25">
      <c r="A1817" s="12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</row>
    <row r="1818" spans="1:60" ht="15.75" x14ac:dyDescent="0.25">
      <c r="A1818" s="12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</row>
    <row r="1819" spans="1:60" ht="15.75" x14ac:dyDescent="0.25">
      <c r="A1819" s="12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</row>
    <row r="1820" spans="1:60" ht="15.75" x14ac:dyDescent="0.25">
      <c r="A1820" s="12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</row>
    <row r="1821" spans="1:60" ht="15.75" x14ac:dyDescent="0.25">
      <c r="A1821" s="12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</row>
    <row r="1822" spans="1:60" ht="15.75" x14ac:dyDescent="0.25">
      <c r="A1822" s="12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</row>
    <row r="1823" spans="1:60" ht="15.75" x14ac:dyDescent="0.25">
      <c r="A1823" s="12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</row>
    <row r="1824" spans="1:60" ht="15.75" x14ac:dyDescent="0.25">
      <c r="A1824" s="12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</row>
    <row r="1825" spans="1:60" ht="15.75" x14ac:dyDescent="0.25">
      <c r="A1825" s="12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</row>
    <row r="1826" spans="1:60" ht="15.75" x14ac:dyDescent="0.25">
      <c r="A1826" s="12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</row>
    <row r="1827" spans="1:60" ht="15.75" x14ac:dyDescent="0.25">
      <c r="A1827" s="12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</row>
    <row r="1828" spans="1:60" ht="15.75" x14ac:dyDescent="0.25">
      <c r="A1828" s="12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</row>
    <row r="1829" spans="1:60" ht="15.75" x14ac:dyDescent="0.25">
      <c r="A1829" s="12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</row>
    <row r="1830" spans="1:60" ht="15.75" x14ac:dyDescent="0.25">
      <c r="A1830" s="12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</row>
    <row r="1831" spans="1:60" ht="15.75" x14ac:dyDescent="0.25">
      <c r="A1831" s="12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</row>
    <row r="1832" spans="1:60" ht="15.75" x14ac:dyDescent="0.25">
      <c r="A1832" s="12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</row>
    <row r="1833" spans="1:60" ht="15.75" x14ac:dyDescent="0.25">
      <c r="A1833" s="12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</row>
    <row r="1834" spans="1:60" ht="15.75" x14ac:dyDescent="0.25">
      <c r="A1834" s="12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</row>
    <row r="1835" spans="1:60" ht="15.75" x14ac:dyDescent="0.25">
      <c r="A1835" s="12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</row>
    <row r="1836" spans="1:60" ht="15.75" x14ac:dyDescent="0.25">
      <c r="A1836" s="12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</row>
    <row r="1837" spans="1:60" ht="15.75" x14ac:dyDescent="0.25">
      <c r="A1837" s="12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</row>
    <row r="1838" spans="1:60" ht="15.75" x14ac:dyDescent="0.25">
      <c r="A1838" s="12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</row>
    <row r="1839" spans="1:60" ht="15.75" x14ac:dyDescent="0.25">
      <c r="A1839" s="12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11"/>
      <c r="BF1839" s="11"/>
      <c r="BG1839" s="11"/>
      <c r="BH1839" s="11"/>
    </row>
    <row r="1840" spans="1:60" ht="15.75" x14ac:dyDescent="0.25">
      <c r="A1840" s="12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11"/>
      <c r="BF1840" s="11"/>
      <c r="BG1840" s="11"/>
      <c r="BH1840" s="11"/>
    </row>
    <row r="1841" spans="1:60" ht="15.75" x14ac:dyDescent="0.25">
      <c r="A1841" s="12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11"/>
      <c r="BF1841" s="11"/>
      <c r="BG1841" s="11"/>
      <c r="BH1841" s="11"/>
    </row>
    <row r="1842" spans="1:60" ht="15.75" x14ac:dyDescent="0.25">
      <c r="A1842" s="12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</row>
    <row r="1843" spans="1:60" ht="15.75" x14ac:dyDescent="0.25">
      <c r="A1843" s="12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</row>
    <row r="1844" spans="1:60" ht="15.75" x14ac:dyDescent="0.25">
      <c r="A1844" s="12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</row>
    <row r="1845" spans="1:60" ht="15.75" x14ac:dyDescent="0.25">
      <c r="A1845" s="12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</row>
    <row r="1846" spans="1:60" ht="15.75" x14ac:dyDescent="0.25">
      <c r="A1846" s="12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</row>
    <row r="1847" spans="1:60" ht="15.75" x14ac:dyDescent="0.25">
      <c r="A1847" s="12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</row>
    <row r="1848" spans="1:60" ht="15.75" x14ac:dyDescent="0.25">
      <c r="A1848" s="12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</row>
    <row r="1849" spans="1:60" ht="15.75" x14ac:dyDescent="0.25">
      <c r="A1849" s="12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</row>
    <row r="1850" spans="1:60" ht="15.75" x14ac:dyDescent="0.25">
      <c r="A1850" s="12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</row>
    <row r="1851" spans="1:60" ht="15.75" x14ac:dyDescent="0.25">
      <c r="A1851" s="12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</row>
    <row r="1852" spans="1:60" ht="15.75" x14ac:dyDescent="0.25">
      <c r="A1852" s="12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</row>
    <row r="1853" spans="1:60" ht="15.75" x14ac:dyDescent="0.25">
      <c r="A1853" s="12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</row>
    <row r="1854" spans="1:60" ht="15.75" x14ac:dyDescent="0.25">
      <c r="A1854" s="12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</row>
    <row r="1855" spans="1:60" ht="15.75" x14ac:dyDescent="0.25">
      <c r="A1855" s="12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</row>
    <row r="1856" spans="1:60" ht="15.75" x14ac:dyDescent="0.25">
      <c r="A1856" s="12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</row>
    <row r="1857" spans="1:60" ht="15.75" x14ac:dyDescent="0.25">
      <c r="A1857" s="12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</row>
    <row r="1858" spans="1:60" ht="15.75" x14ac:dyDescent="0.25">
      <c r="A1858" s="12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</row>
    <row r="1859" spans="1:60" ht="15.75" x14ac:dyDescent="0.25">
      <c r="A1859" s="12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</row>
    <row r="1860" spans="1:60" ht="15.75" x14ac:dyDescent="0.25">
      <c r="A1860" s="12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</row>
    <row r="1861" spans="1:60" ht="15.75" x14ac:dyDescent="0.25">
      <c r="A1861" s="12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</row>
    <row r="1862" spans="1:60" ht="15.75" x14ac:dyDescent="0.25">
      <c r="A1862" s="12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</row>
    <row r="1863" spans="1:60" ht="15.75" x14ac:dyDescent="0.25">
      <c r="A1863" s="12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</row>
    <row r="1864" spans="1:60" ht="15.75" x14ac:dyDescent="0.25">
      <c r="A1864" s="12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</row>
    <row r="1865" spans="1:60" ht="15.75" x14ac:dyDescent="0.25">
      <c r="A1865" s="12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</row>
    <row r="1866" spans="1:60" ht="15.75" x14ac:dyDescent="0.25">
      <c r="A1866" s="12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</row>
    <row r="1867" spans="1:60" ht="15.75" x14ac:dyDescent="0.25">
      <c r="A1867" s="12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</row>
    <row r="1868" spans="1:60" ht="15.75" x14ac:dyDescent="0.25">
      <c r="A1868" s="12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</row>
    <row r="1869" spans="1:60" ht="15.75" x14ac:dyDescent="0.25">
      <c r="A1869" s="12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</row>
    <row r="1870" spans="1:60" ht="15.75" x14ac:dyDescent="0.25">
      <c r="A1870" s="12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</row>
    <row r="1871" spans="1:60" ht="15.75" x14ac:dyDescent="0.25">
      <c r="A1871" s="12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</row>
    <row r="1872" spans="1:60" ht="15.75" x14ac:dyDescent="0.25">
      <c r="A1872" s="12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</row>
    <row r="1873" spans="1:60" ht="15.75" x14ac:dyDescent="0.25">
      <c r="A1873" s="12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</row>
    <row r="1874" spans="1:60" ht="15.75" x14ac:dyDescent="0.25">
      <c r="A1874" s="12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</row>
    <row r="1875" spans="1:60" ht="15.75" x14ac:dyDescent="0.25">
      <c r="A1875" s="12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</row>
    <row r="1876" spans="1:60" ht="15.75" x14ac:dyDescent="0.25">
      <c r="A1876" s="12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</row>
    <row r="1877" spans="1:60" ht="15.75" x14ac:dyDescent="0.25">
      <c r="A1877" s="12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</row>
    <row r="1878" spans="1:60" ht="15.75" x14ac:dyDescent="0.25">
      <c r="A1878" s="12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</row>
    <row r="1879" spans="1:60" ht="15.75" x14ac:dyDescent="0.25">
      <c r="A1879" s="12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</row>
    <row r="1880" spans="1:60" ht="15.75" x14ac:dyDescent="0.25">
      <c r="A1880" s="12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</row>
    <row r="1881" spans="1:60" ht="15.75" x14ac:dyDescent="0.25">
      <c r="A1881" s="12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</row>
    <row r="1882" spans="1:60" ht="15.75" x14ac:dyDescent="0.25">
      <c r="A1882" s="12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</row>
    <row r="1883" spans="1:60" ht="15.75" x14ac:dyDescent="0.25">
      <c r="A1883" s="12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</row>
    <row r="1884" spans="1:60" ht="15.75" x14ac:dyDescent="0.25">
      <c r="A1884" s="12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</row>
    <row r="1885" spans="1:60" ht="15.75" x14ac:dyDescent="0.25">
      <c r="A1885" s="12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</row>
    <row r="1886" spans="1:60" ht="15.75" x14ac:dyDescent="0.25">
      <c r="A1886" s="12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</row>
    <row r="1887" spans="1:60" ht="15.75" x14ac:dyDescent="0.25">
      <c r="A1887" s="12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</row>
    <row r="1888" spans="1:60" ht="15.75" x14ac:dyDescent="0.25">
      <c r="A1888" s="12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</row>
    <row r="1889" spans="1:60" ht="15.75" x14ac:dyDescent="0.25">
      <c r="A1889" s="12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</row>
    <row r="1890" spans="1:60" ht="15.75" x14ac:dyDescent="0.25">
      <c r="A1890" s="12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</row>
    <row r="1891" spans="1:60" ht="15.75" x14ac:dyDescent="0.25">
      <c r="A1891" s="12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</row>
    <row r="1892" spans="1:60" ht="15.75" x14ac:dyDescent="0.25">
      <c r="A1892" s="12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</row>
    <row r="1893" spans="1:60" ht="15.75" x14ac:dyDescent="0.25">
      <c r="A1893" s="12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</row>
    <row r="1894" spans="1:60" ht="15.75" x14ac:dyDescent="0.25">
      <c r="A1894" s="12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</row>
    <row r="1895" spans="1:60" ht="15.75" x14ac:dyDescent="0.25">
      <c r="A1895" s="12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</row>
    <row r="1896" spans="1:60" ht="15.75" x14ac:dyDescent="0.25">
      <c r="A1896" s="12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</row>
    <row r="1897" spans="1:60" ht="15.75" x14ac:dyDescent="0.25">
      <c r="A1897" s="12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</row>
    <row r="1898" spans="1:60" ht="15.75" x14ac:dyDescent="0.25">
      <c r="A1898" s="12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</row>
    <row r="1899" spans="1:60" ht="15.75" x14ac:dyDescent="0.25">
      <c r="A1899" s="12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</row>
    <row r="1900" spans="1:60" ht="15.75" x14ac:dyDescent="0.25">
      <c r="A1900" s="12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</row>
    <row r="1901" spans="1:60" ht="15.75" x14ac:dyDescent="0.25">
      <c r="A1901" s="12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</row>
    <row r="1902" spans="1:60" ht="15.75" x14ac:dyDescent="0.25">
      <c r="A1902" s="12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</row>
    <row r="1903" spans="1:60" ht="15.75" x14ac:dyDescent="0.25">
      <c r="A1903" s="12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</row>
    <row r="1904" spans="1:60" ht="15.75" x14ac:dyDescent="0.25">
      <c r="A1904" s="12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</row>
    <row r="1905" spans="1:60" ht="15.75" x14ac:dyDescent="0.25">
      <c r="A1905" s="12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</row>
    <row r="1906" spans="1:60" ht="15.75" x14ac:dyDescent="0.25">
      <c r="A1906" s="12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</row>
    <row r="1907" spans="1:60" ht="15.75" x14ac:dyDescent="0.25">
      <c r="A1907" s="12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</row>
    <row r="1908" spans="1:60" ht="15.75" x14ac:dyDescent="0.25">
      <c r="A1908" s="12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</row>
    <row r="1909" spans="1:60" ht="15.75" x14ac:dyDescent="0.25">
      <c r="A1909" s="12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</row>
    <row r="1910" spans="1:60" ht="15.75" x14ac:dyDescent="0.25">
      <c r="A1910" s="12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</row>
    <row r="1911" spans="1:60" ht="15.75" x14ac:dyDescent="0.25">
      <c r="A1911" s="12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</row>
    <row r="1912" spans="1:60" ht="15.75" x14ac:dyDescent="0.25">
      <c r="A1912" s="12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</row>
    <row r="1913" spans="1:60" ht="15.75" x14ac:dyDescent="0.25">
      <c r="A1913" s="12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11"/>
      <c r="BF1913" s="11"/>
      <c r="BG1913" s="11"/>
      <c r="BH1913" s="11"/>
    </row>
    <row r="1914" spans="1:60" ht="15.75" x14ac:dyDescent="0.25">
      <c r="A1914" s="12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</row>
    <row r="1915" spans="1:60" ht="15.75" x14ac:dyDescent="0.25">
      <c r="A1915" s="12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</row>
    <row r="1916" spans="1:60" ht="15.75" x14ac:dyDescent="0.25">
      <c r="A1916" s="12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</row>
    <row r="1917" spans="1:60" ht="15.75" x14ac:dyDescent="0.25">
      <c r="A1917" s="12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</row>
    <row r="1918" spans="1:60" ht="15.75" x14ac:dyDescent="0.25">
      <c r="A1918" s="12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</row>
    <row r="1919" spans="1:60" ht="15.75" x14ac:dyDescent="0.25">
      <c r="A1919" s="12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</row>
    <row r="1920" spans="1:60" ht="15.75" x14ac:dyDescent="0.25">
      <c r="A1920" s="12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11"/>
      <c r="BF1920" s="11"/>
      <c r="BG1920" s="11"/>
      <c r="BH1920" s="11"/>
    </row>
    <row r="1921" spans="1:60" ht="15.75" x14ac:dyDescent="0.25">
      <c r="A1921" s="12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</row>
    <row r="1922" spans="1:60" ht="15.75" x14ac:dyDescent="0.25">
      <c r="A1922" s="12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</row>
    <row r="1923" spans="1:60" ht="15.75" x14ac:dyDescent="0.25">
      <c r="A1923" s="12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</row>
    <row r="1924" spans="1:60" ht="15.75" x14ac:dyDescent="0.25">
      <c r="A1924" s="12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</row>
    <row r="1925" spans="1:60" ht="15.75" x14ac:dyDescent="0.25">
      <c r="A1925" s="12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</row>
    <row r="1926" spans="1:60" ht="15.75" x14ac:dyDescent="0.25">
      <c r="A1926" s="12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</row>
    <row r="1927" spans="1:60" ht="15.75" x14ac:dyDescent="0.25">
      <c r="A1927" s="12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</row>
    <row r="1928" spans="1:60" ht="15.75" x14ac:dyDescent="0.25">
      <c r="A1928" s="12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</row>
    <row r="1929" spans="1:60" ht="15.75" x14ac:dyDescent="0.25">
      <c r="A1929" s="12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</row>
    <row r="1930" spans="1:60" ht="15.75" x14ac:dyDescent="0.25">
      <c r="A1930" s="12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</row>
    <row r="1931" spans="1:60" ht="15.75" x14ac:dyDescent="0.25">
      <c r="A1931" s="12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</row>
    <row r="1932" spans="1:60" ht="15.75" x14ac:dyDescent="0.25">
      <c r="A1932" s="12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11"/>
      <c r="BF1932" s="11"/>
      <c r="BG1932" s="11"/>
      <c r="BH1932" s="11"/>
    </row>
    <row r="1933" spans="1:60" ht="15.75" x14ac:dyDescent="0.25">
      <c r="A1933" s="12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</row>
    <row r="1934" spans="1:60" ht="15.75" x14ac:dyDescent="0.25">
      <c r="A1934" s="12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</row>
    <row r="1935" spans="1:60" ht="15.75" x14ac:dyDescent="0.25">
      <c r="A1935" s="12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</row>
    <row r="1936" spans="1:60" ht="15.75" x14ac:dyDescent="0.25">
      <c r="A1936" s="12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</row>
    <row r="1937" spans="1:60" ht="15.75" x14ac:dyDescent="0.25">
      <c r="A1937" s="12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</row>
    <row r="1938" spans="1:60" ht="15.75" x14ac:dyDescent="0.25">
      <c r="A1938" s="12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</row>
    <row r="1939" spans="1:60" ht="15.75" x14ac:dyDescent="0.25">
      <c r="A1939" s="12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</row>
    <row r="1940" spans="1:60" ht="15.75" x14ac:dyDescent="0.25">
      <c r="A1940" s="12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</row>
    <row r="1941" spans="1:60" ht="15.75" x14ac:dyDescent="0.25">
      <c r="A1941" s="12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11"/>
      <c r="BF1941" s="11"/>
      <c r="BG1941" s="11"/>
      <c r="BH1941" s="11"/>
    </row>
    <row r="1942" spans="1:60" ht="15.75" x14ac:dyDescent="0.25">
      <c r="A1942" s="12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</row>
    <row r="1943" spans="1:60" ht="15.75" x14ac:dyDescent="0.25">
      <c r="A1943" s="12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11"/>
      <c r="BF1943" s="11"/>
      <c r="BG1943" s="11"/>
      <c r="BH1943" s="11"/>
    </row>
    <row r="1944" spans="1:60" ht="15.75" x14ac:dyDescent="0.25">
      <c r="A1944" s="12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</row>
    <row r="1945" spans="1:60" ht="15.75" x14ac:dyDescent="0.25">
      <c r="A1945" s="12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11"/>
      <c r="BF1945" s="11"/>
      <c r="BG1945" s="11"/>
      <c r="BH1945" s="11"/>
    </row>
    <row r="1946" spans="1:60" ht="15.75" x14ac:dyDescent="0.25">
      <c r="A1946" s="12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</row>
    <row r="1947" spans="1:60" ht="15.75" x14ac:dyDescent="0.25">
      <c r="A1947" s="12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11"/>
      <c r="BF1947" s="11"/>
      <c r="BG1947" s="11"/>
      <c r="BH1947" s="11"/>
    </row>
    <row r="1948" spans="1:60" ht="15.75" x14ac:dyDescent="0.25">
      <c r="A1948" s="12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</row>
    <row r="1949" spans="1:60" ht="15.75" x14ac:dyDescent="0.25">
      <c r="A1949" s="12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11"/>
      <c r="BF1949" s="11"/>
      <c r="BG1949" s="11"/>
      <c r="BH1949" s="11"/>
    </row>
    <row r="1950" spans="1:60" ht="15.75" x14ac:dyDescent="0.25">
      <c r="A1950" s="12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</row>
    <row r="1951" spans="1:60" ht="15.75" x14ac:dyDescent="0.25">
      <c r="A1951" s="12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11"/>
      <c r="BF1951" s="11"/>
      <c r="BG1951" s="11"/>
      <c r="BH1951" s="11"/>
    </row>
    <row r="1952" spans="1:60" ht="15.75" x14ac:dyDescent="0.25">
      <c r="A1952" s="12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</row>
    <row r="1953" spans="1:60" ht="15.75" x14ac:dyDescent="0.25">
      <c r="A1953" s="12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11"/>
      <c r="BF1953" s="11"/>
      <c r="BG1953" s="11"/>
      <c r="BH1953" s="11"/>
    </row>
    <row r="1954" spans="1:60" ht="15.75" x14ac:dyDescent="0.25">
      <c r="A1954" s="12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11"/>
      <c r="BF1954" s="11"/>
      <c r="BG1954" s="11"/>
      <c r="BH1954" s="11"/>
    </row>
    <row r="1955" spans="1:60" ht="15.75" x14ac:dyDescent="0.25">
      <c r="A1955" s="12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11"/>
      <c r="BF1955" s="11"/>
      <c r="BG1955" s="11"/>
      <c r="BH1955" s="11"/>
    </row>
    <row r="1956" spans="1:60" ht="15.75" x14ac:dyDescent="0.25">
      <c r="A1956" s="12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11"/>
      <c r="BF1956" s="11"/>
      <c r="BG1956" s="11"/>
      <c r="BH1956" s="11"/>
    </row>
    <row r="1957" spans="1:60" ht="15.75" x14ac:dyDescent="0.25">
      <c r="A1957" s="12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11"/>
      <c r="BF1957" s="11"/>
      <c r="BG1957" s="11"/>
      <c r="BH1957" s="11"/>
    </row>
    <row r="1958" spans="1:60" ht="15.75" x14ac:dyDescent="0.25">
      <c r="A1958" s="12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</row>
    <row r="1959" spans="1:60" ht="15.75" x14ac:dyDescent="0.25">
      <c r="A1959" s="12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11"/>
      <c r="BF1959" s="11"/>
      <c r="BG1959" s="11"/>
      <c r="BH1959" s="11"/>
    </row>
    <row r="1960" spans="1:60" ht="15.75" x14ac:dyDescent="0.25">
      <c r="A1960" s="12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</row>
    <row r="1961" spans="1:60" ht="15.75" x14ac:dyDescent="0.25">
      <c r="A1961" s="12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11"/>
      <c r="BF1961" s="11"/>
      <c r="BG1961" s="11"/>
      <c r="BH1961" s="11"/>
    </row>
    <row r="1962" spans="1:60" ht="15.75" x14ac:dyDescent="0.25">
      <c r="A1962" s="12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</row>
    <row r="1963" spans="1:60" ht="15.75" x14ac:dyDescent="0.25">
      <c r="A1963" s="12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11"/>
      <c r="BF1963" s="11"/>
      <c r="BG1963" s="11"/>
      <c r="BH1963" s="11"/>
    </row>
    <row r="1964" spans="1:60" ht="15.75" x14ac:dyDescent="0.25">
      <c r="A1964" s="12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</row>
    <row r="1965" spans="1:60" ht="15.75" x14ac:dyDescent="0.25">
      <c r="A1965" s="12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</row>
    <row r="1966" spans="1:60" ht="15.75" x14ac:dyDescent="0.25">
      <c r="A1966" s="12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</row>
    <row r="1967" spans="1:60" ht="15.75" x14ac:dyDescent="0.25">
      <c r="A1967" s="12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</row>
    <row r="1968" spans="1:60" ht="15.75" x14ac:dyDescent="0.25">
      <c r="A1968" s="12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</row>
    <row r="1969" spans="1:60" ht="15.75" x14ac:dyDescent="0.25">
      <c r="A1969" s="12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11"/>
      <c r="BF1969" s="11"/>
      <c r="BG1969" s="11"/>
      <c r="BH1969" s="11"/>
    </row>
    <row r="1970" spans="1:60" ht="15.75" x14ac:dyDescent="0.25">
      <c r="A1970" s="12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</row>
    <row r="1971" spans="1:60" ht="15.75" x14ac:dyDescent="0.25">
      <c r="A1971" s="12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11"/>
      <c r="BF1971" s="11"/>
      <c r="BG1971" s="11"/>
      <c r="BH1971" s="11"/>
    </row>
    <row r="1972" spans="1:60" ht="15.75" x14ac:dyDescent="0.25">
      <c r="A1972" s="12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</row>
    <row r="1973" spans="1:60" ht="15.75" x14ac:dyDescent="0.25">
      <c r="A1973" s="12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11"/>
      <c r="BF1973" s="11"/>
      <c r="BG1973" s="11"/>
      <c r="BH1973" s="11"/>
    </row>
    <row r="1974" spans="1:60" ht="15.75" x14ac:dyDescent="0.25">
      <c r="A1974" s="12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</row>
    <row r="1975" spans="1:60" ht="15.75" x14ac:dyDescent="0.25">
      <c r="A1975" s="12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11"/>
      <c r="BF1975" s="11"/>
      <c r="BG1975" s="11"/>
      <c r="BH1975" s="11"/>
    </row>
    <row r="1976" spans="1:60" ht="15.75" x14ac:dyDescent="0.25">
      <c r="A1976" s="12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</row>
    <row r="1977" spans="1:60" ht="15.75" x14ac:dyDescent="0.25">
      <c r="A1977" s="12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</row>
    <row r="1978" spans="1:60" ht="15.75" x14ac:dyDescent="0.25">
      <c r="A1978" s="12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</row>
    <row r="1979" spans="1:60" ht="15.75" x14ac:dyDescent="0.25">
      <c r="A1979" s="12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11"/>
      <c r="BF1979" s="11"/>
      <c r="BG1979" s="11"/>
      <c r="BH1979" s="11"/>
    </row>
    <row r="1980" spans="1:60" ht="15.75" x14ac:dyDescent="0.25">
      <c r="A1980" s="12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</row>
    <row r="1981" spans="1:60" ht="15.75" x14ac:dyDescent="0.25">
      <c r="A1981" s="12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11"/>
      <c r="BF1981" s="11"/>
      <c r="BG1981" s="11"/>
      <c r="BH1981" s="11"/>
    </row>
    <row r="1982" spans="1:60" ht="15.75" x14ac:dyDescent="0.25">
      <c r="A1982" s="12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</row>
    <row r="1983" spans="1:60" ht="15.75" x14ac:dyDescent="0.25">
      <c r="A1983" s="12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11"/>
      <c r="BF1983" s="11"/>
      <c r="BG1983" s="11"/>
      <c r="BH1983" s="11"/>
    </row>
    <row r="1984" spans="1:60" ht="15.75" x14ac:dyDescent="0.25">
      <c r="A1984" s="12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</row>
    <row r="1985" spans="1:60" ht="15.75" x14ac:dyDescent="0.25">
      <c r="A1985" s="12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</row>
    <row r="1986" spans="1:60" ht="15.75" x14ac:dyDescent="0.25">
      <c r="A1986" s="12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</row>
    <row r="1987" spans="1:60" ht="15.75" x14ac:dyDescent="0.25">
      <c r="A1987" s="12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</row>
    <row r="1988" spans="1:60" ht="15.75" x14ac:dyDescent="0.25">
      <c r="A1988" s="12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11"/>
      <c r="BF1988" s="11"/>
      <c r="BG1988" s="11"/>
      <c r="BH1988" s="11"/>
    </row>
    <row r="1989" spans="1:60" ht="15.75" x14ac:dyDescent="0.25">
      <c r="A1989" s="12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11"/>
      <c r="BF1989" s="11"/>
      <c r="BG1989" s="11"/>
      <c r="BH1989" s="11"/>
    </row>
    <row r="1990" spans="1:60" ht="15.75" x14ac:dyDescent="0.25">
      <c r="A1990" s="12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</row>
    <row r="1991" spans="1:60" ht="15.75" x14ac:dyDescent="0.25">
      <c r="A1991" s="12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11"/>
      <c r="BF1991" s="11"/>
      <c r="BG1991" s="11"/>
      <c r="BH1991" s="11"/>
    </row>
    <row r="1992" spans="1:60" ht="15.75" x14ac:dyDescent="0.25">
      <c r="A1992" s="12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</row>
    <row r="1993" spans="1:60" ht="15.75" x14ac:dyDescent="0.25">
      <c r="A1993" s="12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11"/>
      <c r="BF1993" s="11"/>
      <c r="BG1993" s="11"/>
      <c r="BH1993" s="11"/>
    </row>
    <row r="1994" spans="1:60" ht="15.75" x14ac:dyDescent="0.25">
      <c r="A1994" s="12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</row>
    <row r="1995" spans="1:60" ht="15.75" x14ac:dyDescent="0.25">
      <c r="A1995" s="12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11"/>
      <c r="BF1995" s="11"/>
      <c r="BG1995" s="11"/>
      <c r="BH1995" s="11"/>
    </row>
    <row r="1996" spans="1:60" ht="15.75" x14ac:dyDescent="0.25">
      <c r="A1996" s="12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</row>
    <row r="1997" spans="1:60" ht="15.75" x14ac:dyDescent="0.25">
      <c r="A1997" s="12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11"/>
      <c r="BF1997" s="11"/>
      <c r="BG1997" s="11"/>
      <c r="BH1997" s="11"/>
    </row>
    <row r="1998" spans="1:60" ht="15.75" x14ac:dyDescent="0.25">
      <c r="A1998" s="12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</row>
    <row r="1999" spans="1:60" ht="15.75" x14ac:dyDescent="0.25">
      <c r="A1999" s="12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11"/>
      <c r="BF1999" s="11"/>
      <c r="BG1999" s="11"/>
      <c r="BH1999" s="11"/>
    </row>
    <row r="2000" spans="1:60" ht="15.75" x14ac:dyDescent="0.25">
      <c r="A2000" s="12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Chart Data</vt:lpstr>
      <vt:lpstr>HAVERD</vt:lpstr>
      <vt:lpstr>HAVERM</vt:lpstr>
      <vt:lpstr>KPSA - Jul</vt:lpstr>
      <vt:lpstr>KPSA3 - Jul</vt:lpstr>
      <vt:lpstr>Chart - RS revisions</vt:lpstr>
      <vt:lpstr>_DLX1.INC</vt:lpstr>
      <vt:lpstr>_DLX2.INC</vt:lpstr>
      <vt:lpstr>KPSA_Table</vt:lpstr>
      <vt:lpstr>KPSA_Table2</vt:lpstr>
      <vt:lpstr>KPSA3_Table1</vt:lpstr>
      <vt:lpstr>KPSA3_Table2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2025-07-03T11:18:54Z</dcterms:created>
  <dcterms:modified xsi:type="dcterms:W3CDTF">2025-09-05T09:31:24Z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2025-07-03T11:20:49Z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15eb0f6d-b1d8-4312-b159-ef19a2a66959</vt:lpwstr>
  </property>
  <property fmtid="{D5CDD505-2E9C-101B-9397-08002B2CF9AE}" pid="8" name="MSIP_Label_3b83b38b-8e91-4f17-8371-95d3d41e26c0_ContentBits">
    <vt:lpwstr>0</vt:lpwstr>
  </property>
</Properties>
</file>