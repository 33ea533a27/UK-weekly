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xecon-my.sharepoint.com/personal/eallenby_oxfordeconomics_com/Documents/Documents/2024-01/Weekly/"/>
    </mc:Choice>
  </mc:AlternateContent>
  <xr:revisionPtr revIDLastSave="404" documentId="8_{D5F818F7-E8EA-459D-982D-4E55FF8C28A3}" xr6:coauthVersionLast="47" xr6:coauthVersionMax="47" xr10:uidLastSave="{F919ADC8-C003-40E9-9C05-1AC7EC2B6711}"/>
  <bookViews>
    <workbookView xWindow="-110" yWindow="-110" windowWidth="19420" windowHeight="10300" firstSheet="3" activeTab="5" xr2:uid="{B24FBD97-1658-466F-B20C-BF284F227C18}"/>
  </bookViews>
  <sheets>
    <sheet name="HAVER M" sheetId="1" r:id="rId1"/>
    <sheet name="HAVER Q" sheetId="2" r:id="rId2"/>
    <sheet name="Chart Data" sheetId="4" r:id="rId3"/>
    <sheet name="Chart 1 - Inflation forecasts" sheetId="6" r:id="rId4"/>
    <sheet name="Chart 2 - Pay" sheetId="7" r:id="rId5"/>
    <sheet name="Chart1" sheetId="8" r:id="rId6"/>
  </sheets>
  <externalReferences>
    <externalReference r:id="rId7"/>
  </externalReferences>
  <definedNames>
    <definedName name="_DLX1.INC">'HAVER Q'!$A$3:$L$8</definedName>
    <definedName name="_DLX2.INC">'HAVER M'!$A$4:$I$9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2" i="4"/>
  <c r="D40" i="4" l="1"/>
  <c r="D39" i="4"/>
  <c r="D38" i="4"/>
  <c r="D37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M32" i="4" s="1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2" i="4"/>
  <c r="K41" i="4"/>
  <c r="K42" i="4"/>
  <c r="K43" i="4"/>
  <c r="K44" i="4"/>
  <c r="K45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2" i="4"/>
  <c r="F40" i="4"/>
  <c r="F39" i="4"/>
  <c r="F38" i="4"/>
  <c r="F37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2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39" i="4"/>
  <c r="G38" i="4"/>
  <c r="E40" i="4"/>
  <c r="C40" i="4"/>
  <c r="B40" i="4"/>
  <c r="E39" i="4"/>
  <c r="C39" i="4"/>
  <c r="B39" i="4"/>
  <c r="E38" i="4"/>
  <c r="C38" i="4"/>
  <c r="B38" i="4"/>
  <c r="C37" i="4"/>
  <c r="B37" i="4"/>
  <c r="C2" i="4"/>
  <c r="E2" i="4"/>
  <c r="C3" i="4"/>
  <c r="E3" i="4"/>
  <c r="C4" i="4"/>
  <c r="E4" i="4"/>
  <c r="C5" i="4"/>
  <c r="E5" i="4"/>
  <c r="C6" i="4"/>
  <c r="E6" i="4"/>
  <c r="C7" i="4"/>
  <c r="E7" i="4"/>
  <c r="C8" i="4"/>
  <c r="E8" i="4"/>
  <c r="C9" i="4"/>
  <c r="E9" i="4"/>
  <c r="C10" i="4"/>
  <c r="E10" i="4"/>
  <c r="C11" i="4"/>
  <c r="E11" i="4"/>
  <c r="C12" i="4"/>
  <c r="E12" i="4"/>
  <c r="C13" i="4"/>
  <c r="E13" i="4"/>
  <c r="C14" i="4"/>
  <c r="E14" i="4"/>
  <c r="C15" i="4"/>
  <c r="E15" i="4"/>
  <c r="C16" i="4"/>
  <c r="E16" i="4"/>
  <c r="C17" i="4"/>
  <c r="E17" i="4"/>
  <c r="C18" i="4"/>
  <c r="E18" i="4"/>
  <c r="C19" i="4"/>
  <c r="E19" i="4"/>
  <c r="C20" i="4"/>
  <c r="E20" i="4"/>
  <c r="C21" i="4"/>
  <c r="E21" i="4"/>
  <c r="C22" i="4"/>
  <c r="E22" i="4"/>
  <c r="C23" i="4"/>
  <c r="E23" i="4"/>
  <c r="C24" i="4"/>
  <c r="E24" i="4"/>
  <c r="C25" i="4"/>
  <c r="E25" i="4"/>
  <c r="C26" i="4"/>
  <c r="E26" i="4"/>
  <c r="C27" i="4"/>
  <c r="E27" i="4"/>
  <c r="C28" i="4"/>
  <c r="E28" i="4"/>
  <c r="C29" i="4"/>
  <c r="E29" i="4"/>
  <c r="C30" i="4"/>
  <c r="E30" i="4"/>
  <c r="C31" i="4"/>
  <c r="E31" i="4"/>
  <c r="C32" i="4"/>
  <c r="E32" i="4"/>
  <c r="C33" i="4"/>
  <c r="E33" i="4"/>
  <c r="C34" i="4"/>
  <c r="E34" i="4"/>
  <c r="C35" i="4"/>
  <c r="E35" i="4"/>
  <c r="C36" i="4"/>
  <c r="E36" i="4"/>
  <c r="E37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2" i="4"/>
  <c r="H47" i="1"/>
  <c r="H46" i="1"/>
</calcChain>
</file>

<file path=xl/sharedStrings.xml><?xml version="1.0" encoding="utf-8"?>
<sst xmlns="http://schemas.openxmlformats.org/spreadsheetml/2006/main" count="141" uniqueCount="127">
  <si>
    <t>KAI9@UK</t>
  </si>
  <si>
    <t>KAJ4@UK</t>
  </si>
  <si>
    <t>UKNVYM@UK</t>
  </si>
  <si>
    <t>UNPD@UK</t>
  </si>
  <si>
    <t>OE inflation profile</t>
  </si>
  <si>
    <t>XpertHR</t>
  </si>
  <si>
    <t>20161 !Q</t>
  </si>
  <si>
    <t>20161</t>
  </si>
  <si>
    <t>.DTLM</t>
  </si>
  <si>
    <t>.LSOURCE</t>
  </si>
  <si>
    <t>.TN</t>
  </si>
  <si>
    <t>.T1</t>
  </si>
  <si>
    <t>.DESC</t>
  </si>
  <si>
    <t>Nov-02-2023 12:05</t>
  </si>
  <si>
    <t>Bank of England</t>
  </si>
  <si>
    <t>Q4-2026</t>
  </si>
  <si>
    <t>Q4-2023</t>
  </si>
  <si>
    <t>UK: BoE CPI Projections Based on Expected Interest Rate: Mode (Y/Y % Chg)</t>
  </si>
  <si>
    <t>Jan-17-2024 07:04</t>
  </si>
  <si>
    <t>Office for National Statistics</t>
  </si>
  <si>
    <t>Q4-2023 &lt;- Dec-2023</t>
  </si>
  <si>
    <t>Q1-1988 &lt;- Jan-1988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</si>
  <si>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</si>
  <si>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</si>
  <si>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</si>
  <si>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</si>
  <si>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</si>
  <si>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</si>
  <si>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</si>
  <si>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</si>
  <si>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</si>
  <si>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</si>
  <si>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</si>
  <si>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</si>
  <si>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</si>
  <si>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</si>
  <si>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</si>
  <si>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</si>
  <si>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</si>
  <si>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</si>
  <si>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</si>
  <si>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</si>
  <si>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</si>
  <si>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</si>
  <si>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</si>
  <si>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</si>
  <si>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20222</t>
  </si>
  <si>
    <t>20223</t>
  </si>
  <si>
    <t>20224</t>
  </si>
  <si>
    <t>20231</t>
  </si>
  <si>
    <t>20232</t>
  </si>
  <si>
    <t>20233</t>
  </si>
  <si>
    <t>20234</t>
  </si>
  <si>
    <t>20241</t>
  </si>
  <si>
    <t>20242</t>
  </si>
  <si>
    <t>20243</t>
  </si>
  <si>
    <t>20244</t>
  </si>
  <si>
    <t>20251</t>
  </si>
  <si>
    <t>20252</t>
  </si>
  <si>
    <t>20253</t>
  </si>
  <si>
    <t>20254</t>
  </si>
  <si>
    <t>20261</t>
  </si>
  <si>
    <t>20262</t>
  </si>
  <si>
    <t>20263</t>
  </si>
  <si>
    <t>20264</t>
  </si>
  <si>
    <t>yryr%(D7BT@UK)</t>
  </si>
  <si>
    <t>UK: Consumer Price Index: All Items (NSA, 2015=100) % Change - Year to Year</t>
  </si>
  <si>
    <t>202101 !M</t>
  </si>
  <si>
    <t>202101</t>
  </si>
  <si>
    <t>Jan-16-2024 07:07</t>
  </si>
  <si>
    <t>Nov-2023</t>
  </si>
  <si>
    <t>Mar-2001</t>
  </si>
  <si>
    <t>Great Britain: AWE, Regular Pay: Whole Economy [3Mo Mvg Avg vs Yr Ago] (SA, %)</t>
  </si>
  <si>
    <t>Great Britain: AWE, Regular Pay: Private Sector [3Mo Mvg Avg vs Yr Ago] (SA, %)</t>
  </si>
  <si>
    <t>Jan-16-2024 07:59</t>
  </si>
  <si>
    <t>Indeed Hiring Lab</t>
  </si>
  <si>
    <t>Dec-2023</t>
  </si>
  <si>
    <t>Mar-2019</t>
  </si>
  <si>
    <t>UK: Indeed Wage Tracker: Posted Wage Growth: 3 Month MA (NSA, Y/Y% Chg)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</si>
  <si>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</si>
  <si>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</si>
  <si>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</si>
  <si>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</si>
  <si>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</si>
  <si>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</si>
  <si>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</si>
  <si>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</si>
  <si>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</si>
  <si>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</si>
  <si>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</si>
  <si>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</si>
  <si>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</si>
  <si>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</si>
  <si>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</si>
  <si>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</si>
  <si>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</si>
  <si>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</si>
  <si>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</si>
  <si>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</si>
  <si>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</si>
  <si>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</si>
  <si>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</si>
  <si>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</si>
  <si>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</si>
  <si>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</si>
  <si>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</si>
  <si>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</si>
  <si>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</si>
  <si>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</si>
  <si>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</si>
  <si>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</si>
  <si>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</si>
  <si>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</si>
  <si>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</si>
  <si>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BoE projections</t>
  </si>
  <si>
    <t>ONS AWE regular pay</t>
  </si>
  <si>
    <t>ONS AWE private sector regular pay</t>
  </si>
  <si>
    <t>Indeed Wage Tracker</t>
  </si>
  <si>
    <t>BoE November forecast</t>
  </si>
  <si>
    <t>Oxford Economics (Jan-24)</t>
  </si>
  <si>
    <t>Bank of England modal forecast (Latest - Nov-23)</t>
  </si>
  <si>
    <t>2% target</t>
  </si>
  <si>
    <t>yryr%(UKSEPPP3@UK)</t>
  </si>
  <si>
    <t>Sep-2014</t>
  </si>
  <si>
    <t>UK: Monthly Pay Dist: 50th Percentile: PAYE Real Time Information [RTI](SA, GBP) % Change - Year to Year</t>
  </si>
  <si>
    <t>ONS RTI median employee pay</t>
  </si>
  <si>
    <t>OE-Penta regular pay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</si>
</sst>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11">
    <xf numFmtId="0" fontId="0" fillId="0" borderId="0" xfId="0"/>
    <xf numFmtId="0" fontId="1" fillId="0" borderId="0" xfId="1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164" fontId="3" fillId="0" borderId="0" xfId="2" applyNumberFormat="1" applyFont="1" applyAlignment="1">
      <alignment horizontal="center"/>
    </xf>
    <xf numFmtId="164" fontId="4" fillId="0" borderId="0" xfId="0" applyNumberFormat="1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4 2 2" xfId="2" xr:uid="{48B32155-1ADA-472D-986B-B605FE056F24}"/>
  </cellStyles>
  <dxfs count="0"/>
  <tableStyles count="0" defaultTableStyle="TableStyleMedium2" defaultPivotStyle="PivotStyleLight16"/>
  <colors>
    <mruColors>
      <color rgb="FF7B7C77"/>
      <color rgb="FFD1A21E"/>
      <color rgb="FF003469"/>
      <color rgb="FFBD1B21"/>
      <color rgb="FF00ADDC"/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calcChain" Target="calcChain.xml"/><Relationship Id="rId5" Type="http://schemas.openxmlformats.org/officeDocument/2006/relationships/chartsheet" Target="chartsheets/sheet2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3559221099509195E-2"/>
          <c:y val="0.1662552918973248"/>
          <c:w val="0.91245667738610969"/>
          <c:h val="0.7339109115537543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Data'!$L$1</c:f>
              <c:strCache>
                <c:ptCount val="1"/>
                <c:pt idx="0">
                  <c:v>Oxford Economics (Jan-24)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strRef>
              <c:f>'Chart Data'!$K$2:$K$45</c:f>
              <c:strCache>
                <c:ptCount val="44"/>
                <c:pt idx="0">
                  <c:v>2016</c:v>
                </c:pt>
                <c:pt idx="1">
                  <c:v>2016</c:v>
                </c:pt>
                <c:pt idx="2">
                  <c:v>2016</c:v>
                </c:pt>
                <c:pt idx="3">
                  <c:v>2016</c:v>
                </c:pt>
                <c:pt idx="4">
                  <c:v>2017</c:v>
                </c:pt>
                <c:pt idx="5">
                  <c:v>2017</c:v>
                </c:pt>
                <c:pt idx="6">
                  <c:v>2017</c:v>
                </c:pt>
                <c:pt idx="7">
                  <c:v>2017</c:v>
                </c:pt>
                <c:pt idx="8">
                  <c:v>2018</c:v>
                </c:pt>
                <c:pt idx="9">
                  <c:v>2018</c:v>
                </c:pt>
                <c:pt idx="10">
                  <c:v>2018</c:v>
                </c:pt>
                <c:pt idx="11">
                  <c:v>2018</c:v>
                </c:pt>
                <c:pt idx="12">
                  <c:v>2019</c:v>
                </c:pt>
                <c:pt idx="13">
                  <c:v>2019</c:v>
                </c:pt>
                <c:pt idx="14">
                  <c:v>2019</c:v>
                </c:pt>
                <c:pt idx="15">
                  <c:v>2019</c:v>
                </c:pt>
                <c:pt idx="16">
                  <c:v>2020</c:v>
                </c:pt>
                <c:pt idx="17">
                  <c:v>2020</c:v>
                </c:pt>
                <c:pt idx="18">
                  <c:v>2020</c:v>
                </c:pt>
                <c:pt idx="19">
                  <c:v>2020</c:v>
                </c:pt>
                <c:pt idx="20">
                  <c:v>2021</c:v>
                </c:pt>
                <c:pt idx="21">
                  <c:v>2021</c:v>
                </c:pt>
                <c:pt idx="22">
                  <c:v>2021</c:v>
                </c:pt>
                <c:pt idx="23">
                  <c:v>2021</c:v>
                </c:pt>
                <c:pt idx="24">
                  <c:v>2022</c:v>
                </c:pt>
                <c:pt idx="25">
                  <c:v>2022</c:v>
                </c:pt>
                <c:pt idx="26">
                  <c:v>2022</c:v>
                </c:pt>
                <c:pt idx="27">
                  <c:v>2022</c:v>
                </c:pt>
                <c:pt idx="28">
                  <c:v>2023</c:v>
                </c:pt>
                <c:pt idx="29">
                  <c:v>2023</c:v>
                </c:pt>
                <c:pt idx="30">
                  <c:v>2023</c:v>
                </c:pt>
                <c:pt idx="31">
                  <c:v>2023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</c:strCache>
            </c:strRef>
          </c:cat>
          <c:val>
            <c:numRef>
              <c:f>'Chart Data'!$L$2:$L$45</c:f>
              <c:numCache>
                <c:formatCode>0.0</c:formatCode>
                <c:ptCount val="44"/>
                <c:pt idx="0">
                  <c:v>0.33501507537689101</c:v>
                </c:pt>
                <c:pt idx="1">
                  <c:v>0.33307783708267402</c:v>
                </c:pt>
                <c:pt idx="2">
                  <c:v>0.69883504198499902</c:v>
                </c:pt>
                <c:pt idx="3">
                  <c:v>1.19641076769691</c:v>
                </c:pt>
                <c:pt idx="4">
                  <c:v>2.1702769836208899</c:v>
                </c:pt>
                <c:pt idx="5">
                  <c:v>2.7556772908366498</c:v>
                </c:pt>
                <c:pt idx="6">
                  <c:v>2.8089547888450799</c:v>
                </c:pt>
                <c:pt idx="7">
                  <c:v>3.0213793103448201</c:v>
                </c:pt>
                <c:pt idx="8">
                  <c:v>2.7124509803921502</c:v>
                </c:pt>
                <c:pt idx="9">
                  <c:v>2.42326254498786</c:v>
                </c:pt>
                <c:pt idx="10">
                  <c:v>2.5072324011571698</c:v>
                </c:pt>
                <c:pt idx="11">
                  <c:v>2.2632444171997399</c:v>
                </c:pt>
                <c:pt idx="12">
                  <c:v>1.84533826110777</c:v>
                </c:pt>
                <c:pt idx="13">
                  <c:v>2.0188952621781402</c:v>
                </c:pt>
                <c:pt idx="14">
                  <c:v>1.85014111006585</c:v>
                </c:pt>
                <c:pt idx="15">
                  <c:v>1.4027435794088401</c:v>
                </c:pt>
                <c:pt idx="16">
                  <c:v>1.65576382380506</c:v>
                </c:pt>
                <c:pt idx="17">
                  <c:v>0.68024118738404404</c:v>
                </c:pt>
                <c:pt idx="18">
                  <c:v>0.61570178087999505</c:v>
                </c:pt>
                <c:pt idx="19">
                  <c:v>0.58413789859756604</c:v>
                </c:pt>
                <c:pt idx="20">
                  <c:v>0.64535935913971998</c:v>
                </c:pt>
                <c:pt idx="21">
                  <c:v>2.02702764957851</c:v>
                </c:pt>
                <c:pt idx="22">
                  <c:v>2.7539788108870198</c:v>
                </c:pt>
                <c:pt idx="23">
                  <c:v>4.8899434932935604</c:v>
                </c:pt>
                <c:pt idx="24">
                  <c:v>6.1984103210960804</c:v>
                </c:pt>
                <c:pt idx="25">
                  <c:v>9.1511767462903997</c:v>
                </c:pt>
                <c:pt idx="26">
                  <c:v>10.0059589058841</c:v>
                </c:pt>
                <c:pt idx="27">
                  <c:v>10.7517482517482</c:v>
                </c:pt>
                <c:pt idx="28">
                  <c:v>10.1782662962237</c:v>
                </c:pt>
                <c:pt idx="29">
                  <c:v>8.4390489688226804</c:v>
                </c:pt>
                <c:pt idx="30">
                  <c:v>6.7136184931289904</c:v>
                </c:pt>
                <c:pt idx="31">
                  <c:v>4.1568271507498</c:v>
                </c:pt>
                <c:pt idx="32">
                  <c:v>3.7175114085363701</c:v>
                </c:pt>
                <c:pt idx="33">
                  <c:v>1.56698841124404</c:v>
                </c:pt>
                <c:pt idx="34">
                  <c:v>1.6362252663622501</c:v>
                </c:pt>
                <c:pt idx="35">
                  <c:v>1.4807523413103501</c:v>
                </c:pt>
                <c:pt idx="36">
                  <c:v>1.3036507656145999</c:v>
                </c:pt>
                <c:pt idx="37">
                  <c:v>1.51990114219823</c:v>
                </c:pt>
                <c:pt idx="38">
                  <c:v>1.6171471359041401</c:v>
                </c:pt>
                <c:pt idx="39">
                  <c:v>1.7548431610324799</c:v>
                </c:pt>
                <c:pt idx="40">
                  <c:v>1.8445870579373</c:v>
                </c:pt>
                <c:pt idx="41">
                  <c:v>1.84699557064401</c:v>
                </c:pt>
                <c:pt idx="42">
                  <c:v>1.82868284286236</c:v>
                </c:pt>
                <c:pt idx="43">
                  <c:v>1.80119159703208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Data'!$M$1</c:f>
              <c:strCache>
                <c:ptCount val="1"/>
                <c:pt idx="0">
                  <c:v>Bank of England modal forecast (Latest - Nov-23)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strRef>
              <c:f>'Chart Data'!$K$2:$K$45</c:f>
              <c:strCache>
                <c:ptCount val="44"/>
                <c:pt idx="0">
                  <c:v>2016</c:v>
                </c:pt>
                <c:pt idx="1">
                  <c:v>2016</c:v>
                </c:pt>
                <c:pt idx="2">
                  <c:v>2016</c:v>
                </c:pt>
                <c:pt idx="3">
                  <c:v>2016</c:v>
                </c:pt>
                <c:pt idx="4">
                  <c:v>2017</c:v>
                </c:pt>
                <c:pt idx="5">
                  <c:v>2017</c:v>
                </c:pt>
                <c:pt idx="6">
                  <c:v>2017</c:v>
                </c:pt>
                <c:pt idx="7">
                  <c:v>2017</c:v>
                </c:pt>
                <c:pt idx="8">
                  <c:v>2018</c:v>
                </c:pt>
                <c:pt idx="9">
                  <c:v>2018</c:v>
                </c:pt>
                <c:pt idx="10">
                  <c:v>2018</c:v>
                </c:pt>
                <c:pt idx="11">
                  <c:v>2018</c:v>
                </c:pt>
                <c:pt idx="12">
                  <c:v>2019</c:v>
                </c:pt>
                <c:pt idx="13">
                  <c:v>2019</c:v>
                </c:pt>
                <c:pt idx="14">
                  <c:v>2019</c:v>
                </c:pt>
                <c:pt idx="15">
                  <c:v>2019</c:v>
                </c:pt>
                <c:pt idx="16">
                  <c:v>2020</c:v>
                </c:pt>
                <c:pt idx="17">
                  <c:v>2020</c:v>
                </c:pt>
                <c:pt idx="18">
                  <c:v>2020</c:v>
                </c:pt>
                <c:pt idx="19">
                  <c:v>2020</c:v>
                </c:pt>
                <c:pt idx="20">
                  <c:v>2021</c:v>
                </c:pt>
                <c:pt idx="21">
                  <c:v>2021</c:v>
                </c:pt>
                <c:pt idx="22">
                  <c:v>2021</c:v>
                </c:pt>
                <c:pt idx="23">
                  <c:v>2021</c:v>
                </c:pt>
                <c:pt idx="24">
                  <c:v>2022</c:v>
                </c:pt>
                <c:pt idx="25">
                  <c:v>2022</c:v>
                </c:pt>
                <c:pt idx="26">
                  <c:v>2022</c:v>
                </c:pt>
                <c:pt idx="27">
                  <c:v>2022</c:v>
                </c:pt>
                <c:pt idx="28">
                  <c:v>2023</c:v>
                </c:pt>
                <c:pt idx="29">
                  <c:v>2023</c:v>
                </c:pt>
                <c:pt idx="30">
                  <c:v>2023</c:v>
                </c:pt>
                <c:pt idx="31">
                  <c:v>2023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</c:strCache>
            </c:strRef>
          </c:cat>
          <c:val>
            <c:numRef>
              <c:f>'Chart Data'!$M$2:$M$45</c:f>
              <c:numCache>
                <c:formatCode>0.0</c:formatCode>
                <c:ptCount val="4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6.7136184931289904</c:v>
                </c:pt>
                <c:pt idx="31">
                  <c:v>4.5999999999999996</c:v>
                </c:pt>
                <c:pt idx="32">
                  <c:v>4.4000000000000004</c:v>
                </c:pt>
                <c:pt idx="33">
                  <c:v>3.6</c:v>
                </c:pt>
                <c:pt idx="34">
                  <c:v>3.3</c:v>
                </c:pt>
                <c:pt idx="35">
                  <c:v>3.1</c:v>
                </c:pt>
                <c:pt idx="36">
                  <c:v>2.5</c:v>
                </c:pt>
                <c:pt idx="37">
                  <c:v>2.1</c:v>
                </c:pt>
                <c:pt idx="38">
                  <c:v>2.1</c:v>
                </c:pt>
                <c:pt idx="39">
                  <c:v>1.9</c:v>
                </c:pt>
                <c:pt idx="40">
                  <c:v>1.9</c:v>
                </c:pt>
                <c:pt idx="41">
                  <c:v>1.7</c:v>
                </c:pt>
                <c:pt idx="42">
                  <c:v>1.6</c:v>
                </c:pt>
                <c:pt idx="4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Data'!$N$1</c:f>
              <c:strCache>
                <c:ptCount val="1"/>
                <c:pt idx="0">
                  <c:v>2% target</c:v>
                </c:pt>
              </c:strCache>
            </c:strRef>
          </c:tx>
          <c:spPr>
            <a:ln w="15875">
              <a:solidFill>
                <a:sysClr val="windowText" lastClr="000000"/>
              </a:solidFill>
              <a:prstDash val="dash"/>
            </a:ln>
          </c:spPr>
          <c:marker>
            <c:symbol val="none"/>
          </c:marker>
          <c:cat>
            <c:strRef>
              <c:f>'Chart Data'!$K$2:$K$45</c:f>
              <c:strCache>
                <c:ptCount val="44"/>
                <c:pt idx="0">
                  <c:v>2016</c:v>
                </c:pt>
                <c:pt idx="1">
                  <c:v>2016</c:v>
                </c:pt>
                <c:pt idx="2">
                  <c:v>2016</c:v>
                </c:pt>
                <c:pt idx="3">
                  <c:v>2016</c:v>
                </c:pt>
                <c:pt idx="4">
                  <c:v>2017</c:v>
                </c:pt>
                <c:pt idx="5">
                  <c:v>2017</c:v>
                </c:pt>
                <c:pt idx="6">
                  <c:v>2017</c:v>
                </c:pt>
                <c:pt idx="7">
                  <c:v>2017</c:v>
                </c:pt>
                <c:pt idx="8">
                  <c:v>2018</c:v>
                </c:pt>
                <c:pt idx="9">
                  <c:v>2018</c:v>
                </c:pt>
                <c:pt idx="10">
                  <c:v>2018</c:v>
                </c:pt>
                <c:pt idx="11">
                  <c:v>2018</c:v>
                </c:pt>
                <c:pt idx="12">
                  <c:v>2019</c:v>
                </c:pt>
                <c:pt idx="13">
                  <c:v>2019</c:v>
                </c:pt>
                <c:pt idx="14">
                  <c:v>2019</c:v>
                </c:pt>
                <c:pt idx="15">
                  <c:v>2019</c:v>
                </c:pt>
                <c:pt idx="16">
                  <c:v>2020</c:v>
                </c:pt>
                <c:pt idx="17">
                  <c:v>2020</c:v>
                </c:pt>
                <c:pt idx="18">
                  <c:v>2020</c:v>
                </c:pt>
                <c:pt idx="19">
                  <c:v>2020</c:v>
                </c:pt>
                <c:pt idx="20">
                  <c:v>2021</c:v>
                </c:pt>
                <c:pt idx="21">
                  <c:v>2021</c:v>
                </c:pt>
                <c:pt idx="22">
                  <c:v>2021</c:v>
                </c:pt>
                <c:pt idx="23">
                  <c:v>2021</c:v>
                </c:pt>
                <c:pt idx="24">
                  <c:v>2022</c:v>
                </c:pt>
                <c:pt idx="25">
                  <c:v>2022</c:v>
                </c:pt>
                <c:pt idx="26">
                  <c:v>2022</c:v>
                </c:pt>
                <c:pt idx="27">
                  <c:v>2022</c:v>
                </c:pt>
                <c:pt idx="28">
                  <c:v>2023</c:v>
                </c:pt>
                <c:pt idx="29">
                  <c:v>2023</c:v>
                </c:pt>
                <c:pt idx="30">
                  <c:v>2023</c:v>
                </c:pt>
                <c:pt idx="31">
                  <c:v>2023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</c:strCache>
            </c:strRef>
          </c:cat>
          <c:val>
            <c:numRef>
              <c:f>'Chart Data'!$N$2:$N$45</c:f>
              <c:numCache>
                <c:formatCode>0.0</c:formatCode>
                <c:ptCount val="4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2AC-44F0-895A-D991E5238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6.3832244012341707E-2"/>
          <c:y val="0.23377527630932701"/>
          <c:w val="0.40916511341012368"/>
          <c:h val="0.1682100482700585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3381432524554346E-2"/>
          <c:y val="0.16431046544512748"/>
          <c:w val="0.88806641251291552"/>
          <c:h val="0.73464403197237416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ONS AWE regular pay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Data'!$A$2:$A$40</c:f>
              <c:numCache>
                <c:formatCode>m/d/yyyy</c:formatCode>
                <c:ptCount val="3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</c:numCache>
            </c:numRef>
          </c:cat>
          <c:val>
            <c:numRef>
              <c:f>'Chart Data'!$B$2:$B$40</c:f>
              <c:numCache>
                <c:formatCode>0.0</c:formatCode>
                <c:ptCount val="39"/>
                <c:pt idx="0">
                  <c:v>4.3</c:v>
                </c:pt>
                <c:pt idx="1">
                  <c:v>4.4000000000000004</c:v>
                </c:pt>
                <c:pt idx="2">
                  <c:v>4.5999999999999996</c:v>
                </c:pt>
                <c:pt idx="3">
                  <c:v>5.7</c:v>
                </c:pt>
                <c:pt idx="4">
                  <c:v>6.6</c:v>
                </c:pt>
                <c:pt idx="5">
                  <c:v>7.3</c:v>
                </c:pt>
                <c:pt idx="6">
                  <c:v>6.8</c:v>
                </c:pt>
                <c:pt idx="7">
                  <c:v>6</c:v>
                </c:pt>
                <c:pt idx="8">
                  <c:v>5</c:v>
                </c:pt>
                <c:pt idx="9">
                  <c:v>4.3</c:v>
                </c:pt>
                <c:pt idx="10">
                  <c:v>3.8</c:v>
                </c:pt>
                <c:pt idx="11">
                  <c:v>3.7</c:v>
                </c:pt>
                <c:pt idx="12">
                  <c:v>3.8</c:v>
                </c:pt>
                <c:pt idx="13">
                  <c:v>4.0999999999999996</c:v>
                </c:pt>
                <c:pt idx="14">
                  <c:v>4.3</c:v>
                </c:pt>
                <c:pt idx="15">
                  <c:v>4.2</c:v>
                </c:pt>
                <c:pt idx="16">
                  <c:v>4.4000000000000004</c:v>
                </c:pt>
                <c:pt idx="17">
                  <c:v>4.7</c:v>
                </c:pt>
                <c:pt idx="18">
                  <c:v>5.2</c:v>
                </c:pt>
                <c:pt idx="19">
                  <c:v>5.4</c:v>
                </c:pt>
                <c:pt idx="20">
                  <c:v>5.7</c:v>
                </c:pt>
                <c:pt idx="21">
                  <c:v>6.1</c:v>
                </c:pt>
                <c:pt idx="22">
                  <c:v>6.5</c:v>
                </c:pt>
                <c:pt idx="23">
                  <c:v>6.7</c:v>
                </c:pt>
                <c:pt idx="24">
                  <c:v>6.6</c:v>
                </c:pt>
                <c:pt idx="25">
                  <c:v>6.7</c:v>
                </c:pt>
                <c:pt idx="26">
                  <c:v>6.8</c:v>
                </c:pt>
                <c:pt idx="27">
                  <c:v>7.3</c:v>
                </c:pt>
                <c:pt idx="28">
                  <c:v>7.5</c:v>
                </c:pt>
                <c:pt idx="29">
                  <c:v>7.8</c:v>
                </c:pt>
                <c:pt idx="30">
                  <c:v>7.9</c:v>
                </c:pt>
                <c:pt idx="31">
                  <c:v>7.9</c:v>
                </c:pt>
                <c:pt idx="32">
                  <c:v>7.8</c:v>
                </c:pt>
                <c:pt idx="33">
                  <c:v>7.2</c:v>
                </c:pt>
                <c:pt idx="34">
                  <c:v>6.6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ONS AWE private sector regular pay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Data'!$A$2:$A$40</c:f>
              <c:numCache>
                <c:formatCode>m/d/yyyy</c:formatCode>
                <c:ptCount val="3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</c:numCache>
            </c:numRef>
          </c:cat>
          <c:val>
            <c:numRef>
              <c:f>'Chart Data'!$C$2:$C$40</c:f>
              <c:numCache>
                <c:formatCode>0.0</c:formatCode>
                <c:ptCount val="39"/>
                <c:pt idx="0">
                  <c:v>4.0999999999999996</c:v>
                </c:pt>
                <c:pt idx="1">
                  <c:v>4.2</c:v>
                </c:pt>
                <c:pt idx="2">
                  <c:v>4.3</c:v>
                </c:pt>
                <c:pt idx="3">
                  <c:v>5.7</c:v>
                </c:pt>
                <c:pt idx="4">
                  <c:v>7.2</c:v>
                </c:pt>
                <c:pt idx="5">
                  <c:v>8.4</c:v>
                </c:pt>
                <c:pt idx="6">
                  <c:v>7.8</c:v>
                </c:pt>
                <c:pt idx="7">
                  <c:v>6.7</c:v>
                </c:pt>
                <c:pt idx="8">
                  <c:v>5.5</c:v>
                </c:pt>
                <c:pt idx="9">
                  <c:v>4.5999999999999996</c:v>
                </c:pt>
                <c:pt idx="10">
                  <c:v>4.0999999999999996</c:v>
                </c:pt>
                <c:pt idx="11">
                  <c:v>3.9</c:v>
                </c:pt>
                <c:pt idx="12">
                  <c:v>4.2</c:v>
                </c:pt>
                <c:pt idx="13">
                  <c:v>4.5999999999999996</c:v>
                </c:pt>
                <c:pt idx="14">
                  <c:v>4.9000000000000004</c:v>
                </c:pt>
                <c:pt idx="15">
                  <c:v>4.8</c:v>
                </c:pt>
                <c:pt idx="16">
                  <c:v>5.0999999999999996</c:v>
                </c:pt>
                <c:pt idx="17">
                  <c:v>5.4</c:v>
                </c:pt>
                <c:pt idx="18">
                  <c:v>6</c:v>
                </c:pt>
                <c:pt idx="19">
                  <c:v>6.2</c:v>
                </c:pt>
                <c:pt idx="20">
                  <c:v>6.6</c:v>
                </c:pt>
                <c:pt idx="21">
                  <c:v>6.9</c:v>
                </c:pt>
                <c:pt idx="22">
                  <c:v>7.3</c:v>
                </c:pt>
                <c:pt idx="23">
                  <c:v>7.3</c:v>
                </c:pt>
                <c:pt idx="24">
                  <c:v>7.1</c:v>
                </c:pt>
                <c:pt idx="25">
                  <c:v>7</c:v>
                </c:pt>
                <c:pt idx="26">
                  <c:v>7.1</c:v>
                </c:pt>
                <c:pt idx="27">
                  <c:v>7.7</c:v>
                </c:pt>
                <c:pt idx="28">
                  <c:v>7.9</c:v>
                </c:pt>
                <c:pt idx="29">
                  <c:v>8.1999999999999993</c:v>
                </c:pt>
                <c:pt idx="30">
                  <c:v>8.1</c:v>
                </c:pt>
                <c:pt idx="31">
                  <c:v>8.1</c:v>
                </c:pt>
                <c:pt idx="32">
                  <c:v>7.9</c:v>
                </c:pt>
                <c:pt idx="33">
                  <c:v>7.2</c:v>
                </c:pt>
                <c:pt idx="34">
                  <c:v>6.5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ONS RTI median employee pay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Data'!$A$2:$A$40</c:f>
              <c:numCache>
                <c:formatCode>m/d/yyyy</c:formatCode>
                <c:ptCount val="3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</c:numCache>
            </c:numRef>
          </c:cat>
          <c:val>
            <c:numRef>
              <c:f>'Chart Data'!$D$2:$D$40</c:f>
              <c:numCache>
                <c:formatCode>0.0</c:formatCode>
                <c:ptCount val="39"/>
                <c:pt idx="0">
                  <c:v>4.5108695652174013</c:v>
                </c:pt>
                <c:pt idx="1">
                  <c:v>4.4348296376419682</c:v>
                </c:pt>
                <c:pt idx="2">
                  <c:v>4.7001620745543038</c:v>
                </c:pt>
                <c:pt idx="3">
                  <c:v>6.5609622744669194</c:v>
                </c:pt>
                <c:pt idx="4">
                  <c:v>8.1305309734513322</c:v>
                </c:pt>
                <c:pt idx="5">
                  <c:v>8.9295618413754774</c:v>
                </c:pt>
                <c:pt idx="6">
                  <c:v>7.8774617067833619</c:v>
                </c:pt>
                <c:pt idx="7">
                  <c:v>6.6738428417653317</c:v>
                </c:pt>
                <c:pt idx="8">
                  <c:v>5.8979808714133997</c:v>
                </c:pt>
                <c:pt idx="9">
                  <c:v>5.5292259083728368</c:v>
                </c:pt>
                <c:pt idx="10">
                  <c:v>5.392670157068058</c:v>
                </c:pt>
                <c:pt idx="11">
                  <c:v>5.4744525547445244</c:v>
                </c:pt>
                <c:pt idx="12">
                  <c:v>5.7722308892355745</c:v>
                </c:pt>
                <c:pt idx="13">
                  <c:v>5.9036768513723414</c:v>
                </c:pt>
                <c:pt idx="14">
                  <c:v>6.1919504643962897</c:v>
                </c:pt>
                <c:pt idx="15">
                  <c:v>6.0030785017957999</c:v>
                </c:pt>
                <c:pt idx="16">
                  <c:v>6.240409207161135</c:v>
                </c:pt>
                <c:pt idx="17">
                  <c:v>6.2118126272912466</c:v>
                </c:pt>
                <c:pt idx="18">
                  <c:v>6.4401622718052831</c:v>
                </c:pt>
                <c:pt idx="19">
                  <c:v>6.5590312815338114</c:v>
                </c:pt>
                <c:pt idx="20">
                  <c:v>6.7235323632714561</c:v>
                </c:pt>
                <c:pt idx="21">
                  <c:v>6.7864271457085845</c:v>
                </c:pt>
                <c:pt idx="22">
                  <c:v>7.5509190263288728</c:v>
                </c:pt>
                <c:pt idx="23">
                  <c:v>7.7607513593672683</c:v>
                </c:pt>
                <c:pt idx="24">
                  <c:v>7.8171091445427665</c:v>
                </c:pt>
                <c:pt idx="25">
                  <c:v>7.383863080684594</c:v>
                </c:pt>
                <c:pt idx="26">
                  <c:v>7.0942662779397425</c:v>
                </c:pt>
                <c:pt idx="27">
                  <c:v>7.1636011616650563</c:v>
                </c:pt>
                <c:pt idx="28">
                  <c:v>7.4145402022147255</c:v>
                </c:pt>
                <c:pt idx="29">
                  <c:v>8.3413231064237703</c:v>
                </c:pt>
                <c:pt idx="30">
                  <c:v>8.4802286803239646</c:v>
                </c:pt>
                <c:pt idx="31">
                  <c:v>8.2386363636363527</c:v>
                </c:pt>
                <c:pt idx="32">
                  <c:v>7.0051716031969802</c:v>
                </c:pt>
                <c:pt idx="33">
                  <c:v>6.5887850467289732</c:v>
                </c:pt>
                <c:pt idx="34">
                  <c:v>6.1893764434180154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Indeed Wage Tracker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'Chart Data'!$A$2:$A$40</c:f>
              <c:numCache>
                <c:formatCode>m/d/yyyy</c:formatCode>
                <c:ptCount val="3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</c:numCache>
            </c:numRef>
          </c:cat>
          <c:val>
            <c:numRef>
              <c:f>'Chart Data'!$E$2:$E$40</c:f>
              <c:numCache>
                <c:formatCode>0.0</c:formatCode>
                <c:ptCount val="39"/>
                <c:pt idx="0">
                  <c:v>3.2334876000000001</c:v>
                </c:pt>
                <c:pt idx="1">
                  <c:v>3.2139831999999999</c:v>
                </c:pt>
                <c:pt idx="2">
                  <c:v>3.0759642999999999</c:v>
                </c:pt>
                <c:pt idx="3">
                  <c:v>2.2602196000000001</c:v>
                </c:pt>
                <c:pt idx="4">
                  <c:v>1.9057010000000001</c:v>
                </c:pt>
                <c:pt idx="5">
                  <c:v>1.9802468</c:v>
                </c:pt>
                <c:pt idx="6">
                  <c:v>2.8207624999999998</c:v>
                </c:pt>
                <c:pt idx="7">
                  <c:v>3.3846020999999999</c:v>
                </c:pt>
                <c:pt idx="8">
                  <c:v>3.7359038999999998</c:v>
                </c:pt>
                <c:pt idx="9">
                  <c:v>3.9741369999999998</c:v>
                </c:pt>
                <c:pt idx="10">
                  <c:v>4.1001032000000004</c:v>
                </c:pt>
                <c:pt idx="11">
                  <c:v>4.3717699000000003</c:v>
                </c:pt>
                <c:pt idx="12">
                  <c:v>4.3482294000000001</c:v>
                </c:pt>
                <c:pt idx="13">
                  <c:v>4.5042469000000001</c:v>
                </c:pt>
                <c:pt idx="14">
                  <c:v>4.8045030999999998</c:v>
                </c:pt>
                <c:pt idx="15">
                  <c:v>5.5228792999999996</c:v>
                </c:pt>
                <c:pt idx="16">
                  <c:v>6.0188524000000001</c:v>
                </c:pt>
                <c:pt idx="17">
                  <c:v>6.2209861000000002</c:v>
                </c:pt>
                <c:pt idx="18">
                  <c:v>6.0865273000000002</c:v>
                </c:pt>
                <c:pt idx="19">
                  <c:v>6.0575761999999997</c:v>
                </c:pt>
                <c:pt idx="20">
                  <c:v>6.0575761999999997</c:v>
                </c:pt>
                <c:pt idx="21">
                  <c:v>6.0717818000000001</c:v>
                </c:pt>
                <c:pt idx="22">
                  <c:v>5.9749363000000004</c:v>
                </c:pt>
                <c:pt idx="23">
                  <c:v>5.8775918999999996</c:v>
                </c:pt>
                <c:pt idx="24">
                  <c:v>5.9938918000000001</c:v>
                </c:pt>
                <c:pt idx="25">
                  <c:v>6.2265772999999998</c:v>
                </c:pt>
                <c:pt idx="26">
                  <c:v>6.5933951999999998</c:v>
                </c:pt>
                <c:pt idx="27">
                  <c:v>6.9776457000000001</c:v>
                </c:pt>
                <c:pt idx="28">
                  <c:v>7.2664438000000002</c:v>
                </c:pt>
                <c:pt idx="29">
                  <c:v>7.3998334999999997</c:v>
                </c:pt>
                <c:pt idx="30">
                  <c:v>7.3036251999999999</c:v>
                </c:pt>
                <c:pt idx="31">
                  <c:v>7.2768894</c:v>
                </c:pt>
                <c:pt idx="32">
                  <c:v>7.1159490999999999</c:v>
                </c:pt>
                <c:pt idx="33">
                  <c:v>6.9654404000000003</c:v>
                </c:pt>
                <c:pt idx="34">
                  <c:v>6.7176432999999998</c:v>
                </c:pt>
                <c:pt idx="35">
                  <c:v>6.5935256000000004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BoE November forecast</c:v>
                </c:pt>
              </c:strCache>
            </c:strRef>
          </c:tx>
          <c:spPr>
            <a:ln w="38100">
              <a:solidFill>
                <a:srgbClr val="00ADDC"/>
              </a:solidFill>
            </a:ln>
          </c:spPr>
          <c:marker>
            <c:symbol val="none"/>
          </c:marker>
          <c:dPt>
            <c:idx val="35"/>
            <c:marker>
              <c:symbol val="diamond"/>
              <c:size val="10"/>
              <c:spPr>
                <a:solidFill>
                  <a:srgbClr val="00ADDC"/>
                </a:solidFill>
                <a:ln>
                  <a:solidFill>
                    <a:srgbClr val="00ADDC"/>
                  </a:solidFill>
                </a:ln>
              </c:spPr>
            </c:marker>
            <c:bubble3D val="0"/>
            <c:spPr>
              <a:ln w="38100">
                <a:noFill/>
              </a:ln>
            </c:spPr>
            <c:extLst>
              <c:ext xmlns:c16="http://schemas.microsoft.com/office/drawing/2014/chart" uri="{C3380CC4-5D6E-409C-BE32-E72D297353CC}">
                <c16:uniqueId val="{00000011-1F7A-44E3-86D2-BC2921AA98BD}"/>
              </c:ext>
            </c:extLst>
          </c:dPt>
          <c:dPt>
            <c:idx val="38"/>
            <c:marker>
              <c:symbol val="diamond"/>
              <c:size val="10"/>
              <c:spPr>
                <a:solidFill>
                  <a:srgbClr val="00ADDC"/>
                </a:solidFill>
                <a:ln>
                  <a:solidFill>
                    <a:srgbClr val="00ADDC"/>
                  </a:solidFill>
                </a:ln>
              </c:spPr>
            </c:marker>
            <c:bubble3D val="0"/>
            <c:spPr>
              <a:ln w="38100">
                <a:noFill/>
              </a:ln>
            </c:spPr>
            <c:extLst>
              <c:ext xmlns:c16="http://schemas.microsoft.com/office/drawing/2014/chart" uri="{C3380CC4-5D6E-409C-BE32-E72D297353CC}">
                <c16:uniqueId val="{00000010-1F7A-44E3-86D2-BC2921AA98BD}"/>
              </c:ext>
            </c:extLst>
          </c:dPt>
          <c:cat>
            <c:numRef>
              <c:f>'Chart Data'!$A$2:$A$40</c:f>
              <c:numCache>
                <c:formatCode>m/d/yyyy</c:formatCode>
                <c:ptCount val="3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</c:numCache>
            </c:numRef>
          </c:cat>
          <c:val>
            <c:numRef>
              <c:f>'Chart Data'!$G$2:$G$40</c:f>
              <c:numCache>
                <c:formatCode>0.0</c:formatCode>
                <c:ptCount val="3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7.2</c:v>
                </c:pt>
                <c:pt idx="36">
                  <c:v>#N/A</c:v>
                </c:pt>
                <c:pt idx="37">
                  <c:v>#N/A</c:v>
                </c:pt>
                <c:pt idx="38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'Chart Data'!$F$1</c15:sqref>
                        </c15:formulaRef>
                      </c:ext>
                    </c:extLst>
                    <c:strCache>
                      <c:ptCount val="1"/>
                      <c:pt idx="0">
                        <c:v>XpertHR</c:v>
                      </c:pt>
                    </c:strCache>
                  </c:strRef>
                </c:tx>
                <c:spPr>
                  <a:ln w="38100">
                    <a:solidFill>
                      <a:srgbClr val="965793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'Chart Data'!$A$2:$A$40</c15:sqref>
                        </c15:formulaRef>
                      </c:ext>
                    </c:extLst>
                    <c:numCache>
                      <c:formatCode>m/d/yyyy</c:formatCode>
                      <c:ptCount val="3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  <c:pt idx="29">
                        <c:v>45078</c:v>
                      </c:pt>
                      <c:pt idx="30">
                        <c:v>45108</c:v>
                      </c:pt>
                      <c:pt idx="31">
                        <c:v>45139</c:v>
                      </c:pt>
                      <c:pt idx="32">
                        <c:v>45170</c:v>
                      </c:pt>
                      <c:pt idx="33">
                        <c:v>45200</c:v>
                      </c:pt>
                      <c:pt idx="34">
                        <c:v>45231</c:v>
                      </c:pt>
                      <c:pt idx="35">
                        <c:v>45261</c:v>
                      </c:pt>
                      <c:pt idx="36">
                        <c:v>45292</c:v>
                      </c:pt>
                      <c:pt idx="37">
                        <c:v>45323</c:v>
                      </c:pt>
                      <c:pt idx="38">
                        <c:v>45352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'Chart Data'!$F$2:$F$40</c15:sqref>
                        </c15:formulaRef>
                      </c:ext>
                    </c:extLst>
                    <c:numCache>
                      <c:formatCode>0.0</c:formatCode>
                      <c:ptCount val="39"/>
                      <c:pt idx="0">
                        <c:v>1</c:v>
                      </c:pt>
                      <c:pt idx="1">
                        <c:v>1</c:v>
                      </c:pt>
                      <c:pt idx="2">
                        <c:v>1.2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2.5</c:v>
                      </c:pt>
                      <c:pt idx="11">
                        <c:v>2.2999999999999998</c:v>
                      </c:pt>
                      <c:pt idx="12">
                        <c:v>3.5</c:v>
                      </c:pt>
                      <c:pt idx="13">
                        <c:v>3.5</c:v>
                      </c:pt>
                      <c:pt idx="14">
                        <c:v>3.7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4.4000000000000004</c:v>
                      </c:pt>
                      <c:pt idx="19">
                        <c:v>4.3</c:v>
                      </c:pt>
                      <c:pt idx="20">
                        <c:v>4.3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5.7</c:v>
                      </c:pt>
                      <c:pt idx="31">
                        <c:v>5</c:v>
                      </c:pt>
                      <c:pt idx="32">
                        <c:v>5.4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E850-417B-95DA-4ED900504230}"/>
                  </c:ext>
                </c:extLst>
              </c15:ser>
            </c15:filteredLineSeries>
          </c:ext>
        </c:extLst>
      </c:lineChart>
      <c:date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out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  <c:max val="9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51489519126851224"/>
          <c:y val="0.51907089591116806"/>
          <c:w val="0.48000059381717564"/>
          <c:h val="0.37812393016090379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3559221099509195E-2"/>
          <c:y val="0.14733637257579002"/>
          <c:w val="0.9177009563329569"/>
          <c:h val="0.73581040084721006"/>
        </c:manualLayout>
      </c:layout>
      <c:lineChart>
        <c:grouping val="standard"/>
        <c:varyColors val="0"/>
        <c:ser>
          <c:idx val="1"/>
          <c:order val="1"/>
          <c:tx>
            <c:strRef>
              <c:f>'Chart Data'!$C$1</c:f>
              <c:strCache>
                <c:ptCount val="1"/>
                <c:pt idx="0">
                  <c:v>ONS AWE private sector regular pay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Data'!$A$2:$A$38</c:f>
              <c:numCache>
                <c:formatCode>m/d/yyyy</c:formatCode>
                <c:ptCount val="37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</c:numCache>
            </c:numRef>
          </c:cat>
          <c:val>
            <c:numRef>
              <c:f>'Chart Data'!$C$2:$C$38</c:f>
              <c:numCache>
                <c:formatCode>0.0</c:formatCode>
                <c:ptCount val="37"/>
                <c:pt idx="0">
                  <c:v>4.0999999999999996</c:v>
                </c:pt>
                <c:pt idx="1">
                  <c:v>4.2</c:v>
                </c:pt>
                <c:pt idx="2">
                  <c:v>4.3</c:v>
                </c:pt>
                <c:pt idx="3">
                  <c:v>5.7</c:v>
                </c:pt>
                <c:pt idx="4">
                  <c:v>7.2</c:v>
                </c:pt>
                <c:pt idx="5">
                  <c:v>8.4</c:v>
                </c:pt>
                <c:pt idx="6">
                  <c:v>7.8</c:v>
                </c:pt>
                <c:pt idx="7">
                  <c:v>6.7</c:v>
                </c:pt>
                <c:pt idx="8">
                  <c:v>5.5</c:v>
                </c:pt>
                <c:pt idx="9">
                  <c:v>4.5999999999999996</c:v>
                </c:pt>
                <c:pt idx="10">
                  <c:v>4.0999999999999996</c:v>
                </c:pt>
                <c:pt idx="11">
                  <c:v>3.9</c:v>
                </c:pt>
                <c:pt idx="12">
                  <c:v>4.2</c:v>
                </c:pt>
                <c:pt idx="13">
                  <c:v>4.5999999999999996</c:v>
                </c:pt>
                <c:pt idx="14">
                  <c:v>4.9000000000000004</c:v>
                </c:pt>
                <c:pt idx="15">
                  <c:v>4.8</c:v>
                </c:pt>
                <c:pt idx="16">
                  <c:v>5.0999999999999996</c:v>
                </c:pt>
                <c:pt idx="17">
                  <c:v>5.4</c:v>
                </c:pt>
                <c:pt idx="18">
                  <c:v>6</c:v>
                </c:pt>
                <c:pt idx="19">
                  <c:v>6.2</c:v>
                </c:pt>
                <c:pt idx="20">
                  <c:v>6.6</c:v>
                </c:pt>
                <c:pt idx="21">
                  <c:v>6.9</c:v>
                </c:pt>
                <c:pt idx="22">
                  <c:v>7.3</c:v>
                </c:pt>
                <c:pt idx="23">
                  <c:v>7.3</c:v>
                </c:pt>
                <c:pt idx="24">
                  <c:v>7.1</c:v>
                </c:pt>
                <c:pt idx="25">
                  <c:v>7</c:v>
                </c:pt>
                <c:pt idx="26">
                  <c:v>7.1</c:v>
                </c:pt>
                <c:pt idx="27">
                  <c:v>7.7</c:v>
                </c:pt>
                <c:pt idx="28">
                  <c:v>7.9</c:v>
                </c:pt>
                <c:pt idx="29">
                  <c:v>8.1999999999999993</c:v>
                </c:pt>
                <c:pt idx="30">
                  <c:v>8.1</c:v>
                </c:pt>
                <c:pt idx="31">
                  <c:v>8.1</c:v>
                </c:pt>
                <c:pt idx="32">
                  <c:v>7.9</c:v>
                </c:pt>
                <c:pt idx="33">
                  <c:v>7.2</c:v>
                </c:pt>
                <c:pt idx="34">
                  <c:v>6.5</c:v>
                </c:pt>
                <c:pt idx="35">
                  <c:v>#N/A</c:v>
                </c:pt>
                <c:pt idx="3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Indeed Wage Tracker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Data'!$A$2:$A$38</c:f>
              <c:numCache>
                <c:formatCode>m/d/yyyy</c:formatCode>
                <c:ptCount val="37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</c:numCache>
            </c:numRef>
          </c:cat>
          <c:val>
            <c:numRef>
              <c:f>'Chart Data'!$E$2:$E$38</c:f>
              <c:numCache>
                <c:formatCode>0.0</c:formatCode>
                <c:ptCount val="37"/>
                <c:pt idx="0">
                  <c:v>3.2334876000000001</c:v>
                </c:pt>
                <c:pt idx="1">
                  <c:v>3.2139831999999999</c:v>
                </c:pt>
                <c:pt idx="2">
                  <c:v>3.0759642999999999</c:v>
                </c:pt>
                <c:pt idx="3">
                  <c:v>2.2602196000000001</c:v>
                </c:pt>
                <c:pt idx="4">
                  <c:v>1.9057010000000001</c:v>
                </c:pt>
                <c:pt idx="5">
                  <c:v>1.9802468</c:v>
                </c:pt>
                <c:pt idx="6">
                  <c:v>2.8207624999999998</c:v>
                </c:pt>
                <c:pt idx="7">
                  <c:v>3.3846020999999999</c:v>
                </c:pt>
                <c:pt idx="8">
                  <c:v>3.7359038999999998</c:v>
                </c:pt>
                <c:pt idx="9">
                  <c:v>3.9741369999999998</c:v>
                </c:pt>
                <c:pt idx="10">
                  <c:v>4.1001032000000004</c:v>
                </c:pt>
                <c:pt idx="11">
                  <c:v>4.3717699000000003</c:v>
                </c:pt>
                <c:pt idx="12">
                  <c:v>4.3482294000000001</c:v>
                </c:pt>
                <c:pt idx="13">
                  <c:v>4.5042469000000001</c:v>
                </c:pt>
                <c:pt idx="14">
                  <c:v>4.8045030999999998</c:v>
                </c:pt>
                <c:pt idx="15">
                  <c:v>5.5228792999999996</c:v>
                </c:pt>
                <c:pt idx="16">
                  <c:v>6.0188524000000001</c:v>
                </c:pt>
                <c:pt idx="17">
                  <c:v>6.2209861000000002</c:v>
                </c:pt>
                <c:pt idx="18">
                  <c:v>6.0865273000000002</c:v>
                </c:pt>
                <c:pt idx="19">
                  <c:v>6.0575761999999997</c:v>
                </c:pt>
                <c:pt idx="20">
                  <c:v>6.0575761999999997</c:v>
                </c:pt>
                <c:pt idx="21">
                  <c:v>6.0717818000000001</c:v>
                </c:pt>
                <c:pt idx="22">
                  <c:v>5.9749363000000004</c:v>
                </c:pt>
                <c:pt idx="23">
                  <c:v>5.8775918999999996</c:v>
                </c:pt>
                <c:pt idx="24">
                  <c:v>5.9938918000000001</c:v>
                </c:pt>
                <c:pt idx="25">
                  <c:v>6.2265772999999998</c:v>
                </c:pt>
                <c:pt idx="26">
                  <c:v>6.5933951999999998</c:v>
                </c:pt>
                <c:pt idx="27">
                  <c:v>6.9776457000000001</c:v>
                </c:pt>
                <c:pt idx="28">
                  <c:v>7.2664438000000002</c:v>
                </c:pt>
                <c:pt idx="29">
                  <c:v>7.3998334999999997</c:v>
                </c:pt>
                <c:pt idx="30">
                  <c:v>7.3036251999999999</c:v>
                </c:pt>
                <c:pt idx="31">
                  <c:v>7.2768894</c:v>
                </c:pt>
                <c:pt idx="32">
                  <c:v>7.1159490999999999</c:v>
                </c:pt>
                <c:pt idx="33">
                  <c:v>6.9654404000000003</c:v>
                </c:pt>
                <c:pt idx="34">
                  <c:v>6.7176432999999998</c:v>
                </c:pt>
                <c:pt idx="35">
                  <c:v>6.5935256000000004</c:v>
                </c:pt>
                <c:pt idx="3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XpertHR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'Chart Data'!$A$2:$A$38</c:f>
              <c:numCache>
                <c:formatCode>m/d/yyyy</c:formatCode>
                <c:ptCount val="37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</c:numCache>
            </c:numRef>
          </c:cat>
          <c:val>
            <c:numRef>
              <c:f>'Chart Data'!$F$2:$F$38</c:f>
              <c:numCache>
                <c:formatCode>0.0</c:formatCode>
                <c:ptCount val="37"/>
                <c:pt idx="0">
                  <c:v>1</c:v>
                </c:pt>
                <c:pt idx="1">
                  <c:v>1</c:v>
                </c:pt>
                <c:pt idx="2">
                  <c:v>1.2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2.5</c:v>
                </c:pt>
                <c:pt idx="11">
                  <c:v>2.2999999999999998</c:v>
                </c:pt>
                <c:pt idx="12">
                  <c:v>3.5</c:v>
                </c:pt>
                <c:pt idx="13">
                  <c:v>3.5</c:v>
                </c:pt>
                <c:pt idx="14">
                  <c:v>3.7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4.4000000000000004</c:v>
                </c:pt>
                <c:pt idx="19">
                  <c:v>4.3</c:v>
                </c:pt>
                <c:pt idx="20">
                  <c:v>4.3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5.7</c:v>
                </c:pt>
                <c:pt idx="31">
                  <c:v>5</c:v>
                </c:pt>
                <c:pt idx="32">
                  <c:v>5.4</c:v>
                </c:pt>
                <c:pt idx="33">
                  <c:v>6</c:v>
                </c:pt>
                <c:pt idx="34">
                  <c:v>6</c:v>
                </c:pt>
                <c:pt idx="35">
                  <c:v>#N/A</c:v>
                </c:pt>
                <c:pt idx="3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ser>
          <c:idx val="6"/>
          <c:order val="6"/>
          <c:tx>
            <c:strRef>
              <c:f>'Chart Data'!$H$1</c:f>
              <c:strCache>
                <c:ptCount val="1"/>
                <c:pt idx="0">
                  <c:v>OE-Penta regular pay indicator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Data'!$A$2:$A$38</c:f>
              <c:numCache>
                <c:formatCode>m/d/yyyy</c:formatCode>
                <c:ptCount val="37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</c:numCache>
            </c:numRef>
          </c:cat>
          <c:val>
            <c:numRef>
              <c:f>'Chart Data'!$H$2:$H$38</c:f>
              <c:numCache>
                <c:formatCode>0.0</c:formatCode>
                <c:ptCount val="37"/>
                <c:pt idx="0">
                  <c:v>4.4523074736400048</c:v>
                </c:pt>
                <c:pt idx="1">
                  <c:v>4.2700778799531491</c:v>
                </c:pt>
                <c:pt idx="2">
                  <c:v>5.0103525147952244</c:v>
                </c:pt>
                <c:pt idx="3">
                  <c:v>8.6422758697064062</c:v>
                </c:pt>
                <c:pt idx="4">
                  <c:v>8.4870706779457183</c:v>
                </c:pt>
                <c:pt idx="5">
                  <c:v>7.9822521592868956</c:v>
                </c:pt>
                <c:pt idx="6">
                  <c:v>7.805791574358012</c:v>
                </c:pt>
                <c:pt idx="7">
                  <c:v>7.1153515439116077</c:v>
                </c:pt>
                <c:pt idx="8">
                  <c:v>3.8074536339723686</c:v>
                </c:pt>
                <c:pt idx="9">
                  <c:v>4.6500967995751319</c:v>
                </c:pt>
                <c:pt idx="10">
                  <c:v>4.3678803786772358</c:v>
                </c:pt>
                <c:pt idx="11">
                  <c:v>5.3609096866190864</c:v>
                </c:pt>
                <c:pt idx="12">
                  <c:v>5.7642315043868297</c:v>
                </c:pt>
                <c:pt idx="13">
                  <c:v>6.4374768039383135</c:v>
                </c:pt>
                <c:pt idx="14">
                  <c:v>5.9524530020782729</c:v>
                </c:pt>
                <c:pt idx="15">
                  <c:v>6.1263567583823786</c:v>
                </c:pt>
                <c:pt idx="16">
                  <c:v>5.4269793020606194</c:v>
                </c:pt>
                <c:pt idx="17">
                  <c:v>5.1867825235133447</c:v>
                </c:pt>
                <c:pt idx="18">
                  <c:v>6.0405884090467099</c:v>
                </c:pt>
                <c:pt idx="19">
                  <c:v>6.3205245260411047</c:v>
                </c:pt>
                <c:pt idx="20">
                  <c:v>6.6191674001784717</c:v>
                </c:pt>
                <c:pt idx="21">
                  <c:v>7.2755813583242901</c:v>
                </c:pt>
                <c:pt idx="22">
                  <c:v>6.6420506378634281</c:v>
                </c:pt>
                <c:pt idx="23">
                  <c:v>6.8625381163849752</c:v>
                </c:pt>
                <c:pt idx="24">
                  <c:v>5.9204287857635096</c:v>
                </c:pt>
                <c:pt idx="25">
                  <c:v>6.7778422057005905</c:v>
                </c:pt>
                <c:pt idx="26">
                  <c:v>6.9705190580902965</c:v>
                </c:pt>
                <c:pt idx="27">
                  <c:v>6.891420417605465</c:v>
                </c:pt>
                <c:pt idx="28">
                  <c:v>8.1028056553885452</c:v>
                </c:pt>
                <c:pt idx="29">
                  <c:v>8.1580844107342845</c:v>
                </c:pt>
                <c:pt idx="30">
                  <c:v>8.1815169133877479</c:v>
                </c:pt>
                <c:pt idx="31">
                  <c:v>7.6941702678442416</c:v>
                </c:pt>
                <c:pt idx="32">
                  <c:v>7.1815803730273133</c:v>
                </c:pt>
                <c:pt idx="33">
                  <c:v>6.8482767329748286</c:v>
                </c:pt>
                <c:pt idx="34">
                  <c:v>6.159148476946358</c:v>
                </c:pt>
                <c:pt idx="35">
                  <c:v>6.29487005811258</c:v>
                </c:pt>
                <c:pt idx="36">
                  <c:v>6.7198473008348003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'Chart Data'!$B$1</c15:sqref>
                        </c15:formulaRef>
                      </c:ext>
                    </c:extLst>
                    <c:strCache>
                      <c:ptCount val="1"/>
                      <c:pt idx="0">
                        <c:v>ONS AWE regular pay</c:v>
                      </c:pt>
                    </c:strCache>
                  </c:strRef>
                </c:tx>
                <c:spPr>
                  <a:ln w="38100">
                    <a:solidFill>
                      <a:srgbClr val="BD1B21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'Chart Data'!$A$2:$A$38</c15:sqref>
                        </c15:formulaRef>
                      </c:ext>
                    </c:extLst>
                    <c:numCache>
                      <c:formatCode>m/d/yyyy</c:formatCode>
                      <c:ptCount val="37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  <c:pt idx="29">
                        <c:v>45078</c:v>
                      </c:pt>
                      <c:pt idx="30">
                        <c:v>45108</c:v>
                      </c:pt>
                      <c:pt idx="31">
                        <c:v>45139</c:v>
                      </c:pt>
                      <c:pt idx="32">
                        <c:v>45170</c:v>
                      </c:pt>
                      <c:pt idx="33">
                        <c:v>45200</c:v>
                      </c:pt>
                      <c:pt idx="34">
                        <c:v>45231</c:v>
                      </c:pt>
                      <c:pt idx="35">
                        <c:v>45261</c:v>
                      </c:pt>
                      <c:pt idx="36">
                        <c:v>45292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'Chart Data'!$B$2:$B$38</c15:sqref>
                        </c15:formulaRef>
                      </c:ext>
                    </c:extLst>
                    <c:numCache>
                      <c:formatCode>0.0</c:formatCode>
                      <c:ptCount val="37"/>
                      <c:pt idx="0">
                        <c:v>4.3</c:v>
                      </c:pt>
                      <c:pt idx="1">
                        <c:v>4.4000000000000004</c:v>
                      </c:pt>
                      <c:pt idx="2">
                        <c:v>4.5999999999999996</c:v>
                      </c:pt>
                      <c:pt idx="3">
                        <c:v>5.7</c:v>
                      </c:pt>
                      <c:pt idx="4">
                        <c:v>6.6</c:v>
                      </c:pt>
                      <c:pt idx="5">
                        <c:v>7.3</c:v>
                      </c:pt>
                      <c:pt idx="6">
                        <c:v>6.8</c:v>
                      </c:pt>
                      <c:pt idx="7">
                        <c:v>6</c:v>
                      </c:pt>
                      <c:pt idx="8">
                        <c:v>5</c:v>
                      </c:pt>
                      <c:pt idx="9">
                        <c:v>4.3</c:v>
                      </c:pt>
                      <c:pt idx="10">
                        <c:v>3.8</c:v>
                      </c:pt>
                      <c:pt idx="11">
                        <c:v>3.7</c:v>
                      </c:pt>
                      <c:pt idx="12">
                        <c:v>3.8</c:v>
                      </c:pt>
                      <c:pt idx="13">
                        <c:v>4.0999999999999996</c:v>
                      </c:pt>
                      <c:pt idx="14">
                        <c:v>4.3</c:v>
                      </c:pt>
                      <c:pt idx="15">
                        <c:v>4.2</c:v>
                      </c:pt>
                      <c:pt idx="16">
                        <c:v>4.4000000000000004</c:v>
                      </c:pt>
                      <c:pt idx="17">
                        <c:v>4.7</c:v>
                      </c:pt>
                      <c:pt idx="18">
                        <c:v>5.2</c:v>
                      </c:pt>
                      <c:pt idx="19">
                        <c:v>5.4</c:v>
                      </c:pt>
                      <c:pt idx="20">
                        <c:v>5.7</c:v>
                      </c:pt>
                      <c:pt idx="21">
                        <c:v>6.1</c:v>
                      </c:pt>
                      <c:pt idx="22">
                        <c:v>6.5</c:v>
                      </c:pt>
                      <c:pt idx="23">
                        <c:v>6.7</c:v>
                      </c:pt>
                      <c:pt idx="24">
                        <c:v>6.6</c:v>
                      </c:pt>
                      <c:pt idx="25">
                        <c:v>6.7</c:v>
                      </c:pt>
                      <c:pt idx="26">
                        <c:v>6.8</c:v>
                      </c:pt>
                      <c:pt idx="27">
                        <c:v>7.3</c:v>
                      </c:pt>
                      <c:pt idx="28">
                        <c:v>7.5</c:v>
                      </c:pt>
                      <c:pt idx="29">
                        <c:v>7.8</c:v>
                      </c:pt>
                      <c:pt idx="30">
                        <c:v>7.9</c:v>
                      </c:pt>
                      <c:pt idx="31">
                        <c:v>7.9</c:v>
                      </c:pt>
                      <c:pt idx="32">
                        <c:v>7.8</c:v>
                      </c:pt>
                      <c:pt idx="33">
                        <c:v>7.2</c:v>
                      </c:pt>
                      <c:pt idx="34">
                        <c:v>6.6</c:v>
                      </c:pt>
                      <c:pt idx="35">
                        <c:v>#N/A</c:v>
                      </c:pt>
                      <c:pt idx="36">
                        <c:v>#N/A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850-417B-95DA-4ED90050423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'Chart Data'!$D$1</c15:sqref>
                        </c15:formulaRef>
                      </c:ext>
                    </c:extLst>
                    <c:strCache>
                      <c:ptCount val="1"/>
                      <c:pt idx="0">
                        <c:v>ONS RTI median employee pay</c:v>
                      </c:pt>
                    </c:strCache>
                  </c:strRef>
                </c:tx>
                <c:spPr>
                  <a:ln w="38100">
                    <a:solidFill>
                      <a:srgbClr val="D1A21E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'Chart Data'!$A$2:$A$38</c15:sqref>
                        </c15:formulaRef>
                      </c:ext>
                    </c:extLst>
                    <c:numCache>
                      <c:formatCode>m/d/yyyy</c:formatCode>
                      <c:ptCount val="37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  <c:pt idx="29">
                        <c:v>45078</c:v>
                      </c:pt>
                      <c:pt idx="30">
                        <c:v>45108</c:v>
                      </c:pt>
                      <c:pt idx="31">
                        <c:v>45139</c:v>
                      </c:pt>
                      <c:pt idx="32">
                        <c:v>45170</c:v>
                      </c:pt>
                      <c:pt idx="33">
                        <c:v>45200</c:v>
                      </c:pt>
                      <c:pt idx="34">
                        <c:v>45231</c:v>
                      </c:pt>
                      <c:pt idx="35">
                        <c:v>45261</c:v>
                      </c:pt>
                      <c:pt idx="36">
                        <c:v>45292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'Chart Data'!$D$2:$D$38</c15:sqref>
                        </c15:formulaRef>
                      </c:ext>
                    </c:extLst>
                    <c:numCache>
                      <c:formatCode>0.0</c:formatCode>
                      <c:ptCount val="37"/>
                      <c:pt idx="0">
                        <c:v>4.5108695652174013</c:v>
                      </c:pt>
                      <c:pt idx="1">
                        <c:v>4.4348296376419682</c:v>
                      </c:pt>
                      <c:pt idx="2">
                        <c:v>4.7001620745543038</c:v>
                      </c:pt>
                      <c:pt idx="3">
                        <c:v>6.5609622744669194</c:v>
                      </c:pt>
                      <c:pt idx="4">
                        <c:v>8.1305309734513322</c:v>
                      </c:pt>
                      <c:pt idx="5">
                        <c:v>8.9295618413754774</c:v>
                      </c:pt>
                      <c:pt idx="6">
                        <c:v>7.8774617067833619</c:v>
                      </c:pt>
                      <c:pt idx="7">
                        <c:v>6.6738428417653317</c:v>
                      </c:pt>
                      <c:pt idx="8">
                        <c:v>5.8979808714133997</c:v>
                      </c:pt>
                      <c:pt idx="9">
                        <c:v>5.5292259083728368</c:v>
                      </c:pt>
                      <c:pt idx="10">
                        <c:v>5.392670157068058</c:v>
                      </c:pt>
                      <c:pt idx="11">
                        <c:v>5.4744525547445244</c:v>
                      </c:pt>
                      <c:pt idx="12">
                        <c:v>5.7722308892355745</c:v>
                      </c:pt>
                      <c:pt idx="13">
                        <c:v>5.9036768513723414</c:v>
                      </c:pt>
                      <c:pt idx="14">
                        <c:v>6.1919504643962897</c:v>
                      </c:pt>
                      <c:pt idx="15">
                        <c:v>6.0030785017957999</c:v>
                      </c:pt>
                      <c:pt idx="16">
                        <c:v>6.240409207161135</c:v>
                      </c:pt>
                      <c:pt idx="17">
                        <c:v>6.2118126272912466</c:v>
                      </c:pt>
                      <c:pt idx="18">
                        <c:v>6.4401622718052831</c:v>
                      </c:pt>
                      <c:pt idx="19">
                        <c:v>6.5590312815338114</c:v>
                      </c:pt>
                      <c:pt idx="20">
                        <c:v>6.7235323632714561</c:v>
                      </c:pt>
                      <c:pt idx="21">
                        <c:v>6.7864271457085845</c:v>
                      </c:pt>
                      <c:pt idx="22">
                        <c:v>7.5509190263288728</c:v>
                      </c:pt>
                      <c:pt idx="23">
                        <c:v>7.7607513593672683</c:v>
                      </c:pt>
                      <c:pt idx="24">
                        <c:v>7.8171091445427665</c:v>
                      </c:pt>
                      <c:pt idx="25">
                        <c:v>7.383863080684594</c:v>
                      </c:pt>
                      <c:pt idx="26">
                        <c:v>7.0942662779397425</c:v>
                      </c:pt>
                      <c:pt idx="27">
                        <c:v>7.1636011616650563</c:v>
                      </c:pt>
                      <c:pt idx="28">
                        <c:v>7.4145402022147255</c:v>
                      </c:pt>
                      <c:pt idx="29">
                        <c:v>8.3413231064237703</c:v>
                      </c:pt>
                      <c:pt idx="30">
                        <c:v>8.4802286803239646</c:v>
                      </c:pt>
                      <c:pt idx="31">
                        <c:v>8.2386363636363527</c:v>
                      </c:pt>
                      <c:pt idx="32">
                        <c:v>7.0051716031969802</c:v>
                      </c:pt>
                      <c:pt idx="33">
                        <c:v>6.5887850467289732</c:v>
                      </c:pt>
                      <c:pt idx="34">
                        <c:v>6.1893764434180154</c:v>
                      </c:pt>
                      <c:pt idx="35">
                        <c:v>#N/A</c:v>
                      </c:pt>
                      <c:pt idx="36">
                        <c:v>#N/A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850-417B-95DA-4ED90050423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'Chart Data'!$G$1</c15:sqref>
                        </c15:formulaRef>
                      </c:ext>
                    </c:extLst>
                    <c:strCache>
                      <c:ptCount val="1"/>
                      <c:pt idx="0">
                        <c:v>BoE November forecast</c:v>
                      </c:pt>
                    </c:strCache>
                  </c:strRef>
                </c:tx>
                <c:spPr>
                  <a:ln w="38100">
                    <a:solidFill>
                      <a:srgbClr val="00ADDC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'Chart Data'!$A$2:$A$38</c15:sqref>
                        </c15:formulaRef>
                      </c:ext>
                    </c:extLst>
                    <c:numCache>
                      <c:formatCode>m/d/yyyy</c:formatCode>
                      <c:ptCount val="37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  <c:pt idx="29">
                        <c:v>45078</c:v>
                      </c:pt>
                      <c:pt idx="30">
                        <c:v>45108</c:v>
                      </c:pt>
                      <c:pt idx="31">
                        <c:v>45139</c:v>
                      </c:pt>
                      <c:pt idx="32">
                        <c:v>45170</c:v>
                      </c:pt>
                      <c:pt idx="33">
                        <c:v>45200</c:v>
                      </c:pt>
                      <c:pt idx="34">
                        <c:v>45231</c:v>
                      </c:pt>
                      <c:pt idx="35">
                        <c:v>45261</c:v>
                      </c:pt>
                      <c:pt idx="36">
                        <c:v>45292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'Chart Data'!$G$2:$G$38</c15:sqref>
                        </c15:formulaRef>
                      </c:ext>
                    </c:extLst>
                    <c:numCache>
                      <c:formatCode>0.0</c:formatCode>
                      <c:ptCount val="3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7.2</c:v>
                      </c:pt>
                      <c:pt idx="36">
                        <c:v>#N/A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850-417B-95DA-4ED900504230}"/>
                  </c:ext>
                </c:extLst>
              </c15:ser>
            </c15:filteredLineSeries>
          </c:ext>
        </c:extLst>
      </c:lineChart>
      <c:date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out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  <c:max val="9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40716778048459706"/>
          <c:y val="0.62918069012940392"/>
          <c:w val="0.59283221951540299"/>
          <c:h val="0.2219606346448315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E40FC9-0CC5-4BA6-98DF-1A5CB9C807CF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017350-894D-4092-A8B1-F245C8EA806D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AF47FED-68E9-4496-8295-5A7D3F30869E}">
  <sheetPr/>
  <sheetViews>
    <sheetView tabSelected="1"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2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792F06-900E-F275-A586-C477E4579B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0.00364</cdr:x>
      <cdr:y>0.00558</cdr:y>
    </cdr:from>
    <cdr:to>
      <cdr:x>0.64146</cdr:x>
      <cdr:y>0.08649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3847139-01C9-E9F1-55A2-5D3AB154C58A}"/>
            </a:ext>
          </a:extLst>
        </cdr:cNvPr>
        <cdr:cNvSpPr txBox="1"/>
      </cdr:nvSpPr>
      <cdr:spPr>
        <a:xfrm xmlns:a="http://schemas.openxmlformats.org/drawingml/2006/main">
          <a:off x="30649" y="37489"/>
          <a:ext cx="5363507" cy="5430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 forecasts</a:t>
          </a:r>
        </a:p>
      </cdr:txBody>
    </cdr:sp>
  </cdr:relSizeAnchor>
  <cdr:relSizeAnchor xmlns:cdr="http://schemas.openxmlformats.org/drawingml/2006/chartDrawing">
    <cdr:from>
      <cdr:x>0</cdr:x>
      <cdr:y>0.95541</cdr:y>
    </cdr:from>
    <cdr:to>
      <cdr:x>0.63781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52A9D34-722A-0101-C906-AD0BB115D193}"/>
            </a:ext>
          </a:extLst>
        </cdr:cNvPr>
        <cdr:cNvSpPr/>
      </cdr:nvSpPr>
      <cdr:spPr>
        <a:xfrm xmlns:a="http://schemas.openxmlformats.org/drawingml/2006/main">
          <a:off x="0" y="6413500"/>
          <a:ext cx="5363508" cy="2993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Bank of England</a:t>
          </a:r>
        </a:p>
      </cdr:txBody>
    </cdr:sp>
  </cdr:relSizeAnchor>
  <cdr:relSizeAnchor xmlns:cdr="http://schemas.openxmlformats.org/drawingml/2006/chartDrawing">
    <cdr:from>
      <cdr:x>0.68824</cdr:x>
      <cdr:y>0.17027</cdr:y>
    </cdr:from>
    <cdr:to>
      <cdr:x>0.68824</cdr:x>
      <cdr:y>0.91622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D6587AD6-99AF-B331-60D9-E73B0BF948A4}"/>
            </a:ext>
          </a:extLst>
        </cdr:cNvPr>
        <cdr:cNvCxnSpPr/>
      </cdr:nvCxnSpPr>
      <cdr:spPr>
        <a:xfrm xmlns:a="http://schemas.openxmlformats.org/drawingml/2006/main">
          <a:off x="5787572" y="1143000"/>
          <a:ext cx="1" cy="5007429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0.76764</cdr:x>
      <cdr:y>0.2049</cdr:y>
    </cdr:from>
    <cdr:to>
      <cdr:x>0.93635</cdr:x>
      <cdr:y>0.26486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2462B5A8-345A-323B-EF70-495A977396AF}"/>
            </a:ext>
          </a:extLst>
        </cdr:cNvPr>
        <cdr:cNvSpPr txBox="1"/>
      </cdr:nvSpPr>
      <cdr:spPr>
        <a:xfrm xmlns:a="http://schemas.openxmlformats.org/drawingml/2006/main">
          <a:off x="6455257" y="1375445"/>
          <a:ext cx="1418743" cy="4025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0.07332</cdr:y>
    </cdr:from>
    <cdr:to>
      <cdr:x>0.70326</cdr:x>
      <cdr:y>0.13514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D6527DB-0A9A-F6EF-B8AA-4B183FDF8E72}"/>
            </a:ext>
          </a:extLst>
        </cdr:cNvPr>
        <cdr:cNvSpPr txBox="1"/>
      </cdr:nvSpPr>
      <cdr:spPr>
        <a:xfrm xmlns:a="http://schemas.openxmlformats.org/drawingml/2006/main">
          <a:off x="0" y="492204"/>
          <a:ext cx="5913829" cy="4149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y/y %</a:t>
          </a:r>
        </a:p>
      </cdr:txBody>
    </cdr:sp>
  </cdr:relSizeAnchor>
  <cdr:relSizeAnchor xmlns:cdr="http://schemas.openxmlformats.org/drawingml/2006/chartDrawing">
    <cdr:from>
      <cdr:x>0.35448</cdr:x>
      <cdr:y>0.71568</cdr:y>
    </cdr:from>
    <cdr:to>
      <cdr:x>0.52319</cdr:x>
      <cdr:y>0.77564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A88B2C6C-F5A5-44B8-903F-1F3D4615019A}"/>
            </a:ext>
          </a:extLst>
        </cdr:cNvPr>
        <cdr:cNvSpPr txBox="1"/>
      </cdr:nvSpPr>
      <cdr:spPr>
        <a:xfrm xmlns:a="http://schemas.openxmlformats.org/drawingml/2006/main">
          <a:off x="2980871" y="4804229"/>
          <a:ext cx="1418743" cy="4025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2% target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2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9733B-9251-2142-1CE3-FD0F140CAF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0.00364</cdr:x>
      <cdr:y>0.00558</cdr:y>
    </cdr:from>
    <cdr:to>
      <cdr:x>0.64146</cdr:x>
      <cdr:y>0.08507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817CC2D-38F7-082B-FCE7-370078FA69B5}"/>
            </a:ext>
          </a:extLst>
        </cdr:cNvPr>
        <cdr:cNvSpPr txBox="1"/>
      </cdr:nvSpPr>
      <cdr:spPr>
        <a:xfrm xmlns:a="http://schemas.openxmlformats.org/drawingml/2006/main">
          <a:off x="30688" y="37519"/>
          <a:ext cx="5370451" cy="533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Earnings growth</a:t>
          </a:r>
        </a:p>
      </cdr:txBody>
    </cdr:sp>
  </cdr:relSizeAnchor>
  <cdr:relSizeAnchor xmlns:cdr="http://schemas.openxmlformats.org/drawingml/2006/chartDrawing">
    <cdr:from>
      <cdr:x>0</cdr:x>
      <cdr:y>0.94432</cdr:y>
    </cdr:from>
    <cdr:to>
      <cdr:x>0.87373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AE08EE2-6420-7112-6D0B-83CE0B7CA9AC}"/>
            </a:ext>
          </a:extLst>
        </cdr:cNvPr>
        <cdr:cNvSpPr/>
      </cdr:nvSpPr>
      <cdr:spPr>
        <a:xfrm xmlns:a="http://schemas.openxmlformats.org/drawingml/2006/main">
          <a:off x="0" y="6344223"/>
          <a:ext cx="7356929" cy="3740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Analytics, Indeed, Bank of England</a:t>
          </a:r>
        </a:p>
      </cdr:txBody>
    </cdr:sp>
  </cdr:relSizeAnchor>
  <cdr:relSizeAnchor xmlns:cdr="http://schemas.openxmlformats.org/drawingml/2006/chartDrawing">
    <cdr:from>
      <cdr:x>0</cdr:x>
      <cdr:y>0.08006</cdr:y>
    </cdr:from>
    <cdr:to>
      <cdr:x>0.70326</cdr:x>
      <cdr:y>0.17148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93466A1-BE6C-BF75-DBD1-4A619D10CDA5}"/>
            </a:ext>
          </a:extLst>
        </cdr:cNvPr>
        <cdr:cNvSpPr txBox="1"/>
      </cdr:nvSpPr>
      <cdr:spPr>
        <a:xfrm xmlns:a="http://schemas.openxmlformats.org/drawingml/2006/main">
          <a:off x="0" y="537836"/>
          <a:ext cx="5921484" cy="6142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3m-on-3m, year ago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128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3D02E2-7A72-486A-7AA7-CE863D3B302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0.00364</cdr:x>
      <cdr:y>0.00558</cdr:y>
    </cdr:from>
    <cdr:to>
      <cdr:x>0.64146</cdr:x>
      <cdr:y>0.08084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28312B5-955C-A112-7C56-D48D3D27FFA0}"/>
            </a:ext>
          </a:extLst>
        </cdr:cNvPr>
        <cdr:cNvSpPr txBox="1"/>
      </cdr:nvSpPr>
      <cdr:spPr>
        <a:xfrm xmlns:a="http://schemas.openxmlformats.org/drawingml/2006/main">
          <a:off x="30649" y="37489"/>
          <a:ext cx="5363507" cy="5051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Earnings growth</a:t>
          </a:r>
        </a:p>
      </cdr:txBody>
    </cdr:sp>
  </cdr:relSizeAnchor>
  <cdr:relSizeAnchor xmlns:cdr="http://schemas.openxmlformats.org/drawingml/2006/chartDrawing">
    <cdr:from>
      <cdr:x>0.00472</cdr:x>
      <cdr:y>0.94767</cdr:y>
    </cdr:from>
    <cdr:to>
      <cdr:x>0.78396</cdr:x>
      <cdr:y>0.99415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D790B74F-D7C0-0997-F81D-93BB1100870A}"/>
            </a:ext>
          </a:extLst>
        </cdr:cNvPr>
        <cdr:cNvSpPr/>
      </cdr:nvSpPr>
      <cdr:spPr>
        <a:xfrm xmlns:a="http://schemas.openxmlformats.org/drawingml/2006/main">
          <a:off x="39699" y="6361545"/>
          <a:ext cx="6552756" cy="3120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Analytics, Indeed, Xpert HR, Penta</a:t>
          </a:r>
        </a:p>
      </cdr:txBody>
    </cdr:sp>
  </cdr:relSizeAnchor>
  <cdr:relSizeAnchor xmlns:cdr="http://schemas.openxmlformats.org/drawingml/2006/chartDrawing">
    <cdr:from>
      <cdr:x>0</cdr:x>
      <cdr:y>0.07271</cdr:y>
    </cdr:from>
    <cdr:to>
      <cdr:x>0.70326</cdr:x>
      <cdr:y>0.13243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8F6235DF-A48E-CFDC-993E-0D5E0018A4FF}"/>
            </a:ext>
          </a:extLst>
        </cdr:cNvPr>
        <cdr:cNvSpPr txBox="1"/>
      </cdr:nvSpPr>
      <cdr:spPr>
        <a:xfrm xmlns:a="http://schemas.openxmlformats.org/drawingml/2006/main">
          <a:off x="0" y="488080"/>
          <a:ext cx="5913829" cy="4009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3m-on-3m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, year ago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K%20Team\UK%20Research%20Briefing\20240116%20RB%20UK%20Labour%20market%20stats%20-%20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&gt;&gt;&gt;"/>
      <sheetName val="GEM Q"/>
      <sheetName val="GEM Q TS"/>
      <sheetName val="Tables&gt;&gt;&gt;"/>
      <sheetName val="Wages data"/>
      <sheetName val="Employment data"/>
      <sheetName val="Productivity data"/>
      <sheetName val="Raw sentiment data"/>
      <sheetName val="Charts&gt;&gt;&gt;"/>
      <sheetName val="Wages YoY"/>
      <sheetName val="Wages 3m3m"/>
      <sheetName val="Employment YoY"/>
      <sheetName val="Employment YoY (2)"/>
      <sheetName val="Employment 3m3m"/>
      <sheetName val="Employment 3m preceding 3m"/>
      <sheetName val="Productivity vs wages YoY"/>
      <sheetName val="Sentiment (D)"/>
      <sheetName val="Sentiment (D) (2)"/>
      <sheetName val="Labour sentiment PC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9">
          <cell r="L79">
            <v>4.4523074736400048</v>
          </cell>
        </row>
        <row r="80">
          <cell r="L80">
            <v>4.2700778799531491</v>
          </cell>
        </row>
        <row r="81">
          <cell r="L81">
            <v>5.0103525147952244</v>
          </cell>
        </row>
        <row r="82">
          <cell r="L82">
            <v>8.6422758697064062</v>
          </cell>
        </row>
        <row r="83">
          <cell r="L83">
            <v>8.4870706779457183</v>
          </cell>
        </row>
        <row r="84">
          <cell r="L84">
            <v>7.9822521592868956</v>
          </cell>
        </row>
        <row r="85">
          <cell r="L85">
            <v>7.805791574358012</v>
          </cell>
        </row>
        <row r="86">
          <cell r="L86">
            <v>7.1153515439116077</v>
          </cell>
        </row>
        <row r="87">
          <cell r="L87">
            <v>3.8074536339723686</v>
          </cell>
        </row>
        <row r="88">
          <cell r="L88">
            <v>4.6500967995751319</v>
          </cell>
        </row>
        <row r="89">
          <cell r="L89">
            <v>4.3678803786772358</v>
          </cell>
        </row>
        <row r="90">
          <cell r="L90">
            <v>5.3609096866190864</v>
          </cell>
        </row>
        <row r="91">
          <cell r="L91">
            <v>5.7642315043868297</v>
          </cell>
        </row>
        <row r="92">
          <cell r="L92">
            <v>6.4374768039383135</v>
          </cell>
        </row>
        <row r="93">
          <cell r="L93">
            <v>5.9524530020782729</v>
          </cell>
        </row>
        <row r="94">
          <cell r="L94">
            <v>6.1263567583823786</v>
          </cell>
        </row>
        <row r="95">
          <cell r="L95">
            <v>5.4269793020606194</v>
          </cell>
        </row>
        <row r="96">
          <cell r="L96">
            <v>5.1867825235133447</v>
          </cell>
        </row>
        <row r="97">
          <cell r="L97">
            <v>6.0405884090467099</v>
          </cell>
        </row>
        <row r="98">
          <cell r="L98">
            <v>6.3205245260411047</v>
          </cell>
        </row>
        <row r="99">
          <cell r="L99">
            <v>6.6191674001784717</v>
          </cell>
        </row>
        <row r="100">
          <cell r="L100">
            <v>7.2755813583242901</v>
          </cell>
        </row>
        <row r="101">
          <cell r="L101">
            <v>6.6420506378634281</v>
          </cell>
        </row>
        <row r="102">
          <cell r="L102">
            <v>6.8625381163849752</v>
          </cell>
        </row>
        <row r="103">
          <cell r="L103">
            <v>5.9204287857635096</v>
          </cell>
        </row>
        <row r="104">
          <cell r="L104">
            <v>6.7778422057005905</v>
          </cell>
        </row>
        <row r="105">
          <cell r="L105">
            <v>6.9705190580902965</v>
          </cell>
        </row>
        <row r="106">
          <cell r="L106">
            <v>6.891420417605465</v>
          </cell>
        </row>
        <row r="107">
          <cell r="L107">
            <v>8.1028056553885452</v>
          </cell>
        </row>
        <row r="108">
          <cell r="L108">
            <v>8.1580844107342845</v>
          </cell>
        </row>
        <row r="109">
          <cell r="L109">
            <v>8.1815169133877479</v>
          </cell>
        </row>
        <row r="110">
          <cell r="L110">
            <v>7.6941702678442416</v>
          </cell>
        </row>
        <row r="111">
          <cell r="L111">
            <v>7.1815803730273133</v>
          </cell>
        </row>
        <row r="112">
          <cell r="L112">
            <v>6.8482767329748286</v>
          </cell>
        </row>
        <row r="113">
          <cell r="L113">
            <v>6.159148476946358</v>
          </cell>
        </row>
        <row r="114">
          <cell r="L114">
            <v>6.29487005811258</v>
          </cell>
        </row>
        <row r="115">
          <cell r="L115">
            <v>6.7198473008348003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I9@UK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NPD@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C6CB7-13EE-4630-BE64-B5B4FD2BBCA5}">
  <dimension ref="A4:H48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E44" sqref="E44"/>
    </sheetView>
  </sheetViews>
  <sheetFormatPr defaultRowHeight="14.5" x14ac:dyDescent="0.35"/>
  <cols>
    <col min="2" max="5" width="18.1796875" customWidth="1"/>
    <col min="8" max="8" width="11.36328125" customWidth="1"/>
  </cols>
  <sheetData>
    <row r="4" spans="1:8" x14ac:dyDescent="0.35">
      <c r="A4" s="2" t="s">
        <v>67</v>
      </c>
      <c r="B4" s="1" t="s">
        <v>0</v>
      </c>
      <c r="C4" t="s">
        <v>1</v>
      </c>
      <c r="D4" t="s">
        <v>2</v>
      </c>
      <c r="E4" t="s">
        <v>122</v>
      </c>
    </row>
    <row r="5" spans="1:8" s="6" customFormat="1" ht="86.5" customHeight="1" x14ac:dyDescent="0.35">
      <c r="A5" s="6" t="s">
        <v>12</v>
      </c>
      <c r="B5" s="6" t="s">
        <v>72</v>
      </c>
      <c r="C5" s="6" t="s">
        <v>73</v>
      </c>
      <c r="D5" s="6" t="s">
        <v>78</v>
      </c>
      <c r="E5" s="6" t="s">
        <v>124</v>
      </c>
      <c r="G5" t="s">
        <v>5</v>
      </c>
      <c r="H5" s="6" t="s">
        <v>114</v>
      </c>
    </row>
    <row r="6" spans="1:8" ht="1.5" customHeight="1" x14ac:dyDescent="0.35">
      <c r="A6" t="s">
        <v>11</v>
      </c>
      <c r="B6" t="s">
        <v>71</v>
      </c>
      <c r="C6" t="s">
        <v>71</v>
      </c>
      <c r="D6" t="s">
        <v>77</v>
      </c>
      <c r="E6" t="s">
        <v>123</v>
      </c>
    </row>
    <row r="7" spans="1:8" hidden="1" x14ac:dyDescent="0.35">
      <c r="A7" t="s">
        <v>10</v>
      </c>
      <c r="B7" t="s">
        <v>70</v>
      </c>
      <c r="C7" t="s">
        <v>70</v>
      </c>
      <c r="D7" t="s">
        <v>76</v>
      </c>
      <c r="E7" t="s">
        <v>70</v>
      </c>
    </row>
    <row r="8" spans="1:8" ht="1" customHeight="1" x14ac:dyDescent="0.35">
      <c r="A8" t="s">
        <v>9</v>
      </c>
      <c r="B8" t="s">
        <v>19</v>
      </c>
      <c r="C8" t="s">
        <v>19</v>
      </c>
      <c r="D8" t="s">
        <v>75</v>
      </c>
      <c r="E8" t="s">
        <v>19</v>
      </c>
    </row>
    <row r="9" spans="1:8" hidden="1" x14ac:dyDescent="0.35">
      <c r="A9" t="s">
        <v>8</v>
      </c>
      <c r="B9" t="s">
        <v>69</v>
      </c>
      <c r="C9" t="s">
        <v>69</v>
      </c>
      <c r="D9" t="s">
        <v>74</v>
      </c>
      <c r="E9" t="s">
        <v>69</v>
      </c>
    </row>
    <row r="10" spans="1:8" x14ac:dyDescent="0.35">
      <c r="A10" t="s">
        <v>68</v>
      </c>
      <c r="B10" s="4">
        <v>4.3</v>
      </c>
      <c r="C10" s="4">
        <v>4.0999999999999996</v>
      </c>
      <c r="D10" s="7">
        <v>3.2334876000000001</v>
      </c>
      <c r="E10" s="5">
        <v>4.5108695652174013E-2</v>
      </c>
      <c r="G10" s="4">
        <v>1</v>
      </c>
    </row>
    <row r="11" spans="1:8" x14ac:dyDescent="0.35">
      <c r="A11" t="s">
        <v>79</v>
      </c>
      <c r="B11" s="4">
        <v>4.4000000000000004</v>
      </c>
      <c r="C11" s="4">
        <v>4.2</v>
      </c>
      <c r="D11" s="7">
        <v>3.2139831999999999</v>
      </c>
      <c r="E11" s="5">
        <v>4.4348296376419682E-2</v>
      </c>
      <c r="G11" s="4">
        <v>1</v>
      </c>
    </row>
    <row r="12" spans="1:8" x14ac:dyDescent="0.35">
      <c r="A12" t="s">
        <v>80</v>
      </c>
      <c r="B12" s="4">
        <v>4.5999999999999996</v>
      </c>
      <c r="C12" s="4">
        <v>4.3</v>
      </c>
      <c r="D12" s="7">
        <v>3.0759642999999999</v>
      </c>
      <c r="E12" s="5">
        <v>4.7001620745543038E-2</v>
      </c>
      <c r="G12" s="4">
        <v>1.2</v>
      </c>
    </row>
    <row r="13" spans="1:8" x14ac:dyDescent="0.35">
      <c r="A13" t="s">
        <v>81</v>
      </c>
      <c r="B13" s="4">
        <v>5.7</v>
      </c>
      <c r="C13" s="4">
        <v>5.7</v>
      </c>
      <c r="D13" s="7">
        <v>2.2602196000000001</v>
      </c>
      <c r="E13" s="5">
        <v>6.5609622744669194E-2</v>
      </c>
      <c r="G13" s="4">
        <v>2</v>
      </c>
    </row>
    <row r="14" spans="1:8" x14ac:dyDescent="0.35">
      <c r="A14" t="s">
        <v>82</v>
      </c>
      <c r="B14" s="4">
        <v>6.6</v>
      </c>
      <c r="C14" s="4">
        <v>7.2</v>
      </c>
      <c r="D14" s="7">
        <v>1.9057010000000001</v>
      </c>
      <c r="E14" s="5">
        <v>8.1305309734513317E-2</v>
      </c>
      <c r="G14" s="4">
        <v>2</v>
      </c>
    </row>
    <row r="15" spans="1:8" x14ac:dyDescent="0.35">
      <c r="A15" t="s">
        <v>83</v>
      </c>
      <c r="B15" s="4">
        <v>7.3</v>
      </c>
      <c r="C15" s="4">
        <v>8.4</v>
      </c>
      <c r="D15" s="7">
        <v>1.9802468</v>
      </c>
      <c r="E15" s="5">
        <v>8.9295618413754774E-2</v>
      </c>
      <c r="G15" s="4">
        <v>2</v>
      </c>
    </row>
    <row r="16" spans="1:8" x14ac:dyDescent="0.35">
      <c r="A16" t="s">
        <v>84</v>
      </c>
      <c r="B16" s="4">
        <v>6.8</v>
      </c>
      <c r="C16" s="4">
        <v>7.8</v>
      </c>
      <c r="D16" s="7">
        <v>2.8207624999999998</v>
      </c>
      <c r="E16" s="5">
        <v>7.8774617067833619E-2</v>
      </c>
      <c r="G16" s="4">
        <v>2</v>
      </c>
    </row>
    <row r="17" spans="1:7" x14ac:dyDescent="0.35">
      <c r="A17" t="s">
        <v>85</v>
      </c>
      <c r="B17" s="4">
        <v>6</v>
      </c>
      <c r="C17" s="4">
        <v>6.7</v>
      </c>
      <c r="D17" s="7">
        <v>3.3846020999999999</v>
      </c>
      <c r="E17" s="5">
        <v>6.6738428417653317E-2</v>
      </c>
      <c r="G17" s="4">
        <v>2</v>
      </c>
    </row>
    <row r="18" spans="1:7" x14ac:dyDescent="0.35">
      <c r="A18" t="s">
        <v>86</v>
      </c>
      <c r="B18" s="4">
        <v>5</v>
      </c>
      <c r="C18" s="4">
        <v>5.5</v>
      </c>
      <c r="D18" s="7">
        <v>3.7359038999999998</v>
      </c>
      <c r="E18" s="5">
        <v>5.8979808714133997E-2</v>
      </c>
      <c r="G18" s="4">
        <v>2</v>
      </c>
    </row>
    <row r="19" spans="1:7" x14ac:dyDescent="0.35">
      <c r="A19" t="s">
        <v>87</v>
      </c>
      <c r="B19" s="4">
        <v>4.3</v>
      </c>
      <c r="C19" s="4">
        <v>4.5999999999999996</v>
      </c>
      <c r="D19" s="7">
        <v>3.9741369999999998</v>
      </c>
      <c r="E19" s="5">
        <v>5.5292259083728368E-2</v>
      </c>
      <c r="G19" s="4">
        <v>2</v>
      </c>
    </row>
    <row r="20" spans="1:7" x14ac:dyDescent="0.35">
      <c r="A20" t="s">
        <v>88</v>
      </c>
      <c r="B20" s="4">
        <v>3.8</v>
      </c>
      <c r="C20" s="4">
        <v>4.0999999999999996</v>
      </c>
      <c r="D20" s="7">
        <v>4.1001032000000004</v>
      </c>
      <c r="E20" s="5">
        <v>5.392670157068058E-2</v>
      </c>
      <c r="G20" s="4">
        <v>2.5</v>
      </c>
    </row>
    <row r="21" spans="1:7" x14ac:dyDescent="0.35">
      <c r="A21" t="s">
        <v>89</v>
      </c>
      <c r="B21" s="4">
        <v>3.7</v>
      </c>
      <c r="C21" s="4">
        <v>3.9</v>
      </c>
      <c r="D21" s="7">
        <v>4.3717699000000003</v>
      </c>
      <c r="E21" s="5">
        <v>5.4744525547445244E-2</v>
      </c>
      <c r="G21" s="4">
        <v>2.2999999999999998</v>
      </c>
    </row>
    <row r="22" spans="1:7" x14ac:dyDescent="0.35">
      <c r="A22" t="s">
        <v>90</v>
      </c>
      <c r="B22" s="4">
        <v>3.8</v>
      </c>
      <c r="C22" s="4">
        <v>4.2</v>
      </c>
      <c r="D22" s="7">
        <v>4.3482294000000001</v>
      </c>
      <c r="E22" s="5">
        <v>5.7722308892355745E-2</v>
      </c>
      <c r="G22" s="4">
        <v>3.5</v>
      </c>
    </row>
    <row r="23" spans="1:7" x14ac:dyDescent="0.35">
      <c r="A23" t="s">
        <v>91</v>
      </c>
      <c r="B23" s="4">
        <v>4.0999999999999996</v>
      </c>
      <c r="C23" s="4">
        <v>4.5999999999999996</v>
      </c>
      <c r="D23" s="7">
        <v>4.5042469000000001</v>
      </c>
      <c r="E23" s="5">
        <v>5.9036768513723414E-2</v>
      </c>
      <c r="G23" s="4">
        <v>3.5</v>
      </c>
    </row>
    <row r="24" spans="1:7" x14ac:dyDescent="0.35">
      <c r="A24" t="s">
        <v>92</v>
      </c>
      <c r="B24" s="4">
        <v>4.3</v>
      </c>
      <c r="C24" s="4">
        <v>4.9000000000000004</v>
      </c>
      <c r="D24" s="7">
        <v>4.8045030999999998</v>
      </c>
      <c r="E24" s="5">
        <v>6.1919504643962897E-2</v>
      </c>
      <c r="G24" s="4">
        <v>3.7</v>
      </c>
    </row>
    <row r="25" spans="1:7" x14ac:dyDescent="0.35">
      <c r="A25" t="s">
        <v>93</v>
      </c>
      <c r="B25" s="4">
        <v>4.2</v>
      </c>
      <c r="C25" s="4">
        <v>4.8</v>
      </c>
      <c r="D25" s="7">
        <v>5.5228792999999996</v>
      </c>
      <c r="E25" s="5">
        <v>6.0030785017957999E-2</v>
      </c>
      <c r="G25" s="4">
        <v>4</v>
      </c>
    </row>
    <row r="26" spans="1:7" x14ac:dyDescent="0.35">
      <c r="A26" t="s">
        <v>94</v>
      </c>
      <c r="B26" s="4">
        <v>4.4000000000000004</v>
      </c>
      <c r="C26" s="4">
        <v>5.0999999999999996</v>
      </c>
      <c r="D26" s="7">
        <v>6.0188524000000001</v>
      </c>
      <c r="E26" s="5">
        <v>6.240409207161135E-2</v>
      </c>
      <c r="G26" s="4">
        <v>4</v>
      </c>
    </row>
    <row r="27" spans="1:7" x14ac:dyDescent="0.35">
      <c r="A27" t="s">
        <v>95</v>
      </c>
      <c r="B27" s="4">
        <v>4.7</v>
      </c>
      <c r="C27" s="4">
        <v>5.4</v>
      </c>
      <c r="D27" s="7">
        <v>6.2209861000000002</v>
      </c>
      <c r="E27" s="5">
        <v>6.2118126272912466E-2</v>
      </c>
      <c r="G27" s="4">
        <v>4</v>
      </c>
    </row>
    <row r="28" spans="1:7" x14ac:dyDescent="0.35">
      <c r="A28" t="s">
        <v>96</v>
      </c>
      <c r="B28" s="4">
        <v>5.2</v>
      </c>
      <c r="C28" s="4">
        <v>6</v>
      </c>
      <c r="D28" s="7">
        <v>6.0865273000000002</v>
      </c>
      <c r="E28" s="5">
        <v>6.4401622718052831E-2</v>
      </c>
      <c r="G28" s="4">
        <v>4.4000000000000004</v>
      </c>
    </row>
    <row r="29" spans="1:7" x14ac:dyDescent="0.35">
      <c r="A29" t="s">
        <v>97</v>
      </c>
      <c r="B29" s="4">
        <v>5.4</v>
      </c>
      <c r="C29" s="4">
        <v>6.2</v>
      </c>
      <c r="D29" s="7">
        <v>6.0575761999999997</v>
      </c>
      <c r="E29" s="5">
        <v>6.5590312815338114E-2</v>
      </c>
      <c r="G29" s="4">
        <v>4.3</v>
      </c>
    </row>
    <row r="30" spans="1:7" x14ac:dyDescent="0.35">
      <c r="A30" t="s">
        <v>98</v>
      </c>
      <c r="B30" s="4">
        <v>5.7</v>
      </c>
      <c r="C30" s="4">
        <v>6.6</v>
      </c>
      <c r="D30" s="7">
        <v>6.0575761999999997</v>
      </c>
      <c r="E30" s="5">
        <v>6.7235323632714561E-2</v>
      </c>
      <c r="G30" s="4">
        <v>4.3</v>
      </c>
    </row>
    <row r="31" spans="1:7" x14ac:dyDescent="0.35">
      <c r="A31" t="s">
        <v>99</v>
      </c>
      <c r="B31" s="4">
        <v>6.1</v>
      </c>
      <c r="C31" s="4">
        <v>6.9</v>
      </c>
      <c r="D31" s="7">
        <v>6.0717818000000001</v>
      </c>
      <c r="E31" s="5">
        <v>6.7864271457085845E-2</v>
      </c>
      <c r="G31" s="4">
        <v>5</v>
      </c>
    </row>
    <row r="32" spans="1:7" x14ac:dyDescent="0.35">
      <c r="A32" t="s">
        <v>100</v>
      </c>
      <c r="B32" s="4">
        <v>6.5</v>
      </c>
      <c r="C32" s="4">
        <v>7.3</v>
      </c>
      <c r="D32" s="7">
        <v>5.9749363000000004</v>
      </c>
      <c r="E32" s="5">
        <v>7.5509190263288728E-2</v>
      </c>
      <c r="G32" s="4">
        <v>5</v>
      </c>
    </row>
    <row r="33" spans="1:8" x14ac:dyDescent="0.35">
      <c r="A33" t="s">
        <v>101</v>
      </c>
      <c r="B33" s="4">
        <v>6.7</v>
      </c>
      <c r="C33" s="4">
        <v>7.3</v>
      </c>
      <c r="D33" s="7">
        <v>5.8775918999999996</v>
      </c>
      <c r="E33" s="5">
        <v>7.7607513593672683E-2</v>
      </c>
      <c r="G33" s="4">
        <v>5</v>
      </c>
    </row>
    <row r="34" spans="1:8" x14ac:dyDescent="0.35">
      <c r="A34" t="s">
        <v>102</v>
      </c>
      <c r="B34" s="4">
        <v>6.6</v>
      </c>
      <c r="C34" s="4">
        <v>7.1</v>
      </c>
      <c r="D34" s="7">
        <v>5.9938918000000001</v>
      </c>
      <c r="E34" s="5">
        <v>7.8171091445427665E-2</v>
      </c>
      <c r="G34" s="4">
        <v>6</v>
      </c>
    </row>
    <row r="35" spans="1:8" x14ac:dyDescent="0.35">
      <c r="A35" t="s">
        <v>103</v>
      </c>
      <c r="B35" s="4">
        <v>6.7</v>
      </c>
      <c r="C35" s="4">
        <v>7</v>
      </c>
      <c r="D35" s="7">
        <v>6.2265772999999998</v>
      </c>
      <c r="E35" s="5">
        <v>7.383863080684594E-2</v>
      </c>
      <c r="G35" s="4">
        <v>6</v>
      </c>
    </row>
    <row r="36" spans="1:8" x14ac:dyDescent="0.35">
      <c r="A36" t="s">
        <v>104</v>
      </c>
      <c r="B36" s="4">
        <v>6.8</v>
      </c>
      <c r="C36" s="4">
        <v>7.1</v>
      </c>
      <c r="D36" s="7">
        <v>6.5933951999999998</v>
      </c>
      <c r="E36" s="5">
        <v>7.0942662779397425E-2</v>
      </c>
      <c r="G36" s="4">
        <v>6</v>
      </c>
    </row>
    <row r="37" spans="1:8" x14ac:dyDescent="0.35">
      <c r="A37" t="s">
        <v>105</v>
      </c>
      <c r="B37" s="4">
        <v>7.3</v>
      </c>
      <c r="C37" s="4">
        <v>7.7</v>
      </c>
      <c r="D37" s="7">
        <v>6.9776457000000001</v>
      </c>
      <c r="E37" s="5">
        <v>7.1636011616650563E-2</v>
      </c>
      <c r="G37" s="4">
        <v>6</v>
      </c>
    </row>
    <row r="38" spans="1:8" x14ac:dyDescent="0.35">
      <c r="A38" t="s">
        <v>106</v>
      </c>
      <c r="B38" s="4">
        <v>7.5</v>
      </c>
      <c r="C38" s="4">
        <v>7.9</v>
      </c>
      <c r="D38" s="7">
        <v>7.2664438000000002</v>
      </c>
      <c r="E38" s="5">
        <v>7.4145402022147255E-2</v>
      </c>
      <c r="G38" s="4">
        <v>6</v>
      </c>
    </row>
    <row r="39" spans="1:8" x14ac:dyDescent="0.35">
      <c r="A39" t="s">
        <v>107</v>
      </c>
      <c r="B39" s="4">
        <v>7.8</v>
      </c>
      <c r="C39" s="4">
        <v>8.1999999999999993</v>
      </c>
      <c r="D39" s="7">
        <v>7.3998334999999997</v>
      </c>
      <c r="E39" s="5">
        <v>8.3413231064237703E-2</v>
      </c>
      <c r="G39" s="4">
        <v>6</v>
      </c>
    </row>
    <row r="40" spans="1:8" x14ac:dyDescent="0.35">
      <c r="A40" t="s">
        <v>108</v>
      </c>
      <c r="B40" s="4">
        <v>7.9</v>
      </c>
      <c r="C40" s="4">
        <v>8.1</v>
      </c>
      <c r="D40" s="7">
        <v>7.3036251999999999</v>
      </c>
      <c r="E40" s="5">
        <v>8.4802286803239646E-2</v>
      </c>
      <c r="G40" s="4">
        <v>5.7</v>
      </c>
    </row>
    <row r="41" spans="1:8" x14ac:dyDescent="0.35">
      <c r="A41" t="s">
        <v>109</v>
      </c>
      <c r="B41" s="4">
        <v>7.9</v>
      </c>
      <c r="C41" s="4">
        <v>8.1</v>
      </c>
      <c r="D41" s="7">
        <v>7.2768894</v>
      </c>
      <c r="E41" s="5">
        <v>8.2386363636363522E-2</v>
      </c>
      <c r="G41" s="4">
        <v>5</v>
      </c>
    </row>
    <row r="42" spans="1:8" x14ac:dyDescent="0.35">
      <c r="A42" t="s">
        <v>110</v>
      </c>
      <c r="B42" s="4">
        <v>7.8</v>
      </c>
      <c r="C42" s="4">
        <v>7.9</v>
      </c>
      <c r="D42" s="7">
        <v>7.1159490999999999</v>
      </c>
      <c r="E42" s="5">
        <v>7.0051716031969802E-2</v>
      </c>
      <c r="G42" s="9">
        <v>5.4</v>
      </c>
    </row>
    <row r="43" spans="1:8" x14ac:dyDescent="0.35">
      <c r="A43" t="s">
        <v>111</v>
      </c>
      <c r="B43" s="4">
        <v>7.2</v>
      </c>
      <c r="C43" s="4">
        <v>7.2</v>
      </c>
      <c r="D43" s="7">
        <v>6.9654404000000003</v>
      </c>
      <c r="E43" s="5">
        <v>6.5887850467289732E-2</v>
      </c>
      <c r="G43" s="9">
        <v>6</v>
      </c>
      <c r="H43" s="4"/>
    </row>
    <row r="44" spans="1:8" x14ac:dyDescent="0.35">
      <c r="A44" t="s">
        <v>112</v>
      </c>
      <c r="B44" s="4">
        <v>6.6</v>
      </c>
      <c r="C44" s="4">
        <v>6.5</v>
      </c>
      <c r="D44" s="7">
        <v>6.7176432999999998</v>
      </c>
      <c r="E44" s="5">
        <v>6.1893764434180154E-2</v>
      </c>
      <c r="G44" s="9">
        <v>6</v>
      </c>
    </row>
    <row r="45" spans="1:8" x14ac:dyDescent="0.35">
      <c r="A45" t="s">
        <v>113</v>
      </c>
      <c r="D45" s="7">
        <v>6.5935256000000004</v>
      </c>
      <c r="E45" s="7"/>
      <c r="H45" s="8">
        <v>7.2</v>
      </c>
    </row>
    <row r="46" spans="1:8" x14ac:dyDescent="0.35">
      <c r="H46" s="8" t="e">
        <f>NA()</f>
        <v>#N/A</v>
      </c>
    </row>
    <row r="47" spans="1:8" x14ac:dyDescent="0.35">
      <c r="H47" s="8" t="e">
        <f>NA()</f>
        <v>#N/A</v>
      </c>
    </row>
    <row r="48" spans="1:8" x14ac:dyDescent="0.35">
      <c r="H48" s="8">
        <v>6.5</v>
      </c>
    </row>
  </sheetData>
  <hyperlinks>
    <hyperlink ref="B4" r:id="rId1" xr:uid="{BD8DEDBA-F5E5-4587-B392-33CC4B3BBD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6888-F68F-43E3-8267-0D231F1133F3}">
  <dimension ref="A3:E52"/>
  <sheetViews>
    <sheetView workbookViewId="0">
      <selection activeCell="E40" sqref="E40"/>
    </sheetView>
  </sheetViews>
  <sheetFormatPr defaultRowHeight="14.5" x14ac:dyDescent="0.35"/>
  <cols>
    <col min="2" max="2" width="20.54296875" customWidth="1"/>
    <col min="3" max="3" width="23.81640625" customWidth="1"/>
    <col min="4" max="4" width="3.36328125" customWidth="1"/>
    <col min="5" max="5" width="12.453125" customWidth="1"/>
    <col min="6" max="10" width="10.36328125" bestFit="1" customWidth="1"/>
    <col min="11" max="12" width="11.36328125" bestFit="1" customWidth="1"/>
    <col min="13" max="15" width="10.36328125" bestFit="1" customWidth="1"/>
  </cols>
  <sheetData>
    <row r="3" spans="1:5" x14ac:dyDescent="0.35">
      <c r="A3" s="2" t="s">
        <v>6</v>
      </c>
      <c r="B3" s="1" t="s">
        <v>3</v>
      </c>
      <c r="C3" t="s">
        <v>65</v>
      </c>
    </row>
    <row r="4" spans="1:5" s="6" customFormat="1" ht="72.5" customHeight="1" x14ac:dyDescent="0.35">
      <c r="A4" s="6" t="s">
        <v>12</v>
      </c>
      <c r="B4" s="6" t="s">
        <v>17</v>
      </c>
      <c r="C4" s="6" t="s">
        <v>66</v>
      </c>
      <c r="E4" s="6" t="s">
        <v>4</v>
      </c>
    </row>
    <row r="5" spans="1:5" ht="0.5" customHeight="1" x14ac:dyDescent="0.35">
      <c r="A5" t="s">
        <v>11</v>
      </c>
      <c r="B5" t="s">
        <v>16</v>
      </c>
      <c r="C5" t="s">
        <v>21</v>
      </c>
    </row>
    <row r="6" spans="1:5" ht="0.5" hidden="1" customHeight="1" x14ac:dyDescent="0.35">
      <c r="A6" t="s">
        <v>10</v>
      </c>
      <c r="B6" t="s">
        <v>15</v>
      </c>
      <c r="C6" t="s">
        <v>20</v>
      </c>
    </row>
    <row r="7" spans="1:5" ht="14" hidden="1" customHeight="1" x14ac:dyDescent="0.35">
      <c r="A7" t="s">
        <v>9</v>
      </c>
      <c r="B7" t="s">
        <v>14</v>
      </c>
      <c r="C7" t="s">
        <v>19</v>
      </c>
    </row>
    <row r="8" spans="1:5" hidden="1" x14ac:dyDescent="0.35">
      <c r="A8" t="s">
        <v>8</v>
      </c>
      <c r="B8" t="s">
        <v>13</v>
      </c>
      <c r="C8" t="s">
        <v>18</v>
      </c>
    </row>
    <row r="9" spans="1:5" x14ac:dyDescent="0.35">
      <c r="A9" t="s">
        <v>7</v>
      </c>
      <c r="B9" s="3" t="e">
        <v>#N/A</v>
      </c>
      <c r="C9" s="5">
        <v>3.3500837520936688E-3</v>
      </c>
      <c r="E9" s="4">
        <v>0.33501507537689101</v>
      </c>
    </row>
    <row r="10" spans="1:5" x14ac:dyDescent="0.35">
      <c r="A10" t="s">
        <v>22</v>
      </c>
      <c r="B10" s="3" t="e">
        <v>#N/A</v>
      </c>
      <c r="C10" s="5">
        <v>3.3311125916057893E-3</v>
      </c>
      <c r="E10" s="4">
        <v>0.33307783708267402</v>
      </c>
    </row>
    <row r="11" spans="1:5" x14ac:dyDescent="0.35">
      <c r="A11" t="s">
        <v>23</v>
      </c>
      <c r="B11" s="3" t="e">
        <v>#N/A</v>
      </c>
      <c r="C11" s="5">
        <v>6.9883527454244199E-3</v>
      </c>
      <c r="E11" s="4">
        <v>0.69883504198499902</v>
      </c>
    </row>
    <row r="12" spans="1:5" x14ac:dyDescent="0.35">
      <c r="A12" t="s">
        <v>24</v>
      </c>
      <c r="B12" s="3" t="e">
        <v>#N/A</v>
      </c>
      <c r="C12" s="5">
        <v>1.1964107676969205E-2</v>
      </c>
      <c r="E12" s="4">
        <v>1.19641076769691</v>
      </c>
    </row>
    <row r="13" spans="1:5" x14ac:dyDescent="0.35">
      <c r="A13" t="s">
        <v>25</v>
      </c>
      <c r="B13" s="3" t="e">
        <v>#N/A</v>
      </c>
      <c r="C13" s="5">
        <v>2.17028380634392E-2</v>
      </c>
      <c r="E13" s="4">
        <v>2.1702769836208899</v>
      </c>
    </row>
    <row r="14" spans="1:5" x14ac:dyDescent="0.35">
      <c r="A14" t="s">
        <v>26</v>
      </c>
      <c r="B14" s="3" t="e">
        <v>#N/A</v>
      </c>
      <c r="C14" s="5">
        <v>2.7556440903054202E-2</v>
      </c>
      <c r="E14" s="4">
        <v>2.7556772908366498</v>
      </c>
    </row>
    <row r="15" spans="1:5" x14ac:dyDescent="0.35">
      <c r="A15" t="s">
        <v>27</v>
      </c>
      <c r="B15" s="3" t="e">
        <v>#N/A</v>
      </c>
      <c r="C15" s="5">
        <v>2.8089887640449396E-2</v>
      </c>
      <c r="E15" s="4">
        <v>2.8089547888450799</v>
      </c>
    </row>
    <row r="16" spans="1:5" x14ac:dyDescent="0.35">
      <c r="A16" t="s">
        <v>28</v>
      </c>
      <c r="B16" s="3" t="e">
        <v>#N/A</v>
      </c>
      <c r="C16" s="5">
        <v>3.0213464696223324E-2</v>
      </c>
      <c r="E16" s="4">
        <v>3.0213793103448201</v>
      </c>
    </row>
    <row r="17" spans="1:5" x14ac:dyDescent="0.35">
      <c r="A17" t="s">
        <v>29</v>
      </c>
      <c r="B17" s="3" t="e">
        <v>#N/A</v>
      </c>
      <c r="C17" s="5">
        <v>2.7124183006535851E-2</v>
      </c>
      <c r="E17" s="4">
        <v>2.7124509803921502</v>
      </c>
    </row>
    <row r="18" spans="1:5" x14ac:dyDescent="0.35">
      <c r="A18" t="s">
        <v>30</v>
      </c>
      <c r="B18" s="3" t="e">
        <v>#N/A</v>
      </c>
      <c r="C18" s="5">
        <v>2.4232633279483107E-2</v>
      </c>
      <c r="E18" s="4">
        <v>2.42326254498786</v>
      </c>
    </row>
    <row r="19" spans="1:5" x14ac:dyDescent="0.35">
      <c r="A19" t="s">
        <v>31</v>
      </c>
      <c r="B19" s="3" t="e">
        <v>#N/A</v>
      </c>
      <c r="C19" s="5">
        <v>2.5072324011571778E-2</v>
      </c>
      <c r="E19" s="4">
        <v>2.5072324011571698</v>
      </c>
    </row>
    <row r="20" spans="1:5" x14ac:dyDescent="0.35">
      <c r="A20" t="s">
        <v>32</v>
      </c>
      <c r="B20" s="3" t="e">
        <v>#N/A</v>
      </c>
      <c r="C20" s="5">
        <v>2.2633088938476043E-2</v>
      </c>
      <c r="E20" s="4">
        <v>2.2632444171997399</v>
      </c>
    </row>
    <row r="21" spans="1:5" x14ac:dyDescent="0.35">
      <c r="A21" t="s">
        <v>33</v>
      </c>
      <c r="B21" s="3" t="e">
        <v>#N/A</v>
      </c>
      <c r="C21" s="5">
        <v>1.8453706649697699E-2</v>
      </c>
      <c r="E21" s="4">
        <v>1.84533826110777</v>
      </c>
    </row>
    <row r="22" spans="1:5" x14ac:dyDescent="0.35">
      <c r="A22" t="s">
        <v>34</v>
      </c>
      <c r="B22" s="3" t="e">
        <v>#N/A</v>
      </c>
      <c r="C22" s="5">
        <v>2.018927444794949E-2</v>
      </c>
      <c r="E22" s="4">
        <v>2.0188952621781402</v>
      </c>
    </row>
    <row r="23" spans="1:5" x14ac:dyDescent="0.35">
      <c r="A23" t="s">
        <v>35</v>
      </c>
      <c r="B23" s="3" t="e">
        <v>#N/A</v>
      </c>
      <c r="C23" s="5">
        <v>1.8501097522734433E-2</v>
      </c>
      <c r="E23" s="4">
        <v>1.85014111006585</v>
      </c>
    </row>
    <row r="24" spans="1:5" x14ac:dyDescent="0.35">
      <c r="A24" t="s">
        <v>36</v>
      </c>
      <c r="B24" s="3" t="e">
        <v>#N/A</v>
      </c>
      <c r="C24" s="5">
        <v>1.4027431421446579E-2</v>
      </c>
      <c r="E24" s="4">
        <v>1.4027435794088401</v>
      </c>
    </row>
    <row r="25" spans="1:5" x14ac:dyDescent="0.35">
      <c r="A25" t="s">
        <v>37</v>
      </c>
      <c r="B25" s="3" t="e">
        <v>#N/A</v>
      </c>
      <c r="C25" s="5">
        <v>1.6557325835676151E-2</v>
      </c>
      <c r="E25" s="4">
        <v>1.65576382380506</v>
      </c>
    </row>
    <row r="26" spans="1:5" x14ac:dyDescent="0.35">
      <c r="A26" t="s">
        <v>38</v>
      </c>
      <c r="B26" s="3" t="e">
        <v>#N/A</v>
      </c>
      <c r="C26" s="5">
        <v>6.8027210884356037E-3</v>
      </c>
      <c r="E26" s="4">
        <v>0.68024118738404404</v>
      </c>
    </row>
    <row r="27" spans="1:5" x14ac:dyDescent="0.35">
      <c r="A27" t="s">
        <v>39</v>
      </c>
      <c r="B27" s="3" t="e">
        <v>#N/A</v>
      </c>
      <c r="C27" s="5">
        <v>6.1576354679802048E-3</v>
      </c>
      <c r="E27" s="4">
        <v>0.61570178087999505</v>
      </c>
    </row>
    <row r="28" spans="1:5" x14ac:dyDescent="0.35">
      <c r="A28" t="s">
        <v>40</v>
      </c>
      <c r="B28" s="3" t="e">
        <v>#N/A</v>
      </c>
      <c r="C28" s="5">
        <v>5.8407623731939751E-3</v>
      </c>
      <c r="E28" s="4">
        <v>0.58413789859756604</v>
      </c>
    </row>
    <row r="29" spans="1:5" x14ac:dyDescent="0.35">
      <c r="A29" t="s">
        <v>41</v>
      </c>
      <c r="B29" s="3" t="e">
        <v>#N/A</v>
      </c>
      <c r="C29" s="5">
        <v>6.4535955746773954E-3</v>
      </c>
      <c r="E29" s="4">
        <v>0.64535935913971998</v>
      </c>
    </row>
    <row r="30" spans="1:5" x14ac:dyDescent="0.35">
      <c r="A30" t="s">
        <v>42</v>
      </c>
      <c r="B30" s="3" t="e">
        <v>#N/A</v>
      </c>
      <c r="C30" s="5">
        <v>2.0270270270270174E-2</v>
      </c>
      <c r="E30" s="4">
        <v>2.02702764957851</v>
      </c>
    </row>
    <row r="31" spans="1:5" x14ac:dyDescent="0.35">
      <c r="A31" t="s">
        <v>43</v>
      </c>
      <c r="B31" s="3" t="e">
        <v>#N/A</v>
      </c>
      <c r="C31" s="5">
        <v>2.7539779681762466E-2</v>
      </c>
      <c r="E31" s="4">
        <v>2.7539788108870198</v>
      </c>
    </row>
    <row r="32" spans="1:5" x14ac:dyDescent="0.35">
      <c r="A32" t="s">
        <v>44</v>
      </c>
      <c r="B32" s="3" t="e">
        <v>#N/A</v>
      </c>
      <c r="C32" s="5">
        <v>4.8899755501222497E-2</v>
      </c>
      <c r="E32" s="4">
        <v>4.8899434932935604</v>
      </c>
    </row>
    <row r="33" spans="1:5" x14ac:dyDescent="0.35">
      <c r="A33" t="s">
        <v>45</v>
      </c>
      <c r="B33" s="3" t="e">
        <v>#N/A</v>
      </c>
      <c r="C33" s="5">
        <v>6.1984732824427402E-2</v>
      </c>
      <c r="E33" s="4">
        <v>6.1984103210960804</v>
      </c>
    </row>
    <row r="34" spans="1:5" x14ac:dyDescent="0.35">
      <c r="A34" t="s">
        <v>46</v>
      </c>
      <c r="B34" s="3" t="e">
        <v>#N/A</v>
      </c>
      <c r="C34" s="5">
        <v>9.1511137868753867E-2</v>
      </c>
      <c r="E34" s="4">
        <v>9.1511767462903997</v>
      </c>
    </row>
    <row r="35" spans="1:5" x14ac:dyDescent="0.35">
      <c r="A35" t="s">
        <v>47</v>
      </c>
      <c r="B35" s="3" t="e">
        <v>#N/A</v>
      </c>
      <c r="C35" s="5">
        <v>0.10005955926146527</v>
      </c>
      <c r="E35" s="4">
        <v>10.0059589058841</v>
      </c>
    </row>
    <row r="36" spans="1:5" x14ac:dyDescent="0.35">
      <c r="A36" t="s">
        <v>48</v>
      </c>
      <c r="B36" s="3" t="e">
        <v>#N/A</v>
      </c>
      <c r="C36" s="5">
        <v>0.10751748251748271</v>
      </c>
      <c r="E36" s="4">
        <v>10.7517482517482</v>
      </c>
    </row>
    <row r="37" spans="1:5" x14ac:dyDescent="0.35">
      <c r="A37" t="s">
        <v>49</v>
      </c>
      <c r="B37" s="3" t="e">
        <v>#N/A</v>
      </c>
      <c r="C37" s="5">
        <v>0.10178263369752759</v>
      </c>
      <c r="E37" s="4">
        <v>10.1782662962237</v>
      </c>
    </row>
    <row r="38" spans="1:5" x14ac:dyDescent="0.35">
      <c r="A38" t="s">
        <v>50</v>
      </c>
      <c r="B38" s="3" t="e">
        <v>#N/A</v>
      </c>
      <c r="C38" s="5">
        <v>8.4390512961941777E-2</v>
      </c>
      <c r="E38" s="4">
        <v>8.4390489688226804</v>
      </c>
    </row>
    <row r="39" spans="1:5" x14ac:dyDescent="0.35">
      <c r="A39" t="s">
        <v>51</v>
      </c>
      <c r="B39" s="3" t="e">
        <v>#N/A</v>
      </c>
      <c r="C39" s="5">
        <v>6.7135896047644916E-2</v>
      </c>
      <c r="E39" s="4">
        <v>6.7136184931289904</v>
      </c>
    </row>
    <row r="40" spans="1:5" x14ac:dyDescent="0.35">
      <c r="A40" t="s">
        <v>52</v>
      </c>
      <c r="B40" s="3">
        <v>4.5999999999999996</v>
      </c>
      <c r="C40" s="5">
        <v>4.1568008418837232E-2</v>
      </c>
      <c r="E40" s="4">
        <v>4.1568271507498</v>
      </c>
    </row>
    <row r="41" spans="1:5" x14ac:dyDescent="0.35">
      <c r="A41" t="s">
        <v>53</v>
      </c>
      <c r="B41" s="3">
        <v>4.4000000000000004</v>
      </c>
      <c r="E41" s="4">
        <v>3.7175114085363701</v>
      </c>
    </row>
    <row r="42" spans="1:5" x14ac:dyDescent="0.35">
      <c r="A42" t="s">
        <v>54</v>
      </c>
      <c r="B42" s="3">
        <v>3.6</v>
      </c>
      <c r="E42" s="4">
        <v>1.56698841124404</v>
      </c>
    </row>
    <row r="43" spans="1:5" x14ac:dyDescent="0.35">
      <c r="A43" t="s">
        <v>55</v>
      </c>
      <c r="B43" s="3">
        <v>3.3</v>
      </c>
      <c r="E43" s="4">
        <v>1.6362252663622501</v>
      </c>
    </row>
    <row r="44" spans="1:5" x14ac:dyDescent="0.35">
      <c r="A44" t="s">
        <v>56</v>
      </c>
      <c r="B44" s="3">
        <v>3.1</v>
      </c>
      <c r="E44" s="4">
        <v>1.4807523413103501</v>
      </c>
    </row>
    <row r="45" spans="1:5" x14ac:dyDescent="0.35">
      <c r="A45" t="s">
        <v>57</v>
      </c>
      <c r="B45" s="3">
        <v>2.5</v>
      </c>
      <c r="E45" s="4">
        <v>1.3036507656145999</v>
      </c>
    </row>
    <row r="46" spans="1:5" x14ac:dyDescent="0.35">
      <c r="A46" t="s">
        <v>58</v>
      </c>
      <c r="B46" s="3">
        <v>2.1</v>
      </c>
      <c r="E46" s="4">
        <v>1.51990114219823</v>
      </c>
    </row>
    <row r="47" spans="1:5" x14ac:dyDescent="0.35">
      <c r="A47" t="s">
        <v>59</v>
      </c>
      <c r="B47" s="3">
        <v>2.1</v>
      </c>
      <c r="E47" s="4">
        <v>1.6171471359041401</v>
      </c>
    </row>
    <row r="48" spans="1:5" x14ac:dyDescent="0.35">
      <c r="A48" t="s">
        <v>60</v>
      </c>
      <c r="B48" s="3">
        <v>1.9</v>
      </c>
      <c r="E48" s="4">
        <v>1.7548431610324799</v>
      </c>
    </row>
    <row r="49" spans="1:5" x14ac:dyDescent="0.35">
      <c r="A49" t="s">
        <v>61</v>
      </c>
      <c r="B49" s="3">
        <v>1.9</v>
      </c>
      <c r="E49" s="4">
        <v>1.8445870579373</v>
      </c>
    </row>
    <row r="50" spans="1:5" x14ac:dyDescent="0.35">
      <c r="A50" t="s">
        <v>62</v>
      </c>
      <c r="B50" s="3">
        <v>1.7</v>
      </c>
      <c r="E50" s="4">
        <v>1.84699557064401</v>
      </c>
    </row>
    <row r="51" spans="1:5" x14ac:dyDescent="0.35">
      <c r="A51" t="s">
        <v>63</v>
      </c>
      <c r="B51" s="3">
        <v>1.6</v>
      </c>
      <c r="E51" s="4">
        <v>1.82868284286236</v>
      </c>
    </row>
    <row r="52" spans="1:5" x14ac:dyDescent="0.35">
      <c r="A52" t="s">
        <v>64</v>
      </c>
      <c r="B52" s="3">
        <v>1.5</v>
      </c>
      <c r="E52" s="4">
        <v>1.80119159703208</v>
      </c>
    </row>
  </sheetData>
  <hyperlinks>
    <hyperlink ref="B3" r:id="rId1" xr:uid="{2A229129-51B1-4AAE-A2F5-6EE068A85105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7B1E7-6809-416D-98CD-004231E42F88}">
  <dimension ref="A1:N45"/>
  <sheetViews>
    <sheetView workbookViewId="0">
      <selection activeCell="C26" sqref="C26"/>
    </sheetView>
  </sheetViews>
  <sheetFormatPr defaultRowHeight="14.5" x14ac:dyDescent="0.35"/>
  <cols>
    <col min="1" max="1" width="11.7265625" customWidth="1"/>
    <col min="2" max="2" width="19.08984375" bestFit="1" customWidth="1"/>
    <col min="3" max="3" width="31.453125" bestFit="1" customWidth="1"/>
    <col min="4" max="4" width="31.453125" customWidth="1"/>
    <col min="5" max="5" width="18.90625" bestFit="1" customWidth="1"/>
    <col min="6" max="6" width="7.90625" bestFit="1" customWidth="1"/>
    <col min="7" max="8" width="20.90625" customWidth="1"/>
    <col min="9" max="9" width="2.7265625" customWidth="1"/>
    <col min="10" max="10" width="2.54296875" customWidth="1"/>
    <col min="12" max="12" width="23.54296875" bestFit="1" customWidth="1"/>
    <col min="13" max="13" width="42.6328125" bestFit="1" customWidth="1"/>
  </cols>
  <sheetData>
    <row r="1" spans="1:14" x14ac:dyDescent="0.35">
      <c r="B1" t="s">
        <v>115</v>
      </c>
      <c r="C1" t="s">
        <v>116</v>
      </c>
      <c r="D1" t="s">
        <v>125</v>
      </c>
      <c r="E1" t="s">
        <v>117</v>
      </c>
      <c r="F1" t="s">
        <v>5</v>
      </c>
      <c r="G1" t="s">
        <v>118</v>
      </c>
      <c r="H1" t="s">
        <v>126</v>
      </c>
      <c r="L1" t="s">
        <v>119</v>
      </c>
      <c r="M1" t="s">
        <v>120</v>
      </c>
      <c r="N1" t="s">
        <v>121</v>
      </c>
    </row>
    <row r="2" spans="1:14" x14ac:dyDescent="0.35">
      <c r="A2" s="10">
        <v>44197</v>
      </c>
      <c r="B2" s="4">
        <f>'HAVER M'!B10</f>
        <v>4.3</v>
      </c>
      <c r="C2" s="4">
        <f>'HAVER M'!C10</f>
        <v>4.0999999999999996</v>
      </c>
      <c r="D2" s="4">
        <f>'HAVER M'!E10*100</f>
        <v>4.5108695652174013</v>
      </c>
      <c r="E2" s="4">
        <f>'HAVER M'!D10</f>
        <v>3.2334876000000001</v>
      </c>
      <c r="F2" s="4">
        <f>'HAVER M'!G10</f>
        <v>1</v>
      </c>
      <c r="G2" s="8" t="e">
        <f>NA()</f>
        <v>#N/A</v>
      </c>
      <c r="H2" s="8">
        <f>'[1]Wages data'!$L79</f>
        <v>4.4523074736400048</v>
      </c>
      <c r="K2" t="str">
        <f>LEFT('HAVER Q'!A9,4)</f>
        <v>2016</v>
      </c>
      <c r="L2" s="4">
        <f>'HAVER Q'!E9</f>
        <v>0.33501507537689101</v>
      </c>
      <c r="M2" s="4" t="e">
        <f>NA()</f>
        <v>#N/A</v>
      </c>
      <c r="N2" s="4">
        <v>2</v>
      </c>
    </row>
    <row r="3" spans="1:14" x14ac:dyDescent="0.35">
      <c r="A3" s="10">
        <v>44228</v>
      </c>
      <c r="B3" s="4">
        <f>'HAVER M'!B11</f>
        <v>4.4000000000000004</v>
      </c>
      <c r="C3" s="4">
        <f>'HAVER M'!C11</f>
        <v>4.2</v>
      </c>
      <c r="D3" s="4">
        <f>'HAVER M'!E11*100</f>
        <v>4.4348296376419682</v>
      </c>
      <c r="E3" s="4">
        <f>'HAVER M'!D11</f>
        <v>3.2139831999999999</v>
      </c>
      <c r="F3" s="4">
        <f>'HAVER M'!G11</f>
        <v>1</v>
      </c>
      <c r="G3" s="8" t="e">
        <f>NA()</f>
        <v>#N/A</v>
      </c>
      <c r="H3" s="8">
        <f>'[1]Wages data'!$L80</f>
        <v>4.2700778799531491</v>
      </c>
      <c r="K3" t="str">
        <f>LEFT('HAVER Q'!A10,4)</f>
        <v>2016</v>
      </c>
      <c r="L3" s="4">
        <f>'HAVER Q'!E10</f>
        <v>0.33307783708267402</v>
      </c>
      <c r="M3" s="4" t="e">
        <f>NA()</f>
        <v>#N/A</v>
      </c>
      <c r="N3" s="4">
        <v>2</v>
      </c>
    </row>
    <row r="4" spans="1:14" x14ac:dyDescent="0.35">
      <c r="A4" s="10">
        <v>44256</v>
      </c>
      <c r="B4" s="4">
        <f>'HAVER M'!B12</f>
        <v>4.5999999999999996</v>
      </c>
      <c r="C4" s="4">
        <f>'HAVER M'!C12</f>
        <v>4.3</v>
      </c>
      <c r="D4" s="4">
        <f>'HAVER M'!E12*100</f>
        <v>4.7001620745543038</v>
      </c>
      <c r="E4" s="4">
        <f>'HAVER M'!D12</f>
        <v>3.0759642999999999</v>
      </c>
      <c r="F4" s="4">
        <f>'HAVER M'!G12</f>
        <v>1.2</v>
      </c>
      <c r="G4" s="8" t="e">
        <f>NA()</f>
        <v>#N/A</v>
      </c>
      <c r="H4" s="8">
        <f>'[1]Wages data'!$L81</f>
        <v>5.0103525147952244</v>
      </c>
      <c r="K4" t="str">
        <f>LEFT('HAVER Q'!A11,4)</f>
        <v>2016</v>
      </c>
      <c r="L4" s="4">
        <f>'HAVER Q'!E11</f>
        <v>0.69883504198499902</v>
      </c>
      <c r="M4" s="4" t="e">
        <f>NA()</f>
        <v>#N/A</v>
      </c>
      <c r="N4" s="4">
        <v>2</v>
      </c>
    </row>
    <row r="5" spans="1:14" x14ac:dyDescent="0.35">
      <c r="A5" s="10">
        <v>44287</v>
      </c>
      <c r="B5" s="4">
        <f>'HAVER M'!B13</f>
        <v>5.7</v>
      </c>
      <c r="C5" s="4">
        <f>'HAVER M'!C13</f>
        <v>5.7</v>
      </c>
      <c r="D5" s="4">
        <f>'HAVER M'!E13*100</f>
        <v>6.5609622744669194</v>
      </c>
      <c r="E5" s="4">
        <f>'HAVER M'!D13</f>
        <v>2.2602196000000001</v>
      </c>
      <c r="F5" s="4">
        <f>'HAVER M'!G13</f>
        <v>2</v>
      </c>
      <c r="G5" s="8" t="e">
        <f>NA()</f>
        <v>#N/A</v>
      </c>
      <c r="H5" s="8">
        <f>'[1]Wages data'!$L82</f>
        <v>8.6422758697064062</v>
      </c>
      <c r="K5" t="str">
        <f>LEFT('HAVER Q'!A12,4)</f>
        <v>2016</v>
      </c>
      <c r="L5" s="4">
        <f>'HAVER Q'!E12</f>
        <v>1.19641076769691</v>
      </c>
      <c r="M5" s="4" t="e">
        <f>NA()</f>
        <v>#N/A</v>
      </c>
      <c r="N5" s="4">
        <v>2</v>
      </c>
    </row>
    <row r="6" spans="1:14" x14ac:dyDescent="0.35">
      <c r="A6" s="10">
        <v>44317</v>
      </c>
      <c r="B6" s="4">
        <f>'HAVER M'!B14</f>
        <v>6.6</v>
      </c>
      <c r="C6" s="4">
        <f>'HAVER M'!C14</f>
        <v>7.2</v>
      </c>
      <c r="D6" s="4">
        <f>'HAVER M'!E14*100</f>
        <v>8.1305309734513322</v>
      </c>
      <c r="E6" s="4">
        <f>'HAVER M'!D14</f>
        <v>1.9057010000000001</v>
      </c>
      <c r="F6" s="4">
        <f>'HAVER M'!G14</f>
        <v>2</v>
      </c>
      <c r="G6" s="8" t="e">
        <f>NA()</f>
        <v>#N/A</v>
      </c>
      <c r="H6" s="8">
        <f>'[1]Wages data'!$L83</f>
        <v>8.4870706779457183</v>
      </c>
      <c r="K6" t="str">
        <f>LEFT('HAVER Q'!A13,4)</f>
        <v>2017</v>
      </c>
      <c r="L6" s="4">
        <f>'HAVER Q'!E13</f>
        <v>2.1702769836208899</v>
      </c>
      <c r="M6" s="4" t="e">
        <f>NA()</f>
        <v>#N/A</v>
      </c>
      <c r="N6" s="4">
        <v>2</v>
      </c>
    </row>
    <row r="7" spans="1:14" x14ac:dyDescent="0.35">
      <c r="A7" s="10">
        <v>44348</v>
      </c>
      <c r="B7" s="4">
        <f>'HAVER M'!B15</f>
        <v>7.3</v>
      </c>
      <c r="C7" s="4">
        <f>'HAVER M'!C15</f>
        <v>8.4</v>
      </c>
      <c r="D7" s="4">
        <f>'HAVER M'!E15*100</f>
        <v>8.9295618413754774</v>
      </c>
      <c r="E7" s="4">
        <f>'HAVER M'!D15</f>
        <v>1.9802468</v>
      </c>
      <c r="F7" s="4">
        <f>'HAVER M'!G15</f>
        <v>2</v>
      </c>
      <c r="G7" s="8" t="e">
        <f>NA()</f>
        <v>#N/A</v>
      </c>
      <c r="H7" s="8">
        <f>'[1]Wages data'!$L84</f>
        <v>7.9822521592868956</v>
      </c>
      <c r="K7" t="str">
        <f>LEFT('HAVER Q'!A14,4)</f>
        <v>2017</v>
      </c>
      <c r="L7" s="4">
        <f>'HAVER Q'!E14</f>
        <v>2.7556772908366498</v>
      </c>
      <c r="M7" s="4" t="e">
        <f>NA()</f>
        <v>#N/A</v>
      </c>
      <c r="N7" s="4">
        <v>2</v>
      </c>
    </row>
    <row r="8" spans="1:14" x14ac:dyDescent="0.35">
      <c r="A8" s="10">
        <v>44378</v>
      </c>
      <c r="B8" s="4">
        <f>'HAVER M'!B16</f>
        <v>6.8</v>
      </c>
      <c r="C8" s="4">
        <f>'HAVER M'!C16</f>
        <v>7.8</v>
      </c>
      <c r="D8" s="4">
        <f>'HAVER M'!E16*100</f>
        <v>7.8774617067833619</v>
      </c>
      <c r="E8" s="4">
        <f>'HAVER M'!D16</f>
        <v>2.8207624999999998</v>
      </c>
      <c r="F8" s="4">
        <f>'HAVER M'!G16</f>
        <v>2</v>
      </c>
      <c r="G8" s="8" t="e">
        <f>NA()</f>
        <v>#N/A</v>
      </c>
      <c r="H8" s="8">
        <f>'[1]Wages data'!$L85</f>
        <v>7.805791574358012</v>
      </c>
      <c r="K8" t="str">
        <f>LEFT('HAVER Q'!A15,4)</f>
        <v>2017</v>
      </c>
      <c r="L8" s="4">
        <f>'HAVER Q'!E15</f>
        <v>2.8089547888450799</v>
      </c>
      <c r="M8" s="4" t="e">
        <f>NA()</f>
        <v>#N/A</v>
      </c>
      <c r="N8" s="4">
        <v>2</v>
      </c>
    </row>
    <row r="9" spans="1:14" x14ac:dyDescent="0.35">
      <c r="A9" s="10">
        <v>44409</v>
      </c>
      <c r="B9" s="4">
        <f>'HAVER M'!B17</f>
        <v>6</v>
      </c>
      <c r="C9" s="4">
        <f>'HAVER M'!C17</f>
        <v>6.7</v>
      </c>
      <c r="D9" s="4">
        <f>'HAVER M'!E17*100</f>
        <v>6.6738428417653317</v>
      </c>
      <c r="E9" s="4">
        <f>'HAVER M'!D17</f>
        <v>3.3846020999999999</v>
      </c>
      <c r="F9" s="4">
        <f>'HAVER M'!G17</f>
        <v>2</v>
      </c>
      <c r="G9" s="8" t="e">
        <f>NA()</f>
        <v>#N/A</v>
      </c>
      <c r="H9" s="8">
        <f>'[1]Wages data'!$L86</f>
        <v>7.1153515439116077</v>
      </c>
      <c r="K9" t="str">
        <f>LEFT('HAVER Q'!A16,4)</f>
        <v>2017</v>
      </c>
      <c r="L9" s="4">
        <f>'HAVER Q'!E16</f>
        <v>3.0213793103448201</v>
      </c>
      <c r="M9" s="4" t="e">
        <f>NA()</f>
        <v>#N/A</v>
      </c>
      <c r="N9" s="4">
        <v>2</v>
      </c>
    </row>
    <row r="10" spans="1:14" x14ac:dyDescent="0.35">
      <c r="A10" s="10">
        <v>44440</v>
      </c>
      <c r="B10" s="4">
        <f>'HAVER M'!B18</f>
        <v>5</v>
      </c>
      <c r="C10" s="4">
        <f>'HAVER M'!C18</f>
        <v>5.5</v>
      </c>
      <c r="D10" s="4">
        <f>'HAVER M'!E18*100</f>
        <v>5.8979808714133997</v>
      </c>
      <c r="E10" s="4">
        <f>'HAVER M'!D18</f>
        <v>3.7359038999999998</v>
      </c>
      <c r="F10" s="4">
        <f>'HAVER M'!G18</f>
        <v>2</v>
      </c>
      <c r="G10" s="8" t="e">
        <f>NA()</f>
        <v>#N/A</v>
      </c>
      <c r="H10" s="8">
        <f>'[1]Wages data'!$L87</f>
        <v>3.8074536339723686</v>
      </c>
      <c r="K10" t="str">
        <f>LEFT('HAVER Q'!A17,4)</f>
        <v>2018</v>
      </c>
      <c r="L10" s="4">
        <f>'HAVER Q'!E17</f>
        <v>2.7124509803921502</v>
      </c>
      <c r="M10" s="4" t="e">
        <f>NA()</f>
        <v>#N/A</v>
      </c>
      <c r="N10" s="4">
        <v>2</v>
      </c>
    </row>
    <row r="11" spans="1:14" x14ac:dyDescent="0.35">
      <c r="A11" s="10">
        <v>44470</v>
      </c>
      <c r="B11" s="4">
        <f>'HAVER M'!B19</f>
        <v>4.3</v>
      </c>
      <c r="C11" s="4">
        <f>'HAVER M'!C19</f>
        <v>4.5999999999999996</v>
      </c>
      <c r="D11" s="4">
        <f>'HAVER M'!E19*100</f>
        <v>5.5292259083728368</v>
      </c>
      <c r="E11" s="4">
        <f>'HAVER M'!D19</f>
        <v>3.9741369999999998</v>
      </c>
      <c r="F11" s="4">
        <f>'HAVER M'!G19</f>
        <v>2</v>
      </c>
      <c r="G11" s="8" t="e">
        <f>NA()</f>
        <v>#N/A</v>
      </c>
      <c r="H11" s="8">
        <f>'[1]Wages data'!$L88</f>
        <v>4.6500967995751319</v>
      </c>
      <c r="K11" t="str">
        <f>LEFT('HAVER Q'!A18,4)</f>
        <v>2018</v>
      </c>
      <c r="L11" s="4">
        <f>'HAVER Q'!E18</f>
        <v>2.42326254498786</v>
      </c>
      <c r="M11" s="4" t="e">
        <f>NA()</f>
        <v>#N/A</v>
      </c>
      <c r="N11" s="4">
        <v>2</v>
      </c>
    </row>
    <row r="12" spans="1:14" x14ac:dyDescent="0.35">
      <c r="A12" s="10">
        <v>44501</v>
      </c>
      <c r="B12" s="4">
        <f>'HAVER M'!B20</f>
        <v>3.8</v>
      </c>
      <c r="C12" s="4">
        <f>'HAVER M'!C20</f>
        <v>4.0999999999999996</v>
      </c>
      <c r="D12" s="4">
        <f>'HAVER M'!E20*100</f>
        <v>5.392670157068058</v>
      </c>
      <c r="E12" s="4">
        <f>'HAVER M'!D20</f>
        <v>4.1001032000000004</v>
      </c>
      <c r="F12" s="4">
        <f>'HAVER M'!G20</f>
        <v>2.5</v>
      </c>
      <c r="G12" s="8" t="e">
        <f>NA()</f>
        <v>#N/A</v>
      </c>
      <c r="H12" s="8">
        <f>'[1]Wages data'!$L89</f>
        <v>4.3678803786772358</v>
      </c>
      <c r="K12" t="str">
        <f>LEFT('HAVER Q'!A19,4)</f>
        <v>2018</v>
      </c>
      <c r="L12" s="4">
        <f>'HAVER Q'!E19</f>
        <v>2.5072324011571698</v>
      </c>
      <c r="M12" s="4" t="e">
        <f>NA()</f>
        <v>#N/A</v>
      </c>
      <c r="N12" s="4">
        <v>2</v>
      </c>
    </row>
    <row r="13" spans="1:14" x14ac:dyDescent="0.35">
      <c r="A13" s="10">
        <v>44531</v>
      </c>
      <c r="B13" s="4">
        <f>'HAVER M'!B21</f>
        <v>3.7</v>
      </c>
      <c r="C13" s="4">
        <f>'HAVER M'!C21</f>
        <v>3.9</v>
      </c>
      <c r="D13" s="4">
        <f>'HAVER M'!E21*100</f>
        <v>5.4744525547445244</v>
      </c>
      <c r="E13" s="4">
        <f>'HAVER M'!D21</f>
        <v>4.3717699000000003</v>
      </c>
      <c r="F13" s="4">
        <f>'HAVER M'!G21</f>
        <v>2.2999999999999998</v>
      </c>
      <c r="G13" s="8" t="e">
        <f>NA()</f>
        <v>#N/A</v>
      </c>
      <c r="H13" s="8">
        <f>'[1]Wages data'!$L90</f>
        <v>5.3609096866190864</v>
      </c>
      <c r="K13" t="str">
        <f>LEFT('HAVER Q'!A20,4)</f>
        <v>2018</v>
      </c>
      <c r="L13" s="4">
        <f>'HAVER Q'!E20</f>
        <v>2.2632444171997399</v>
      </c>
      <c r="M13" s="4" t="e">
        <f>NA()</f>
        <v>#N/A</v>
      </c>
      <c r="N13" s="4">
        <v>2</v>
      </c>
    </row>
    <row r="14" spans="1:14" x14ac:dyDescent="0.35">
      <c r="A14" s="10">
        <v>44562</v>
      </c>
      <c r="B14" s="4">
        <f>'HAVER M'!B22</f>
        <v>3.8</v>
      </c>
      <c r="C14" s="4">
        <f>'HAVER M'!C22</f>
        <v>4.2</v>
      </c>
      <c r="D14" s="4">
        <f>'HAVER M'!E22*100</f>
        <v>5.7722308892355745</v>
      </c>
      <c r="E14" s="4">
        <f>'HAVER M'!D22</f>
        <v>4.3482294000000001</v>
      </c>
      <c r="F14" s="4">
        <f>'HAVER M'!G22</f>
        <v>3.5</v>
      </c>
      <c r="G14" s="8" t="e">
        <f>NA()</f>
        <v>#N/A</v>
      </c>
      <c r="H14" s="8">
        <f>'[1]Wages data'!$L91</f>
        <v>5.7642315043868297</v>
      </c>
      <c r="K14" t="str">
        <f>LEFT('HAVER Q'!A21,4)</f>
        <v>2019</v>
      </c>
      <c r="L14" s="4">
        <f>'HAVER Q'!E21</f>
        <v>1.84533826110777</v>
      </c>
      <c r="M14" s="4" t="e">
        <f>NA()</f>
        <v>#N/A</v>
      </c>
      <c r="N14" s="4">
        <v>2</v>
      </c>
    </row>
    <row r="15" spans="1:14" x14ac:dyDescent="0.35">
      <c r="A15" s="10">
        <v>44593</v>
      </c>
      <c r="B15" s="4">
        <f>'HAVER M'!B23</f>
        <v>4.0999999999999996</v>
      </c>
      <c r="C15" s="4">
        <f>'HAVER M'!C23</f>
        <v>4.5999999999999996</v>
      </c>
      <c r="D15" s="4">
        <f>'HAVER M'!E23*100</f>
        <v>5.9036768513723414</v>
      </c>
      <c r="E15" s="4">
        <f>'HAVER M'!D23</f>
        <v>4.5042469000000001</v>
      </c>
      <c r="F15" s="4">
        <f>'HAVER M'!G23</f>
        <v>3.5</v>
      </c>
      <c r="G15" s="8" t="e">
        <f>NA()</f>
        <v>#N/A</v>
      </c>
      <c r="H15" s="8">
        <f>'[1]Wages data'!$L92</f>
        <v>6.4374768039383135</v>
      </c>
      <c r="K15" t="str">
        <f>LEFT('HAVER Q'!A22,4)</f>
        <v>2019</v>
      </c>
      <c r="L15" s="4">
        <f>'HAVER Q'!E22</f>
        <v>2.0188952621781402</v>
      </c>
      <c r="M15" s="4" t="e">
        <f>NA()</f>
        <v>#N/A</v>
      </c>
      <c r="N15" s="4">
        <v>2</v>
      </c>
    </row>
    <row r="16" spans="1:14" x14ac:dyDescent="0.35">
      <c r="A16" s="10">
        <v>44621</v>
      </c>
      <c r="B16" s="4">
        <f>'HAVER M'!B24</f>
        <v>4.3</v>
      </c>
      <c r="C16" s="4">
        <f>'HAVER M'!C24</f>
        <v>4.9000000000000004</v>
      </c>
      <c r="D16" s="4">
        <f>'HAVER M'!E24*100</f>
        <v>6.1919504643962897</v>
      </c>
      <c r="E16" s="4">
        <f>'HAVER M'!D24</f>
        <v>4.8045030999999998</v>
      </c>
      <c r="F16" s="4">
        <f>'HAVER M'!G24</f>
        <v>3.7</v>
      </c>
      <c r="G16" s="8" t="e">
        <f>NA()</f>
        <v>#N/A</v>
      </c>
      <c r="H16" s="8">
        <f>'[1]Wages data'!$L93</f>
        <v>5.9524530020782729</v>
      </c>
      <c r="K16" t="str">
        <f>LEFT('HAVER Q'!A23,4)</f>
        <v>2019</v>
      </c>
      <c r="L16" s="4">
        <f>'HAVER Q'!E23</f>
        <v>1.85014111006585</v>
      </c>
      <c r="M16" s="4" t="e">
        <f>NA()</f>
        <v>#N/A</v>
      </c>
      <c r="N16" s="4">
        <v>2</v>
      </c>
    </row>
    <row r="17" spans="1:14" x14ac:dyDescent="0.35">
      <c r="A17" s="10">
        <v>44652</v>
      </c>
      <c r="B17" s="4">
        <f>'HAVER M'!B25</f>
        <v>4.2</v>
      </c>
      <c r="C17" s="4">
        <f>'HAVER M'!C25</f>
        <v>4.8</v>
      </c>
      <c r="D17" s="4">
        <f>'HAVER M'!E25*100</f>
        <v>6.0030785017957999</v>
      </c>
      <c r="E17" s="4">
        <f>'HAVER M'!D25</f>
        <v>5.5228792999999996</v>
      </c>
      <c r="F17" s="4">
        <f>'HAVER M'!G25</f>
        <v>4</v>
      </c>
      <c r="G17" s="8" t="e">
        <f>NA()</f>
        <v>#N/A</v>
      </c>
      <c r="H17" s="8">
        <f>'[1]Wages data'!$L94</f>
        <v>6.1263567583823786</v>
      </c>
      <c r="K17" t="str">
        <f>LEFT('HAVER Q'!A24,4)</f>
        <v>2019</v>
      </c>
      <c r="L17" s="4">
        <f>'HAVER Q'!E24</f>
        <v>1.4027435794088401</v>
      </c>
      <c r="M17" s="4" t="e">
        <f>NA()</f>
        <v>#N/A</v>
      </c>
      <c r="N17" s="4">
        <v>2</v>
      </c>
    </row>
    <row r="18" spans="1:14" x14ac:dyDescent="0.35">
      <c r="A18" s="10">
        <v>44682</v>
      </c>
      <c r="B18" s="4">
        <f>'HAVER M'!B26</f>
        <v>4.4000000000000004</v>
      </c>
      <c r="C18" s="4">
        <f>'HAVER M'!C26</f>
        <v>5.0999999999999996</v>
      </c>
      <c r="D18" s="4">
        <f>'HAVER M'!E26*100</f>
        <v>6.240409207161135</v>
      </c>
      <c r="E18" s="4">
        <f>'HAVER M'!D26</f>
        <v>6.0188524000000001</v>
      </c>
      <c r="F18" s="4">
        <f>'HAVER M'!G26</f>
        <v>4</v>
      </c>
      <c r="G18" s="8" t="e">
        <f>NA()</f>
        <v>#N/A</v>
      </c>
      <c r="H18" s="8">
        <f>'[1]Wages data'!$L95</f>
        <v>5.4269793020606194</v>
      </c>
      <c r="K18" t="str">
        <f>LEFT('HAVER Q'!A25,4)</f>
        <v>2020</v>
      </c>
      <c r="L18" s="4">
        <f>'HAVER Q'!E25</f>
        <v>1.65576382380506</v>
      </c>
      <c r="M18" s="4" t="e">
        <f>NA()</f>
        <v>#N/A</v>
      </c>
      <c r="N18" s="4">
        <v>2</v>
      </c>
    </row>
    <row r="19" spans="1:14" x14ac:dyDescent="0.35">
      <c r="A19" s="10">
        <v>44713</v>
      </c>
      <c r="B19" s="4">
        <f>'HAVER M'!B27</f>
        <v>4.7</v>
      </c>
      <c r="C19" s="4">
        <f>'HAVER M'!C27</f>
        <v>5.4</v>
      </c>
      <c r="D19" s="4">
        <f>'HAVER M'!E27*100</f>
        <v>6.2118126272912466</v>
      </c>
      <c r="E19" s="4">
        <f>'HAVER M'!D27</f>
        <v>6.2209861000000002</v>
      </c>
      <c r="F19" s="4">
        <f>'HAVER M'!G27</f>
        <v>4</v>
      </c>
      <c r="G19" s="8" t="e">
        <f>NA()</f>
        <v>#N/A</v>
      </c>
      <c r="H19" s="8">
        <f>'[1]Wages data'!$L96</f>
        <v>5.1867825235133447</v>
      </c>
      <c r="K19" t="str">
        <f>LEFT('HAVER Q'!A26,4)</f>
        <v>2020</v>
      </c>
      <c r="L19" s="4">
        <f>'HAVER Q'!E26</f>
        <v>0.68024118738404404</v>
      </c>
      <c r="M19" s="4" t="e">
        <f>NA()</f>
        <v>#N/A</v>
      </c>
      <c r="N19" s="4">
        <v>2</v>
      </c>
    </row>
    <row r="20" spans="1:14" x14ac:dyDescent="0.35">
      <c r="A20" s="10">
        <v>44743</v>
      </c>
      <c r="B20" s="4">
        <f>'HAVER M'!B28</f>
        <v>5.2</v>
      </c>
      <c r="C20" s="4">
        <f>'HAVER M'!C28</f>
        <v>6</v>
      </c>
      <c r="D20" s="4">
        <f>'HAVER M'!E28*100</f>
        <v>6.4401622718052831</v>
      </c>
      <c r="E20" s="4">
        <f>'HAVER M'!D28</f>
        <v>6.0865273000000002</v>
      </c>
      <c r="F20" s="4">
        <f>'HAVER M'!G28</f>
        <v>4.4000000000000004</v>
      </c>
      <c r="G20" s="8" t="e">
        <f>NA()</f>
        <v>#N/A</v>
      </c>
      <c r="H20" s="8">
        <f>'[1]Wages data'!$L97</f>
        <v>6.0405884090467099</v>
      </c>
      <c r="K20" t="str">
        <f>LEFT('HAVER Q'!A27,4)</f>
        <v>2020</v>
      </c>
      <c r="L20" s="4">
        <f>'HAVER Q'!E27</f>
        <v>0.61570178087999505</v>
      </c>
      <c r="M20" s="4" t="e">
        <f>NA()</f>
        <v>#N/A</v>
      </c>
      <c r="N20" s="4">
        <v>2</v>
      </c>
    </row>
    <row r="21" spans="1:14" x14ac:dyDescent="0.35">
      <c r="A21" s="10">
        <v>44774</v>
      </c>
      <c r="B21" s="4">
        <f>'HAVER M'!B29</f>
        <v>5.4</v>
      </c>
      <c r="C21" s="4">
        <f>'HAVER M'!C29</f>
        <v>6.2</v>
      </c>
      <c r="D21" s="4">
        <f>'HAVER M'!E29*100</f>
        <v>6.5590312815338114</v>
      </c>
      <c r="E21" s="4">
        <f>'HAVER M'!D29</f>
        <v>6.0575761999999997</v>
      </c>
      <c r="F21" s="4">
        <f>'HAVER M'!G29</f>
        <v>4.3</v>
      </c>
      <c r="G21" s="8" t="e">
        <f>NA()</f>
        <v>#N/A</v>
      </c>
      <c r="H21" s="8">
        <f>'[1]Wages data'!$L98</f>
        <v>6.3205245260411047</v>
      </c>
      <c r="K21" t="str">
        <f>LEFT('HAVER Q'!A28,4)</f>
        <v>2020</v>
      </c>
      <c r="L21" s="4">
        <f>'HAVER Q'!E28</f>
        <v>0.58413789859756604</v>
      </c>
      <c r="M21" s="4" t="e">
        <f>NA()</f>
        <v>#N/A</v>
      </c>
      <c r="N21" s="4">
        <v>2</v>
      </c>
    </row>
    <row r="22" spans="1:14" x14ac:dyDescent="0.35">
      <c r="A22" s="10">
        <v>44805</v>
      </c>
      <c r="B22" s="4">
        <f>'HAVER M'!B30</f>
        <v>5.7</v>
      </c>
      <c r="C22" s="4">
        <f>'HAVER M'!C30</f>
        <v>6.6</v>
      </c>
      <c r="D22" s="4">
        <f>'HAVER M'!E30*100</f>
        <v>6.7235323632714561</v>
      </c>
      <c r="E22" s="4">
        <f>'HAVER M'!D30</f>
        <v>6.0575761999999997</v>
      </c>
      <c r="F22" s="4">
        <f>'HAVER M'!G30</f>
        <v>4.3</v>
      </c>
      <c r="G22" s="8" t="e">
        <f>NA()</f>
        <v>#N/A</v>
      </c>
      <c r="H22" s="8">
        <f>'[1]Wages data'!$L99</f>
        <v>6.6191674001784717</v>
      </c>
      <c r="K22" t="str">
        <f>LEFT('HAVER Q'!A29,4)</f>
        <v>2021</v>
      </c>
      <c r="L22" s="4">
        <f>'HAVER Q'!E29</f>
        <v>0.64535935913971998</v>
      </c>
      <c r="M22" s="4" t="e">
        <f>NA()</f>
        <v>#N/A</v>
      </c>
      <c r="N22" s="4">
        <v>2</v>
      </c>
    </row>
    <row r="23" spans="1:14" x14ac:dyDescent="0.35">
      <c r="A23" s="10">
        <v>44835</v>
      </c>
      <c r="B23" s="4">
        <f>'HAVER M'!B31</f>
        <v>6.1</v>
      </c>
      <c r="C23" s="4">
        <f>'HAVER M'!C31</f>
        <v>6.9</v>
      </c>
      <c r="D23" s="4">
        <f>'HAVER M'!E31*100</f>
        <v>6.7864271457085845</v>
      </c>
      <c r="E23" s="4">
        <f>'HAVER M'!D31</f>
        <v>6.0717818000000001</v>
      </c>
      <c r="F23" s="4">
        <f>'HAVER M'!G31</f>
        <v>5</v>
      </c>
      <c r="G23" s="8" t="e">
        <f>NA()</f>
        <v>#N/A</v>
      </c>
      <c r="H23" s="8">
        <f>'[1]Wages data'!$L100</f>
        <v>7.2755813583242901</v>
      </c>
      <c r="K23" t="str">
        <f>LEFT('HAVER Q'!A30,4)</f>
        <v>2021</v>
      </c>
      <c r="L23" s="4">
        <f>'HAVER Q'!E30</f>
        <v>2.02702764957851</v>
      </c>
      <c r="M23" s="4" t="e">
        <f>NA()</f>
        <v>#N/A</v>
      </c>
      <c r="N23" s="4">
        <v>2</v>
      </c>
    </row>
    <row r="24" spans="1:14" x14ac:dyDescent="0.35">
      <c r="A24" s="10">
        <v>44866</v>
      </c>
      <c r="B24" s="4">
        <f>'HAVER M'!B32</f>
        <v>6.5</v>
      </c>
      <c r="C24" s="4">
        <f>'HAVER M'!C32</f>
        <v>7.3</v>
      </c>
      <c r="D24" s="4">
        <f>'HAVER M'!E32*100</f>
        <v>7.5509190263288728</v>
      </c>
      <c r="E24" s="4">
        <f>'HAVER M'!D32</f>
        <v>5.9749363000000004</v>
      </c>
      <c r="F24" s="4">
        <f>'HAVER M'!G32</f>
        <v>5</v>
      </c>
      <c r="G24" s="8" t="e">
        <f>NA()</f>
        <v>#N/A</v>
      </c>
      <c r="H24" s="8">
        <f>'[1]Wages data'!$L101</f>
        <v>6.6420506378634281</v>
      </c>
      <c r="K24" t="str">
        <f>LEFT('HAVER Q'!A31,4)</f>
        <v>2021</v>
      </c>
      <c r="L24" s="4">
        <f>'HAVER Q'!E31</f>
        <v>2.7539788108870198</v>
      </c>
      <c r="M24" s="4" t="e">
        <f>NA()</f>
        <v>#N/A</v>
      </c>
      <c r="N24" s="4">
        <v>2</v>
      </c>
    </row>
    <row r="25" spans="1:14" x14ac:dyDescent="0.35">
      <c r="A25" s="10">
        <v>44896</v>
      </c>
      <c r="B25" s="4">
        <f>'HAVER M'!B33</f>
        <v>6.7</v>
      </c>
      <c r="C25" s="4">
        <f>'HAVER M'!C33</f>
        <v>7.3</v>
      </c>
      <c r="D25" s="4">
        <f>'HAVER M'!E33*100</f>
        <v>7.7607513593672683</v>
      </c>
      <c r="E25" s="4">
        <f>'HAVER M'!D33</f>
        <v>5.8775918999999996</v>
      </c>
      <c r="F25" s="4">
        <f>'HAVER M'!G33</f>
        <v>5</v>
      </c>
      <c r="G25" s="8" t="e">
        <f>NA()</f>
        <v>#N/A</v>
      </c>
      <c r="H25" s="8">
        <f>'[1]Wages data'!$L102</f>
        <v>6.8625381163849752</v>
      </c>
      <c r="K25" t="str">
        <f>LEFT('HAVER Q'!A32,4)</f>
        <v>2021</v>
      </c>
      <c r="L25" s="4">
        <f>'HAVER Q'!E32</f>
        <v>4.8899434932935604</v>
      </c>
      <c r="M25" s="4" t="e">
        <f>NA()</f>
        <v>#N/A</v>
      </c>
      <c r="N25" s="4">
        <v>2</v>
      </c>
    </row>
    <row r="26" spans="1:14" x14ac:dyDescent="0.35">
      <c r="A26" s="10">
        <v>44927</v>
      </c>
      <c r="B26" s="4">
        <f>'HAVER M'!B34</f>
        <v>6.6</v>
      </c>
      <c r="C26" s="4">
        <f>'HAVER M'!C34</f>
        <v>7.1</v>
      </c>
      <c r="D26" s="4">
        <f>'HAVER M'!E34*100</f>
        <v>7.8171091445427665</v>
      </c>
      <c r="E26" s="4">
        <f>'HAVER M'!D34</f>
        <v>5.9938918000000001</v>
      </c>
      <c r="F26" s="4">
        <f>'HAVER M'!G34</f>
        <v>6</v>
      </c>
      <c r="G26" s="8" t="e">
        <f>NA()</f>
        <v>#N/A</v>
      </c>
      <c r="H26" s="8">
        <f>'[1]Wages data'!$L103</f>
        <v>5.9204287857635096</v>
      </c>
      <c r="K26" t="str">
        <f>LEFT('HAVER Q'!A33,4)</f>
        <v>2022</v>
      </c>
      <c r="L26" s="4">
        <f>'HAVER Q'!E33</f>
        <v>6.1984103210960804</v>
      </c>
      <c r="M26" s="4" t="e">
        <f>NA()</f>
        <v>#N/A</v>
      </c>
      <c r="N26" s="4">
        <v>2</v>
      </c>
    </row>
    <row r="27" spans="1:14" x14ac:dyDescent="0.35">
      <c r="A27" s="10">
        <v>44958</v>
      </c>
      <c r="B27" s="4">
        <f>'HAVER M'!B35</f>
        <v>6.7</v>
      </c>
      <c r="C27" s="4">
        <f>'HAVER M'!C35</f>
        <v>7</v>
      </c>
      <c r="D27" s="4">
        <f>'HAVER M'!E35*100</f>
        <v>7.383863080684594</v>
      </c>
      <c r="E27" s="4">
        <f>'HAVER M'!D35</f>
        <v>6.2265772999999998</v>
      </c>
      <c r="F27" s="4">
        <f>'HAVER M'!G35</f>
        <v>6</v>
      </c>
      <c r="G27" s="8" t="e">
        <f>NA()</f>
        <v>#N/A</v>
      </c>
      <c r="H27" s="8">
        <f>'[1]Wages data'!$L104</f>
        <v>6.7778422057005905</v>
      </c>
      <c r="K27" t="str">
        <f>LEFT('HAVER Q'!A34,4)</f>
        <v>2022</v>
      </c>
      <c r="L27" s="4">
        <f>'HAVER Q'!E34</f>
        <v>9.1511767462903997</v>
      </c>
      <c r="M27" s="4" t="e">
        <f>NA()</f>
        <v>#N/A</v>
      </c>
      <c r="N27" s="4">
        <v>2</v>
      </c>
    </row>
    <row r="28" spans="1:14" x14ac:dyDescent="0.35">
      <c r="A28" s="10">
        <v>44986</v>
      </c>
      <c r="B28" s="4">
        <f>'HAVER M'!B36</f>
        <v>6.8</v>
      </c>
      <c r="C28" s="4">
        <f>'HAVER M'!C36</f>
        <v>7.1</v>
      </c>
      <c r="D28" s="4">
        <f>'HAVER M'!E36*100</f>
        <v>7.0942662779397425</v>
      </c>
      <c r="E28" s="4">
        <f>'HAVER M'!D36</f>
        <v>6.5933951999999998</v>
      </c>
      <c r="F28" s="4">
        <f>'HAVER M'!G36</f>
        <v>6</v>
      </c>
      <c r="G28" s="8" t="e">
        <f>NA()</f>
        <v>#N/A</v>
      </c>
      <c r="H28" s="8">
        <f>'[1]Wages data'!$L105</f>
        <v>6.9705190580902965</v>
      </c>
      <c r="K28" t="str">
        <f>LEFT('HAVER Q'!A35,4)</f>
        <v>2022</v>
      </c>
      <c r="L28" s="4">
        <f>'HAVER Q'!E35</f>
        <v>10.0059589058841</v>
      </c>
      <c r="M28" s="4" t="e">
        <f>NA()</f>
        <v>#N/A</v>
      </c>
      <c r="N28" s="4">
        <v>2</v>
      </c>
    </row>
    <row r="29" spans="1:14" x14ac:dyDescent="0.35">
      <c r="A29" s="10">
        <v>45017</v>
      </c>
      <c r="B29" s="4">
        <f>'HAVER M'!B37</f>
        <v>7.3</v>
      </c>
      <c r="C29" s="4">
        <f>'HAVER M'!C37</f>
        <v>7.7</v>
      </c>
      <c r="D29" s="4">
        <f>'HAVER M'!E37*100</f>
        <v>7.1636011616650563</v>
      </c>
      <c r="E29" s="4">
        <f>'HAVER M'!D37</f>
        <v>6.9776457000000001</v>
      </c>
      <c r="F29" s="4">
        <f>'HAVER M'!G37</f>
        <v>6</v>
      </c>
      <c r="G29" s="8" t="e">
        <f>NA()</f>
        <v>#N/A</v>
      </c>
      <c r="H29" s="8">
        <f>'[1]Wages data'!$L106</f>
        <v>6.891420417605465</v>
      </c>
      <c r="K29" t="str">
        <f>LEFT('HAVER Q'!A36,4)</f>
        <v>2022</v>
      </c>
      <c r="L29" s="4">
        <f>'HAVER Q'!E36</f>
        <v>10.7517482517482</v>
      </c>
      <c r="M29" s="4" t="e">
        <f>NA()</f>
        <v>#N/A</v>
      </c>
      <c r="N29" s="4">
        <v>2</v>
      </c>
    </row>
    <row r="30" spans="1:14" x14ac:dyDescent="0.35">
      <c r="A30" s="10">
        <v>45047</v>
      </c>
      <c r="B30" s="4">
        <f>'HAVER M'!B38</f>
        <v>7.5</v>
      </c>
      <c r="C30" s="4">
        <f>'HAVER M'!C38</f>
        <v>7.9</v>
      </c>
      <c r="D30" s="4">
        <f>'HAVER M'!E38*100</f>
        <v>7.4145402022147255</v>
      </c>
      <c r="E30" s="4">
        <f>'HAVER M'!D38</f>
        <v>7.2664438000000002</v>
      </c>
      <c r="F30" s="4">
        <f>'HAVER M'!G38</f>
        <v>6</v>
      </c>
      <c r="G30" s="8" t="e">
        <f>NA()</f>
        <v>#N/A</v>
      </c>
      <c r="H30" s="8">
        <f>'[1]Wages data'!$L107</f>
        <v>8.1028056553885452</v>
      </c>
      <c r="K30" t="str">
        <f>LEFT('HAVER Q'!A37,4)</f>
        <v>2023</v>
      </c>
      <c r="L30" s="4">
        <f>'HAVER Q'!E37</f>
        <v>10.1782662962237</v>
      </c>
      <c r="M30" s="4" t="e">
        <f>NA()</f>
        <v>#N/A</v>
      </c>
      <c r="N30" s="4">
        <v>2</v>
      </c>
    </row>
    <row r="31" spans="1:14" x14ac:dyDescent="0.35">
      <c r="A31" s="10">
        <v>45078</v>
      </c>
      <c r="B31" s="4">
        <f>'HAVER M'!B39</f>
        <v>7.8</v>
      </c>
      <c r="C31" s="4">
        <f>'HAVER M'!C39</f>
        <v>8.1999999999999993</v>
      </c>
      <c r="D31" s="4">
        <f>'HAVER M'!E39*100</f>
        <v>8.3413231064237703</v>
      </c>
      <c r="E31" s="4">
        <f>'HAVER M'!D39</f>
        <v>7.3998334999999997</v>
      </c>
      <c r="F31" s="4">
        <f>'HAVER M'!G39</f>
        <v>6</v>
      </c>
      <c r="G31" s="8" t="e">
        <f>NA()</f>
        <v>#N/A</v>
      </c>
      <c r="H31" s="8">
        <f>'[1]Wages data'!$L108</f>
        <v>8.1580844107342845</v>
      </c>
      <c r="K31" t="str">
        <f>LEFT('HAVER Q'!A38,4)</f>
        <v>2023</v>
      </c>
      <c r="L31" s="4">
        <f>'HAVER Q'!E38</f>
        <v>8.4390489688226804</v>
      </c>
      <c r="M31" s="4" t="e">
        <f>NA()</f>
        <v>#N/A</v>
      </c>
      <c r="N31" s="4">
        <v>2</v>
      </c>
    </row>
    <row r="32" spans="1:14" x14ac:dyDescent="0.35">
      <c r="A32" s="10">
        <v>45108</v>
      </c>
      <c r="B32" s="4">
        <f>'HAVER M'!B40</f>
        <v>7.9</v>
      </c>
      <c r="C32" s="4">
        <f>'HAVER M'!C40</f>
        <v>8.1</v>
      </c>
      <c r="D32" s="4">
        <f>'HAVER M'!E40*100</f>
        <v>8.4802286803239646</v>
      </c>
      <c r="E32" s="4">
        <f>'HAVER M'!D40</f>
        <v>7.3036251999999999</v>
      </c>
      <c r="F32" s="4">
        <f>'HAVER M'!G40</f>
        <v>5.7</v>
      </c>
      <c r="G32" s="8" t="e">
        <f>NA()</f>
        <v>#N/A</v>
      </c>
      <c r="H32" s="8">
        <f>'[1]Wages data'!$L109</f>
        <v>8.1815169133877479</v>
      </c>
      <c r="K32" t="str">
        <f>LEFT('HAVER Q'!A39,4)</f>
        <v>2023</v>
      </c>
      <c r="L32" s="4">
        <f>'HAVER Q'!E39</f>
        <v>6.7136184931289904</v>
      </c>
      <c r="M32" s="4">
        <f>L32</f>
        <v>6.7136184931289904</v>
      </c>
      <c r="N32" s="4">
        <v>2</v>
      </c>
    </row>
    <row r="33" spans="1:14" x14ac:dyDescent="0.35">
      <c r="A33" s="10">
        <v>45139</v>
      </c>
      <c r="B33" s="4">
        <f>'HAVER M'!B41</f>
        <v>7.9</v>
      </c>
      <c r="C33" s="4">
        <f>'HAVER M'!C41</f>
        <v>8.1</v>
      </c>
      <c r="D33" s="4">
        <f>'HAVER M'!E41*100</f>
        <v>8.2386363636363527</v>
      </c>
      <c r="E33" s="4">
        <f>'HAVER M'!D41</f>
        <v>7.2768894</v>
      </c>
      <c r="F33" s="4">
        <f>'HAVER M'!G41</f>
        <v>5</v>
      </c>
      <c r="G33" s="8" t="e">
        <f>NA()</f>
        <v>#N/A</v>
      </c>
      <c r="H33" s="8">
        <f>'[1]Wages data'!$L110</f>
        <v>7.6941702678442416</v>
      </c>
      <c r="K33" t="str">
        <f>LEFT('HAVER Q'!A40,4)</f>
        <v>2023</v>
      </c>
      <c r="L33" s="4">
        <f>'HAVER Q'!E40</f>
        <v>4.1568271507498</v>
      </c>
      <c r="M33" s="4">
        <f>'HAVER Q'!B40</f>
        <v>4.5999999999999996</v>
      </c>
      <c r="N33" s="4">
        <v>2</v>
      </c>
    </row>
    <row r="34" spans="1:14" x14ac:dyDescent="0.35">
      <c r="A34" s="10">
        <v>45170</v>
      </c>
      <c r="B34" s="4">
        <f>'HAVER M'!B42</f>
        <v>7.8</v>
      </c>
      <c r="C34" s="4">
        <f>'HAVER M'!C42</f>
        <v>7.9</v>
      </c>
      <c r="D34" s="4">
        <f>'HAVER M'!E42*100</f>
        <v>7.0051716031969802</v>
      </c>
      <c r="E34" s="4">
        <f>'HAVER M'!D42</f>
        <v>7.1159490999999999</v>
      </c>
      <c r="F34" s="4">
        <f>'HAVER M'!G42</f>
        <v>5.4</v>
      </c>
      <c r="G34" s="8" t="e">
        <f>NA()</f>
        <v>#N/A</v>
      </c>
      <c r="H34" s="8">
        <f>'[1]Wages data'!$L111</f>
        <v>7.1815803730273133</v>
      </c>
      <c r="K34" t="str">
        <f>LEFT('HAVER Q'!A41,4)</f>
        <v>2024</v>
      </c>
      <c r="L34" s="4">
        <f>'HAVER Q'!E41</f>
        <v>3.7175114085363701</v>
      </c>
      <c r="M34" s="4">
        <f>'HAVER Q'!B41</f>
        <v>4.4000000000000004</v>
      </c>
      <c r="N34" s="4">
        <v>2</v>
      </c>
    </row>
    <row r="35" spans="1:14" x14ac:dyDescent="0.35">
      <c r="A35" s="10">
        <v>45200</v>
      </c>
      <c r="B35" s="4">
        <f>'HAVER M'!B43</f>
        <v>7.2</v>
      </c>
      <c r="C35" s="4">
        <f>'HAVER M'!C43</f>
        <v>7.2</v>
      </c>
      <c r="D35" s="4">
        <f>'HAVER M'!E43*100</f>
        <v>6.5887850467289732</v>
      </c>
      <c r="E35" s="4">
        <f>'HAVER M'!D43</f>
        <v>6.9654404000000003</v>
      </c>
      <c r="F35" s="4">
        <f>'HAVER M'!G43</f>
        <v>6</v>
      </c>
      <c r="G35" s="8" t="e">
        <f>NA()</f>
        <v>#N/A</v>
      </c>
      <c r="H35" s="8">
        <f>'[1]Wages data'!$L112</f>
        <v>6.8482767329748286</v>
      </c>
      <c r="K35" t="str">
        <f>LEFT('HAVER Q'!A42,4)</f>
        <v>2024</v>
      </c>
      <c r="L35" s="4">
        <f>'HAVER Q'!E42</f>
        <v>1.56698841124404</v>
      </c>
      <c r="M35" s="4">
        <f>'HAVER Q'!B42</f>
        <v>3.6</v>
      </c>
      <c r="N35" s="4">
        <v>2</v>
      </c>
    </row>
    <row r="36" spans="1:14" x14ac:dyDescent="0.35">
      <c r="A36" s="10">
        <v>45231</v>
      </c>
      <c r="B36" s="4">
        <f>'HAVER M'!B44</f>
        <v>6.6</v>
      </c>
      <c r="C36" s="4">
        <f>'HAVER M'!C44</f>
        <v>6.5</v>
      </c>
      <c r="D36" s="4">
        <f>'HAVER M'!E44*100</f>
        <v>6.1893764434180154</v>
      </c>
      <c r="E36" s="4">
        <f>'HAVER M'!D44</f>
        <v>6.7176432999999998</v>
      </c>
      <c r="F36" s="4">
        <f>'HAVER M'!G44</f>
        <v>6</v>
      </c>
      <c r="G36" s="8" t="e">
        <f>NA()</f>
        <v>#N/A</v>
      </c>
      <c r="H36" s="8">
        <f>'[1]Wages data'!$L113</f>
        <v>6.159148476946358</v>
      </c>
      <c r="K36" t="str">
        <f>LEFT('HAVER Q'!A43,4)</f>
        <v>2024</v>
      </c>
      <c r="L36" s="4">
        <f>'HAVER Q'!E43</f>
        <v>1.6362252663622501</v>
      </c>
      <c r="M36" s="4">
        <f>'HAVER Q'!B43</f>
        <v>3.3</v>
      </c>
      <c r="N36" s="4">
        <v>2</v>
      </c>
    </row>
    <row r="37" spans="1:14" x14ac:dyDescent="0.35">
      <c r="A37" s="10">
        <v>45261</v>
      </c>
      <c r="B37" s="4" t="e">
        <f>NA()</f>
        <v>#N/A</v>
      </c>
      <c r="C37" s="4" t="e">
        <f>NA()</f>
        <v>#N/A</v>
      </c>
      <c r="D37" s="4" t="e">
        <f>NA()</f>
        <v>#N/A</v>
      </c>
      <c r="E37" s="4">
        <f>'HAVER M'!D45</f>
        <v>6.5935256000000004</v>
      </c>
      <c r="F37" s="4" t="e">
        <f>NA()</f>
        <v>#N/A</v>
      </c>
      <c r="G37" s="8">
        <v>7.2</v>
      </c>
      <c r="H37" s="8">
        <f>'[1]Wages data'!$L114</f>
        <v>6.29487005811258</v>
      </c>
      <c r="K37" t="str">
        <f>LEFT('HAVER Q'!A44,4)</f>
        <v>2024</v>
      </c>
      <c r="L37" s="4">
        <f>'HAVER Q'!E44</f>
        <v>1.4807523413103501</v>
      </c>
      <c r="M37" s="4">
        <f>'HAVER Q'!B44</f>
        <v>3.1</v>
      </c>
      <c r="N37" s="4">
        <v>2</v>
      </c>
    </row>
    <row r="38" spans="1:14" x14ac:dyDescent="0.35">
      <c r="A38" s="10">
        <v>45292</v>
      </c>
      <c r="B38" s="4" t="e">
        <f>NA()</f>
        <v>#N/A</v>
      </c>
      <c r="C38" s="4" t="e">
        <f>NA()</f>
        <v>#N/A</v>
      </c>
      <c r="D38" s="4" t="e">
        <f>NA()</f>
        <v>#N/A</v>
      </c>
      <c r="E38" s="4" t="e">
        <f>NA()</f>
        <v>#N/A</v>
      </c>
      <c r="F38" s="4" t="e">
        <f>NA()</f>
        <v>#N/A</v>
      </c>
      <c r="G38" s="8" t="e">
        <f>NA()</f>
        <v>#N/A</v>
      </c>
      <c r="H38" s="8">
        <f>'[1]Wages data'!$L115</f>
        <v>6.7198473008348003</v>
      </c>
      <c r="K38" t="str">
        <f>LEFT('HAVER Q'!A45,4)</f>
        <v>2025</v>
      </c>
      <c r="L38" s="4">
        <f>'HAVER Q'!E45</f>
        <v>1.3036507656145999</v>
      </c>
      <c r="M38" s="4">
        <f>'HAVER Q'!B45</f>
        <v>2.5</v>
      </c>
      <c r="N38" s="4">
        <v>2</v>
      </c>
    </row>
    <row r="39" spans="1:14" x14ac:dyDescent="0.35">
      <c r="A39" s="10">
        <v>45323</v>
      </c>
      <c r="B39" s="4" t="e">
        <f>NA()</f>
        <v>#N/A</v>
      </c>
      <c r="C39" s="4" t="e">
        <f>NA()</f>
        <v>#N/A</v>
      </c>
      <c r="D39" s="4" t="e">
        <f>NA()</f>
        <v>#N/A</v>
      </c>
      <c r="E39" s="4" t="e">
        <f>NA()</f>
        <v>#N/A</v>
      </c>
      <c r="F39" s="4" t="e">
        <f>NA()</f>
        <v>#N/A</v>
      </c>
      <c r="G39" s="8" t="e">
        <f>NA()</f>
        <v>#N/A</v>
      </c>
      <c r="H39" s="8"/>
      <c r="K39" t="str">
        <f>LEFT('HAVER Q'!A46,4)</f>
        <v>2025</v>
      </c>
      <c r="L39" s="4">
        <f>'HAVER Q'!E46</f>
        <v>1.51990114219823</v>
      </c>
      <c r="M39" s="4">
        <f>'HAVER Q'!B46</f>
        <v>2.1</v>
      </c>
      <c r="N39" s="4">
        <v>2</v>
      </c>
    </row>
    <row r="40" spans="1:14" x14ac:dyDescent="0.35">
      <c r="A40" s="10">
        <v>45352</v>
      </c>
      <c r="B40" s="4" t="e">
        <f>NA()</f>
        <v>#N/A</v>
      </c>
      <c r="C40" s="4" t="e">
        <f>NA()</f>
        <v>#N/A</v>
      </c>
      <c r="D40" s="4" t="e">
        <f>NA()</f>
        <v>#N/A</v>
      </c>
      <c r="E40" s="4" t="e">
        <f>NA()</f>
        <v>#N/A</v>
      </c>
      <c r="F40" s="4" t="e">
        <f>NA()</f>
        <v>#N/A</v>
      </c>
      <c r="G40" s="8">
        <v>6.5</v>
      </c>
      <c r="H40" s="8"/>
      <c r="K40" t="str">
        <f>LEFT('HAVER Q'!A47,4)</f>
        <v>2025</v>
      </c>
      <c r="L40" s="4">
        <f>'HAVER Q'!E47</f>
        <v>1.6171471359041401</v>
      </c>
      <c r="M40" s="4">
        <f>'HAVER Q'!B47</f>
        <v>2.1</v>
      </c>
      <c r="N40" s="4">
        <v>2</v>
      </c>
    </row>
    <row r="41" spans="1:14" x14ac:dyDescent="0.35">
      <c r="K41" t="str">
        <f>LEFT('HAVER Q'!A48,4)</f>
        <v>2025</v>
      </c>
      <c r="L41" s="4">
        <f>'HAVER Q'!E48</f>
        <v>1.7548431610324799</v>
      </c>
      <c r="M41" s="4">
        <f>'HAVER Q'!B48</f>
        <v>1.9</v>
      </c>
      <c r="N41" s="4">
        <v>2</v>
      </c>
    </row>
    <row r="42" spans="1:14" x14ac:dyDescent="0.35">
      <c r="K42" t="str">
        <f>LEFT('HAVER Q'!A49,4)</f>
        <v>2026</v>
      </c>
      <c r="L42" s="4">
        <f>'HAVER Q'!E49</f>
        <v>1.8445870579373</v>
      </c>
      <c r="M42" s="4">
        <f>'HAVER Q'!B49</f>
        <v>1.9</v>
      </c>
      <c r="N42" s="4">
        <v>2</v>
      </c>
    </row>
    <row r="43" spans="1:14" x14ac:dyDescent="0.35">
      <c r="K43" t="str">
        <f>LEFT('HAVER Q'!A50,4)</f>
        <v>2026</v>
      </c>
      <c r="L43" s="4">
        <f>'HAVER Q'!E50</f>
        <v>1.84699557064401</v>
      </c>
      <c r="M43" s="4">
        <f>'HAVER Q'!B50</f>
        <v>1.7</v>
      </c>
      <c r="N43" s="4">
        <v>2</v>
      </c>
    </row>
    <row r="44" spans="1:14" x14ac:dyDescent="0.35">
      <c r="K44" t="str">
        <f>LEFT('HAVER Q'!A51,4)</f>
        <v>2026</v>
      </c>
      <c r="L44" s="4">
        <f>'HAVER Q'!E51</f>
        <v>1.82868284286236</v>
      </c>
      <c r="M44" s="4">
        <f>'HAVER Q'!B51</f>
        <v>1.6</v>
      </c>
      <c r="N44" s="4">
        <v>2</v>
      </c>
    </row>
    <row r="45" spans="1:14" x14ac:dyDescent="0.35">
      <c r="K45" t="str">
        <f>LEFT('HAVER Q'!A52,4)</f>
        <v>2026</v>
      </c>
      <c r="L45" s="4">
        <f>'HAVER Q'!E52</f>
        <v>1.80119159703208</v>
      </c>
      <c r="M45" s="4">
        <f>'HAVER Q'!B52</f>
        <v>1.5</v>
      </c>
      <c r="N45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HAVER M</vt:lpstr>
      <vt:lpstr>HAVER Q</vt:lpstr>
      <vt:lpstr>Chart Data</vt:lpstr>
      <vt:lpstr>Chart 1 - Inflation forecasts</vt:lpstr>
      <vt:lpstr>Chart 2 - Pay</vt:lpstr>
      <vt:lpstr>Chart1</vt:lpstr>
      <vt:lpstr>_DLX1.INC</vt:lpstr>
      <vt:lpstr>_DLX2.INC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Allenby</dc:creator>
  <cp:lastModifiedBy>Edward Allenby</cp:lastModifiedBy>
  <dcterms:created xsi:type="dcterms:W3CDTF">2024-01-18T17:31:45Z</dcterms:created>
  <dcterms:modified xsi:type="dcterms:W3CDTF">2024-01-19T11:41:08Z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2024-01-18T17:32:39Z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58c55601-9a8e-44b4-b51f-e188670bf87a</vt:lpwstr>
  </property>
  <property fmtid="{D5CDD505-2E9C-101B-9397-08002B2CF9AE}" pid="8" name="MSIP_Label_3b83b38b-8e91-4f17-8371-95d3d41e26c0_ContentBits">
    <vt:lpwstr>0</vt:lpwstr>
  </property>
</Properties>
</file>