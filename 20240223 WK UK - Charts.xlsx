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0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2E7FBD15-EF34-4C75-910C-6FDC515FAD42}" xr6:coauthVersionLast="47" xr6:coauthVersionMax="47" xr10:uidLastSave="{00000000-0000-0000-0000-000000000000}"/>
  <bookViews>
    <workbookView xWindow="-120" yWindow="-120" windowWidth="29040" windowHeight="15840" activeTab="1" xr2:uid="{6F4D26FA-8169-4177-BB28-6650CAEBEB98}"/>
  </bookViews>
  <sheets>
    <sheet name="Chart2" sheetId="6" r:id="rId1"/>
    <sheet name="Chart2 (2)" sheetId="7" r:id="rId2"/>
    <sheet name="Chart - gilts" sheetId="4" r:id="rId3"/>
    <sheet name="Chart - market expectations" sheetId="5" r:id="rId4"/>
    <sheet name="Calculations" sheetId="3" r:id="rId5"/>
    <sheet name="HAVERD" sheetId="1" r:id="rId6"/>
    <sheet name="OBR RR Oct23 - Debt interest" sheetId="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_123Graph_A" hidden="1">'[1]Model inputs'!#REF!</definedName>
    <definedName name="__123Graph_AALLTAX" hidden="1">'[2]Forecast data'!#REF!</definedName>
    <definedName name="__123Graph_ACFSINDIV" hidden="1">[3]Data!#REF!</definedName>
    <definedName name="__123Graph_ACHGSPD1" hidden="1">'[4]CHGSPD19.FIN'!$B$10:$B$20</definedName>
    <definedName name="__123Graph_ACHGSPD2" hidden="1">'[4]CHGSPD19.FIN'!$E$11:$E$20</definedName>
    <definedName name="__123Graph_AEFF" hidden="1">'[5]T3 Page 1'!#REF!</definedName>
    <definedName name="__123Graph_AGR14PBF1" hidden="1">'[6]HIS19FIN(A)'!$AF$70:$AF$81</definedName>
    <definedName name="__123Graph_AHOMEVAT" hidden="1">'[2]Forecast data'!#REF!</definedName>
    <definedName name="__123Graph_AIMPORT" hidden="1">'[2]Forecast data'!#REF!</definedName>
    <definedName name="__123Graph_ALBFFIN" hidden="1">'[5]FC Page 1'!#REF!</definedName>
    <definedName name="__123Graph_ALBFFIN2" hidden="1">'[6]HIS19FIN(A)'!$K$59:$Q$59</definedName>
    <definedName name="__123Graph_ALBFHIC2" hidden="1">'[6]HIS19FIN(A)'!$D$59:$J$59</definedName>
    <definedName name="__123Graph_ALCB" hidden="1">'[6]HIS19FIN(A)'!$D$83:$I$83</definedName>
    <definedName name="__123Graph_ANACFIN" hidden="1">'[6]HIS19FIN(A)'!$K$97:$Q$97</definedName>
    <definedName name="__123Graph_ANACHIC" hidden="1">'[6]HIS19FIN(A)'!$D$97:$J$97</definedName>
    <definedName name="__123Graph_APDNUMBERS" hidden="1">'[7]SUMMARY TABLE'!$U$6:$U$49</definedName>
    <definedName name="__123Graph_APDTRENDS" hidden="1">'[7]SUMMARY TABLE'!$S$23:$S$46</definedName>
    <definedName name="__123Graph_APIC" hidden="1">'[5]T3 Page 1'!#REF!</definedName>
    <definedName name="__123Graph_ATOBREV" hidden="1">'[2]Forecast data'!#REF!</definedName>
    <definedName name="__123Graph_ATOTAL" hidden="1">'[2]Forecast data'!#REF!</definedName>
    <definedName name="__123Graph_B" hidden="1">'[1]Model inputs'!#REF!</definedName>
    <definedName name="__123Graph_BCFSINDIV" hidden="1">[3]Data!#REF!</definedName>
    <definedName name="__123Graph_BCFSUK" hidden="1">[3]Data!#REF!</definedName>
    <definedName name="__123Graph_BCHGSPD1" hidden="1">'[4]CHGSPD19.FIN'!$H$10:$H$25</definedName>
    <definedName name="__123Graph_BCHGSPD2" hidden="1">'[4]CHGSPD19.FIN'!$I$11:$I$25</definedName>
    <definedName name="__123Graph_BEFF" hidden="1">'[5]T3 Page 1'!#REF!</definedName>
    <definedName name="__123Graph_BHOMEVAT" hidden="1">'[2]Forecast data'!#REF!</definedName>
    <definedName name="__123Graph_BIMPORT" hidden="1">'[2]Forecast data'!#REF!</definedName>
    <definedName name="__123Graph_BLBF" hidden="1">'[5]T3 Page 1'!#REF!</definedName>
    <definedName name="__123Graph_BLBFFIN" hidden="1">'[5]FC Page 1'!#REF!</definedName>
    <definedName name="__123Graph_BLCB" hidden="1">'[6]HIS19FIN(A)'!$D$79:$I$79</definedName>
    <definedName name="__123Graph_BPDTRENDS" hidden="1">'[7]SUMMARY TABLE'!$T$23:$T$46</definedName>
    <definedName name="__123Graph_BPIC" hidden="1">'[5]T3 Page 1'!#REF!</definedName>
    <definedName name="__123Graph_BTOTAL" hidden="1">'[2]Forecast data'!#REF!</definedName>
    <definedName name="__123Graph_CACT13BUD" hidden="1">'[5]FC Page 1'!#REF!</definedName>
    <definedName name="__123Graph_CCFSINDIV" hidden="1">[3]Data!#REF!</definedName>
    <definedName name="__123Graph_CCFSUK" hidden="1">[3]Data!#REF!</definedName>
    <definedName name="__123Graph_CEFF" hidden="1">'[5]T3 Page 1'!#REF!</definedName>
    <definedName name="__123Graph_CGR14PBF1" hidden="1">'[6]HIS19FIN(A)'!$AK$70:$AK$81</definedName>
    <definedName name="__123Graph_CLBF" hidden="1">'[5]T3 Page 1'!#REF!</definedName>
    <definedName name="__123Graph_CPIC" hidden="1">'[5]T3 Page 1'!#REF!</definedName>
    <definedName name="__123Graph_DACT13BUD" hidden="1">'[5]FC Page 1'!#REF!</definedName>
    <definedName name="__123Graph_DCFSINDIV" hidden="1">[3]Data!#REF!</definedName>
    <definedName name="__123Graph_DCFSUK" hidden="1">[3]Data!#REF!</definedName>
    <definedName name="__123Graph_DEFF" hidden="1">'[5]T3 Page 1'!#REF!</definedName>
    <definedName name="__123Graph_DEFF2" hidden="1">'[5]T3 Page 1'!#REF!</definedName>
    <definedName name="__123Graph_DGR14PBF1" hidden="1">'[6]HIS19FIN(A)'!$AH$70:$AH$81</definedName>
    <definedName name="__123Graph_DLBF" hidden="1">'[5]T3 Page 1'!#REF!</definedName>
    <definedName name="__123Graph_DPIC" hidden="1">'[5]T3 Page 1'!#REF!</definedName>
    <definedName name="__123Graph_EACT13BUD" hidden="1">'[5]FC Page 1'!#REF!</definedName>
    <definedName name="__123Graph_ECFSINDIV" hidden="1">[3]Data!#REF!</definedName>
    <definedName name="__123Graph_ECFSUK" hidden="1">[3]Data!#REF!</definedName>
    <definedName name="__123Graph_EEFF" hidden="1">'[5]T3 Page 1'!#REF!</definedName>
    <definedName name="__123Graph_EEFFHIC" hidden="1">'[5]FC Page 1'!#REF!</definedName>
    <definedName name="__123Graph_EGR14PBF1" hidden="1">'[6]HIS19FIN(A)'!$AG$67:$AG$67</definedName>
    <definedName name="__123Graph_ELBF" hidden="1">'[5]T3 Page 1'!#REF!</definedName>
    <definedName name="__123Graph_EPIC" hidden="1">'[5]T3 Page 1'!#REF!</definedName>
    <definedName name="__123Graph_FACT13BUD" hidden="1">'[5]FC Page 1'!#REF!</definedName>
    <definedName name="__123Graph_FCFSUK" hidden="1">[3]Data!#REF!</definedName>
    <definedName name="__123Graph_FEFF" hidden="1">'[5]T3 Page 1'!#REF!</definedName>
    <definedName name="__123Graph_FEFFHIC" hidden="1">'[5]FC Page 1'!#REF!</definedName>
    <definedName name="__123Graph_FGR14PBF1" hidden="1">'[6]HIS19FIN(A)'!$AH$67:$AH$67</definedName>
    <definedName name="__123Graph_FLBF" hidden="1">'[5]T3 Page 1'!#REF!</definedName>
    <definedName name="__123Graph_FPIC" hidden="1">'[5]T3 Page 1'!#REF!</definedName>
    <definedName name="__123Graph_LBL_ARESID" hidden="1">'[6]HIS19FIN(A)'!$R$3:$W$3</definedName>
    <definedName name="__123Graph_LBL_BRESID" hidden="1">'[6]HIS19FIN(A)'!$R$3:$W$3</definedName>
    <definedName name="__123Graph_X" hidden="1">'[2]Forecast data'!#REF!</definedName>
    <definedName name="__123Graph_XACTHIC" hidden="1">'[5]FC Page 1'!#REF!</definedName>
    <definedName name="__123Graph_XALLTAX" hidden="1">'[2]Forecast data'!#REF!</definedName>
    <definedName name="__123Graph_XCHGSPD1" hidden="1">'[4]CHGSPD19.FIN'!$A$10:$A$25</definedName>
    <definedName name="__123Graph_XCHGSPD2" hidden="1">'[4]CHGSPD19.FIN'!$A$11:$A$25</definedName>
    <definedName name="__123Graph_XEFF" hidden="1">'[5]T3 Page 1'!#REF!</definedName>
    <definedName name="__123Graph_XGR14PBF1" hidden="1">'[6]HIS19FIN(A)'!$AL$70:$AL$81</definedName>
    <definedName name="__123Graph_XHOMEVAT" hidden="1">'[2]Forecast data'!#REF!</definedName>
    <definedName name="__123Graph_XIMPORT" hidden="1">'[2]Forecast data'!#REF!</definedName>
    <definedName name="__123Graph_XLBF" hidden="1">'[5]T3 Page 1'!#REF!</definedName>
    <definedName name="__123Graph_XLBFFIN2" hidden="1">'[6]HIS19FIN(A)'!$K$61:$Q$61</definedName>
    <definedName name="__123Graph_XLBFHIC" hidden="1">'[6]HIS19FIN(A)'!$D$61:$J$61</definedName>
    <definedName name="__123Graph_XLBFHIC2" hidden="1">'[6]HIS19FIN(A)'!$D$61:$J$61</definedName>
    <definedName name="__123Graph_XLCB" hidden="1">'[6]HIS19FIN(A)'!$D$79:$I$79</definedName>
    <definedName name="__123Graph_XNACFIN" hidden="1">'[6]HIS19FIN(A)'!$K$95:$Q$95</definedName>
    <definedName name="__123Graph_XNACHIC" hidden="1">'[6]HIS19FIN(A)'!$D$95:$J$95</definedName>
    <definedName name="__123Graph_XPDNUMBERS" hidden="1">'[7]SUMMARY TABLE'!$Q$6:$Q$49</definedName>
    <definedName name="__123Graph_XPDTRENDS" hidden="1">'[7]SUMMARY TABLE'!$P$23:$P$46</definedName>
    <definedName name="__123Graph_XPIC" hidden="1">'[5]T3 Page 1'!#REF!</definedName>
    <definedName name="__123Graph_XSTAG2ALL" hidden="1">'[2]Forecast data'!#REF!</definedName>
    <definedName name="__123Graph_XSTAG2EC" hidden="1">'[2]Forecast data'!#REF!</definedName>
    <definedName name="__123Graph_XTOBREV" hidden="1">'[2]Forecast data'!#REF!</definedName>
    <definedName name="__123Graph_XTOTAL" hidden="1">'[2]Forecast data'!#REF!</definedName>
    <definedName name="_1__123Graph_ACHART_15" hidden="1">[8]USGC!$B$34:$B$53</definedName>
    <definedName name="_10__123Graph_XCHART_15" hidden="1">[8]USGC!$A$34:$A$53</definedName>
    <definedName name="_123Graph_A_new" hidden="1">'[1]Model inputs'!#REF!</definedName>
    <definedName name="_2__123Graph_BCHART_10" hidden="1">[8]USGC!$L$34:$L$53</definedName>
    <definedName name="_3__123Graph_BCHART_13" hidden="1">[8]USGC!$R$34:$R$53</definedName>
    <definedName name="_4__123Graph_BCHART_15" hidden="1">[8]USGC!$C$34:$C$53</definedName>
    <definedName name="_5__123Graph_CCHART_10" hidden="1">[8]USGC!$F$34:$F$53</definedName>
    <definedName name="_6__123Graph_CCHART_13" hidden="1">[8]USGC!$O$34:$O$53</definedName>
    <definedName name="_7__123Graph_CCHART_15" hidden="1">[8]USGC!$D$34:$D$53</definedName>
    <definedName name="_8__123Graph_XCHART_10" hidden="1">[8]USGC!$A$34:$A$53</definedName>
    <definedName name="_9__123Graph_XCHART_13" hidden="1">[8]USGC!$A$34:$A$53</definedName>
    <definedName name="_DLX1.INC">HAVERD!$A$1:$AL$6</definedName>
    <definedName name="_Fill" hidden="1">'[2]Forecast data'!#REF!</definedName>
    <definedName name="_Key1" hidden="1">#REF!</definedName>
    <definedName name="_Key1_new" hidden="1">#REF!</definedName>
    <definedName name="_Order1" hidden="1">255</definedName>
    <definedName name="_Order2" hidden="1">255</definedName>
    <definedName name="_Regression_Out" hidden="1">#REF!</definedName>
    <definedName name="_Regression_Out_new" hidden="1">#REF!</definedName>
    <definedName name="_Regression_X" hidden="1">#REF!</definedName>
    <definedName name="_Regression_Y" hidden="1">#REF!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_new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ASFD_new" hidden="1">{#N/A,#N/A,FALSE,"TMCOMP96";#N/A,#N/A,FALSE,"MAT96";#N/A,#N/A,FALSE,"FANDA96";#N/A,#N/A,FALSE,"INTRAN96";#N/A,#N/A,FALSE,"NAA9697";#N/A,#N/A,FALSE,"ECWEBB";#N/A,#N/A,FALSE,"MFT96";#N/A,#N/A,FALSE,"CTrecon"}</definedName>
    <definedName name="asdasx" hidden="1">{#N/A,#N/A,FALSE,"TMCOMP96";#N/A,#N/A,FALSE,"MAT96";#N/A,#N/A,FALSE,"FANDA96";#N/A,#N/A,FALSE,"INTRAN96";#N/A,#N/A,FALSE,"NAA9697";#N/A,#N/A,FALSE,"ECWEBB";#N/A,#N/A,FALSE,"MFT96";#N/A,#N/A,FALSE,"CTrecon"}</definedName>
    <definedName name="asdasx_new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_new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dfa_new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asfd_new" hidden="1">{#N/A,#N/A,FALSE,"TMCOMP96";#N/A,#N/A,FALSE,"MAT96";#N/A,#N/A,FALSE,"FANDA96";#N/A,#N/A,FALSE,"INTRAN96";#N/A,#N/A,FALSE,"NAA9697";#N/A,#N/A,FALSE,"ECWEBB";#N/A,#N/A,FALSE,"MFT96";#N/A,#N/A,FALSE,"CTrecon"}</definedName>
    <definedName name="BLPH1" hidden="1">'[9]4.6 ten year bonds'!$A$4</definedName>
    <definedName name="BLPH2" hidden="1">'[9]4.6 ten year bonds'!$D$4</definedName>
    <definedName name="BLPH3" hidden="1">'[9]4.6 ten year bonds'!$G$4</definedName>
    <definedName name="BLPH4" hidden="1">'[9]4.6 ten year bonds'!$J$4</definedName>
    <definedName name="BLPH5" hidden="1">'[9]4.6 ten year bonds'!$M$4</definedName>
    <definedName name="dfg" hidden="1">{#N/A,#N/A,FALSE,"TMCOMP96";#N/A,#N/A,FALSE,"MAT96";#N/A,#N/A,FALSE,"FANDA96";#N/A,#N/A,FALSE,"INTRAN96";#N/A,#N/A,FALSE,"NAA9697";#N/A,#N/A,FALSE,"ECWEBB";#N/A,#N/A,FALSE,"MFT96";#N/A,#N/A,FALSE,"CTrecon"}</definedName>
    <definedName name="dfg_new" hidden="1">{#N/A,#N/A,FALSE,"TMCOMP96";#N/A,#N/A,FALSE,"MAT96";#N/A,#N/A,FALSE,"FANDA96";#N/A,#N/A,FALSE,"INTRAN96";#N/A,#N/A,FALSE,"NAA9697";#N/A,#N/A,FALSE,"ECWEBB";#N/A,#N/A,FALSE,"MFT96";#N/A,#N/A,FALSE,"CTrecon"}</definedName>
    <definedName name="dfgae" hidden="1">{#N/A,#N/A,FALSE,"TMCOMP96";#N/A,#N/A,FALSE,"MAT96";#N/A,#N/A,FALSE,"FANDA96";#N/A,#N/A,FALSE,"INTRAN96";#N/A,#N/A,FALSE,"NAA9697";#N/A,#N/A,FALSE,"ECWEBB";#N/A,#N/A,FALSE,"MFT96";#N/A,#N/A,FALSE,"CTrecon"}</definedName>
    <definedName name="dfgae_new" hidden="1">{#N/A,#N/A,FALSE,"TMCOMP96";#N/A,#N/A,FALSE,"MAT96";#N/A,#N/A,FALSE,"FANDA96";#N/A,#N/A,FALSE,"INTRAN96";#N/A,#N/A,FALSE,"NAA9697";#N/A,#N/A,FALSE,"ECWEBB";#N/A,#N/A,FALSE,"MFT96";#N/A,#N/A,FALSE,"CTrecon"}</definedName>
    <definedName name="dfrgfdgs" hidden="1">{#N/A,#N/A,FALSE,"TMCOMP96";#N/A,#N/A,FALSE,"MAT96";#N/A,#N/A,FALSE,"FANDA96";#N/A,#N/A,FALSE,"INTRAN96";#N/A,#N/A,FALSE,"NAA9697";#N/A,#N/A,FALSE,"ECWEBB";#N/A,#N/A,FALSE,"MFT96";#N/A,#N/A,FALSE,"CTrecon"}</definedName>
    <definedName name="dfrgfdgs_new" hidden="1">{#N/A,#N/A,FALSE,"TMCOMP96";#N/A,#N/A,FALSE,"MAT96";#N/A,#N/A,FALSE,"FANDA96";#N/A,#N/A,FALSE,"INTRAN96";#N/A,#N/A,FALSE,"NAA9697";#N/A,#N/A,FALSE,"ECWEBB";#N/A,#N/A,FALSE,"MFT96";#N/A,#N/A,FALSE,"CTrecon"}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gsgf_new" hidden="1">{#N/A,#N/A,FALSE,"TMCOMP96";#N/A,#N/A,FALSE,"MAT96";#N/A,#N/A,FALSE,"FANDA96";#N/A,#N/A,FALSE,"INTRAN96";#N/A,#N/A,FALSE,"NAA9697";#N/A,#N/A,FALSE,"ECWEBB";#N/A,#N/A,FALSE,"MFT96";#N/A,#N/A,FALSE,"CTrecon"}</definedName>
    <definedName name="dgsgf2" hidden="1">{#N/A,#N/A,FALSE,"TMCOMP96";#N/A,#N/A,FALSE,"MAT96";#N/A,#N/A,FALSE,"FANDA96";#N/A,#N/A,FALSE,"INTRAN96";#N/A,#N/A,FALSE,"NAA9697";#N/A,#N/A,FALSE,"ECWEBB";#N/A,#N/A,FALSE,"MFT96";#N/A,#N/A,FALSE,"CTrecon"}</definedName>
    <definedName name="dgsgf2_new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sfgdfg" hidden="1">{#N/A,#N/A,FALSE,"TMCOMP96";#N/A,#N/A,FALSE,"MAT96";#N/A,#N/A,FALSE,"FANDA96";#N/A,#N/A,FALSE,"INTRAN96";#N/A,#N/A,FALSE,"NAA9697";#N/A,#N/A,FALSE,"ECWEBB";#N/A,#N/A,FALSE,"MFT96";#N/A,#N/A,FALSE,"CTrecon"}</definedName>
    <definedName name="dsfgdsfgfdsg" hidden="1">{#N/A,#N/A,FALSE,"TMCOMP96";#N/A,#N/A,FALSE,"MAT96";#N/A,#N/A,FALSE,"FANDA96";#N/A,#N/A,FALSE,"INTRAN96";#N/A,#N/A,FALSE,"NAA9697";#N/A,#N/A,FALSE,"ECWEBB";#N/A,#N/A,FALSE,"MFT96";#N/A,#N/A,FALSE,"CTrecon"}</definedName>
    <definedName name="dsfgdsg" hidden="1">{#N/A,#N/A,FALSE,"TMCOMP96";#N/A,#N/A,FALSE,"MAT96";#N/A,#N/A,FALSE,"FANDA96";#N/A,#N/A,FALSE,"INTRAN96";#N/A,#N/A,FALSE,"NAA9697";#N/A,#N/A,FALSE,"ECWEBB";#N/A,#N/A,FALSE,"MFT96";#N/A,#N/A,FALSE,"CTrecon"}</definedName>
    <definedName name="dsfgfg" hidden="1">{#N/A,#N/A,FALSE,"TMCOMP96";#N/A,#N/A,FALSE,"MAT96";#N/A,#N/A,FALSE,"FANDA96";#N/A,#N/A,FALSE,"INTRAN96";#N/A,#N/A,FALSE,"NAA9697";#N/A,#N/A,FALSE,"ECWEBB";#N/A,#N/A,FALSE,"MFT96";#N/A,#N/A,FALSE,"CTrecon"}</definedName>
    <definedName name="EFO" hidden="1">'[2]Forecast data'!#REF!</definedName>
    <definedName name="ExtraProfiles" hidden="1">#REF!</definedName>
    <definedName name="ExtraProfiles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dgfgfd" hidden="1">{#N/A,#N/A,FALSE,"TMCOMP96";#N/A,#N/A,FALSE,"MAT96";#N/A,#N/A,FALSE,"FANDA96";#N/A,#N/A,FALSE,"INTRAN96";#N/A,#N/A,FALSE,"NAA9697";#N/A,#N/A,FALSE,"ECWEBB";#N/A,#N/A,FALSE,"MFT96";#N/A,#N/A,FALSE,"CTrecon"}</definedName>
    <definedName name="fdsgfdg" hidden="1">#REF!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dd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fgg" hidden="1">{#N/A,#N/A,FALSE,"TMCOMP96";#N/A,#N/A,FALSE,"MAT96";#N/A,#N/A,FALSE,"FANDA96";#N/A,#N/A,FALSE,"INTRAN96";#N/A,#N/A,FALSE,"NAA9697";#N/A,#N/A,FALSE,"ECWEBB";#N/A,#N/A,FALSE,"MFT96";#N/A,#N/A,FALSE,"CTrecon"}</definedName>
    <definedName name="fghfgh" hidden="1">{#N/A,#N/A,FALSE,"TMCOMP96";#N/A,#N/A,FALSE,"MAT96";#N/A,#N/A,FALSE,"FANDA96";#N/A,#N/A,FALSE,"INTRAN96";#N/A,#N/A,FALSE,"NAA9697";#N/A,#N/A,FALSE,"ECWEBB";#N/A,#N/A,FALSE,"MFT96";#N/A,#N/A,FALSE,"CTrecon"}</definedName>
    <definedName name="fyu" hidden="1">'[2]Forecast data'!#REF!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H" hidden="1">'[1]Model inputs'!#REF!</definedName>
    <definedName name="HTML_CodePage" hidden="1">1</definedName>
    <definedName name="HTML_Control" hidden="1">{"'Claimants'!$B$2:$E$38"}</definedName>
    <definedName name="HTML_Description" hidden="1">"Recipients of Attendance Allowance 1971-2000"</definedName>
    <definedName name="HTML_Email" hidden="1">""</definedName>
    <definedName name="HTML_Header" hidden="1">""</definedName>
    <definedName name="HTML_LastUpdate" hidden="1">"22/08/2000"</definedName>
    <definedName name="HTML_LineAfter" hidden="1">TRUE</definedName>
    <definedName name="HTML_LineBefore" hidden="1">TRUE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"I:\users\personal\shared\Andrew Leicester\Web\aa.htm"</definedName>
    <definedName name="HTML_Title" hidden="1">"Fiscal Facts: Attendance Allowance"</definedName>
    <definedName name="imf" hidden="1">#REF!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n" hidden="1">{#N/A,#N/A,FALSE,"TMCOMP96";#N/A,#N/A,FALSE,"MAT96";#N/A,#N/A,FALSE,"FANDA96";#N/A,#N/A,FALSE,"INTRAN96";#N/A,#N/A,FALSE,"NAA9697";#N/A,#N/A,FALSE,"ECWEBB";#N/A,#N/A,FALSE,"MFT96";#N/A,#N/A,FALSE,"CTrecon"}</definedName>
    <definedName name="new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op" hidden="1">[10]Population!#REF!</definedName>
    <definedName name="Population" hidden="1">#REF!</definedName>
    <definedName name="pp" hidden="1">'[5]T3 Page 1'!#REF!</definedName>
    <definedName name="Prodtest" hidden="1">'[5]T3 Page 1'!#REF!</definedName>
    <definedName name="Profiles" hidden="1">#REF!</definedName>
    <definedName name="Projections" hidden="1">#REF!</definedName>
    <definedName name="Results" hidden="1">[11]UK99!$A$1:$A$1</definedName>
    <definedName name="S" hidden="1">'[1]Model inputs'!#REF!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dfg" hidden="1">{#N/A,#N/A,FALSE,"TMCOMP96";#N/A,#N/A,FALSE,"MAT96";#N/A,#N/A,FALSE,"FANDA96";#N/A,#N/A,FALSE,"INTRAN96";#N/A,#N/A,FALSE,"NAA9697";#N/A,#N/A,FALSE,"ECWEBB";#N/A,#N/A,FALSE,"MFT96";#N/A,#N/A,FALSE,"CTrecon"}</definedName>
    <definedName name="sdfgd" hidden="1">#REF!</definedName>
    <definedName name="sdfgdfg" hidden="1">{#N/A,#N/A,FALSE,"TMCOMP96";#N/A,#N/A,FALSE,"MAT96";#N/A,#N/A,FALSE,"FANDA96";#N/A,#N/A,FALSE,"INTRAN96";#N/A,#N/A,FALSE,"NAA9697";#N/A,#N/A,FALSE,"ECWEBB";#N/A,#N/A,FALSE,"MFT96";#N/A,#N/A,FALSE,"CTrecon"}</definedName>
    <definedName name="sdfgds" hidden="1">{#N/A,#N/A,FALSE,"TMCOMP96";#N/A,#N/A,FALSE,"MAT96";#N/A,#N/A,FALSE,"FANDA96";#N/A,#N/A,FALSE,"INTRAN96";#N/A,#N/A,FALSE,"NAA9697";#N/A,#N/A,FALSE,"ECWEBB";#N/A,#N/A,FALSE,"MFT96";#N/A,#N/A,FALSE,"CTrecon"}</definedName>
    <definedName name="sdfgfdg" hidden="1">#REF!</definedName>
    <definedName name="sdgshdg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T4.9i" hidden="1">{#N/A,#N/A,FALSE,"TMCOMP96";#N/A,#N/A,FALSE,"MAT96";#N/A,#N/A,FALSE,"FANDA96";#N/A,#N/A,FALSE,"INTRAN96";#N/A,#N/A,FALSE,"NAA9697";#N/A,#N/A,FALSE,"ECWEBB";#N/A,#N/A,FALSE,"MFT96";#N/A,#N/A,FALSE,"CTrecon"}</definedName>
    <definedName name="T4.9j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Unused" hidden="1">'[12]SUMMARY TABLE'!$S$23:$S$46</definedName>
    <definedName name="Unused4" hidden="1">'[12]SUMMARY TABLE'!$T$23:$T$46</definedName>
    <definedName name="Unused5" hidden="1">'[12]SUMMARY TABLE'!$P$23:$P$46</definedName>
    <definedName name="Unused7" hidden="1">'[12]SUMMARY TABLE'!$P$23:$P$46</definedName>
    <definedName name="Unussed12" hidden="1">{#N/A,#N/A,FALSE,"TMCOMP96";#N/A,#N/A,FALSE,"MAT96";#N/A,#N/A,FALSE,"FANDA96";#N/A,#N/A,FALSE,"INTRAN96";#N/A,#N/A,FALSE,"NAA9697";#N/A,#N/A,FALSE,"ECWEBB";#N/A,#N/A,FALSE,"MFT96";#N/A,#N/A,FALSE,"CTrecon"}</definedName>
    <definedName name="Unusued11" hidden="1">{#N/A,#N/A,FALSE,"TMCOMP96";#N/A,#N/A,FALSE,"MAT96";#N/A,#N/A,FALSE,"FANDA96";#N/A,#N/A,FALSE,"INTRAN96";#N/A,#N/A,FALSE,"NAA9697";#N/A,#N/A,FALSE,"ECWEBB";#N/A,#N/A,FALSE,"MFT96";#N/A,#N/A,FALSE,"CTrecon"}</definedName>
    <definedName name="Unusued2" hidden="1">'[12]SUMMARY TABLE'!$S$23:$S$46</definedName>
    <definedName name="Unusued24" hidden="1">#REF!</definedName>
    <definedName name="Unusued3" hidden="1">'[12]SUMMARY TABLE'!$T$23:$T$46</definedName>
    <definedName name="Unusued5" hidden="1">'[12]SUMMARY TABLE'!$Q$6:$Q$49</definedName>
    <definedName name="Unusued8" hidden="1">{#N/A,#N/A,FALSE,"TMCOMP96";#N/A,#N/A,FALSE,"MAT96";#N/A,#N/A,FALSE,"FANDA96";#N/A,#N/A,FALSE,"INTRAN96";#N/A,#N/A,FALSE,"NAA9697";#N/A,#N/A,FALSE,"ECWEBB";#N/A,#N/A,FALSE,"MFT96";#N/A,#N/A,FALSE,"CTrecon"}</definedName>
    <definedName name="werer" hidden="1">{#N/A,#N/A,FALSE,"TMCOMP96";#N/A,#N/A,FALSE,"MAT96";#N/A,#N/A,FALSE,"FANDA96";#N/A,#N/A,FALSE,"INTRAN96";#N/A,#N/A,FALSE,"NAA9697";#N/A,#N/A,FALSE,"ECWEBB";#N/A,#N/A,FALSE,"MFT96";#N/A,#N/A,FALSE,"CTrecon"}</definedName>
    <definedName name="werewrw" hidden="1">{#N/A,#N/A,FALSE,"TMCOMP96";#N/A,#N/A,FALSE,"MAT96";#N/A,#N/A,FALSE,"FANDA96";#N/A,#N/A,FALSE,"INTRAN96";#N/A,#N/A,FALSE,"NAA9697";#N/A,#N/A,FALSE,"ECWEBB";#N/A,#N/A,FALSE,"MFT96";#N/A,#N/A,FALSE,"CTrecon"}</definedName>
    <definedName name="werw" hidden="1">{#N/A,#N/A,FALSE,"TMCOMP96";#N/A,#N/A,FALSE,"MAT96";#N/A,#N/A,FALSE,"FANDA96";#N/A,#N/A,FALSE,"INTRAN96";#N/A,#N/A,FALSE,"NAA9697";#N/A,#N/A,FALSE,"ECWEBB";#N/A,#N/A,FALSE,"MFT96";#N/A,#N/A,FALSE,"CTrecon"}</definedName>
    <definedName name="wrn.Dint96." hidden="1">{"Debt interest",#N/A,FALSE,"DINT96"}</definedName>
    <definedName name="wrn.National._.Debt." hidden="1">{"Debt interest",#N/A,FALSE,"DINT 2000"}</definedName>
    <definedName name="wrn.table1." hidden="1">{#N/A,#N/A,FALSE,"CGBR95C"}</definedName>
    <definedName name="wrn.table2." hidden="1">{#N/A,#N/A,FALSE,"CGBR95C"}</definedName>
    <definedName name="wrn.tablea." hidden="1">{#N/A,#N/A,FALSE,"CGBR95C"}</definedName>
    <definedName name="wrn.tableb." hidden="1">{#N/A,#N/A,FALSE,"CGBR95C"}</definedName>
    <definedName name="wrn.tableq." hidden="1">{#N/A,#N/A,FALSE,"CGBR95C"}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1" i="1" l="1"/>
  <c r="D311" i="1"/>
  <c r="E3" i="3" s="1" a="1"/>
  <c r="E4" i="3" s="1"/>
  <c r="E311" i="1"/>
  <c r="F311" i="1"/>
  <c r="G311" i="1"/>
  <c r="H311" i="1"/>
  <c r="I311" i="1"/>
  <c r="K3" i="3" s="1" a="1"/>
  <c r="K3" i="3" s="1"/>
  <c r="J311" i="1"/>
  <c r="K311" i="1"/>
  <c r="L311" i="1"/>
  <c r="M311" i="1"/>
  <c r="B311" i="1"/>
  <c r="O5" i="3"/>
  <c r="O6" i="3"/>
  <c r="O7" i="3"/>
  <c r="O8" i="3"/>
  <c r="O9" i="3"/>
  <c r="O4" i="3"/>
  <c r="C310" i="1"/>
  <c r="D310" i="1"/>
  <c r="E310" i="1"/>
  <c r="F310" i="1"/>
  <c r="G310" i="1"/>
  <c r="H310" i="1"/>
  <c r="I310" i="1"/>
  <c r="J310" i="1"/>
  <c r="K310" i="1"/>
  <c r="L310" i="1"/>
  <c r="M310" i="1"/>
  <c r="B310" i="1"/>
  <c r="C317" i="1"/>
  <c r="A320" i="1" s="1"/>
  <c r="J3" i="3" l="1" a="1"/>
  <c r="J3" i="3" s="1"/>
  <c r="K7" i="3"/>
  <c r="K5" i="3"/>
  <c r="K4" i="3"/>
  <c r="K10" i="3" s="1"/>
  <c r="K6" i="3"/>
  <c r="E7" i="3"/>
  <c r="E3" i="3"/>
  <c r="E8" i="3"/>
  <c r="E6" i="3"/>
  <c r="E5" i="3"/>
  <c r="D3" i="3" a="1"/>
  <c r="D3" i="3" s="1"/>
  <c r="D10" i="3" s="1"/>
  <c r="J6" i="3"/>
  <c r="D317" i="1"/>
  <c r="C308" i="1"/>
  <c r="D308" i="1"/>
  <c r="E308" i="1"/>
  <c r="F308" i="1"/>
  <c r="G308" i="1"/>
  <c r="C309" i="1"/>
  <c r="D309" i="1"/>
  <c r="E309" i="1"/>
  <c r="F309" i="1"/>
  <c r="G309" i="1"/>
  <c r="H309" i="1"/>
  <c r="I309" i="1"/>
  <c r="J309" i="1"/>
  <c r="K309" i="1"/>
  <c r="L309" i="1"/>
  <c r="M309" i="1"/>
  <c r="B309" i="1"/>
  <c r="J7" i="3" l="1"/>
  <c r="E10" i="3"/>
  <c r="J4" i="3"/>
  <c r="J10" i="3" s="1"/>
  <c r="J5" i="3"/>
  <c r="I3" i="3" a="1"/>
  <c r="C3" i="3" a="1"/>
  <c r="G312" i="1"/>
  <c r="F312" i="1"/>
  <c r="E312" i="1"/>
  <c r="D312" i="1"/>
  <c r="C312" i="1"/>
  <c r="S4" i="3"/>
  <c r="H308" i="1"/>
  <c r="I308" i="1"/>
  <c r="I312" i="1" s="1"/>
  <c r="J308" i="1"/>
  <c r="J312" i="1" s="1"/>
  <c r="K308" i="1"/>
  <c r="K312" i="1" s="1"/>
  <c r="L308" i="1"/>
  <c r="L312" i="1" s="1"/>
  <c r="M308" i="1"/>
  <c r="M312" i="1" s="1"/>
  <c r="H312" i="1" l="1"/>
  <c r="H3" i="3" a="1"/>
  <c r="C5" i="3"/>
  <c r="C8" i="3"/>
  <c r="C7" i="3"/>
  <c r="C4" i="3"/>
  <c r="C3" i="3"/>
  <c r="C6" i="3"/>
  <c r="I3" i="3"/>
  <c r="I5" i="3"/>
  <c r="I7" i="3"/>
  <c r="I6" i="3"/>
  <c r="I4" i="3"/>
  <c r="T4" i="3"/>
  <c r="S3" i="3"/>
  <c r="P5" i="3"/>
  <c r="P8" i="3"/>
  <c r="P4" i="3"/>
  <c r="O3" i="3"/>
  <c r="J22" i="2"/>
  <c r="H22" i="2"/>
  <c r="H20" i="2"/>
  <c r="H21" i="2" s="1"/>
  <c r="H19" i="2"/>
  <c r="H18" i="2"/>
  <c r="J17" i="2"/>
  <c r="H17" i="2"/>
  <c r="J12" i="2"/>
  <c r="H12" i="2"/>
  <c r="H11" i="2"/>
  <c r="H10" i="2"/>
  <c r="H9" i="2"/>
  <c r="H8" i="2"/>
  <c r="J7" i="2"/>
  <c r="H7" i="2"/>
  <c r="H5" i="2"/>
  <c r="H6" i="2" s="1"/>
  <c r="H4" i="2"/>
  <c r="H3" i="2"/>
  <c r="H3" i="3" l="1"/>
  <c r="S5" i="3" s="1"/>
  <c r="T5" i="3" s="1"/>
  <c r="V5" i="3" s="1"/>
  <c r="H7" i="3"/>
  <c r="S9" i="3" s="1"/>
  <c r="H5" i="3"/>
  <c r="H6" i="3"/>
  <c r="S8" i="3" s="1"/>
  <c r="H4" i="3"/>
  <c r="S6" i="3" s="1"/>
  <c r="T6" i="3" s="1"/>
  <c r="C10" i="3"/>
  <c r="I10" i="3"/>
  <c r="S7" i="3"/>
  <c r="P9" i="3"/>
  <c r="P6" i="3"/>
  <c r="P7" i="3"/>
  <c r="B308" i="1"/>
  <c r="T9" i="3" l="1"/>
  <c r="T8" i="3"/>
  <c r="V8" i="3" s="1"/>
  <c r="T7" i="3"/>
  <c r="V7" i="3" s="1"/>
  <c r="H10" i="3"/>
  <c r="V9" i="3"/>
  <c r="V6" i="3"/>
  <c r="B312" i="1"/>
  <c r="B3" i="3" a="1"/>
  <c r="B3" i="3" l="1"/>
  <c r="B4" i="3"/>
  <c r="B7" i="3"/>
  <c r="B5" i="3"/>
  <c r="B8" i="3"/>
  <c r="B6" i="3"/>
  <c r="B10" i="3" l="1"/>
  <c r="D11" i="3"/>
  <c r="C11" i="3"/>
  <c r="K11" i="3" l="1"/>
  <c r="E11" i="3"/>
  <c r="I11" i="3"/>
  <c r="J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Goodwin</author>
  </authors>
  <commentList>
    <comment ref="A308" authorId="0" shapeId="0" xr:uid="{326C0AD9-9B43-48EE-BE78-A81889162CD3}">
      <text>
        <r>
          <rPr>
            <b/>
            <sz val="9"/>
            <color indexed="81"/>
            <rFont val="Tahoma"/>
            <family val="2"/>
          </rPr>
          <t>Andrew Goodwin:</t>
        </r>
        <r>
          <rPr>
            <sz val="9"/>
            <color indexed="81"/>
            <rFont val="Tahoma"/>
            <family val="2"/>
          </rPr>
          <t xml:space="preserve">
AS on 22/11
10 days to 10/10 = 6 weeks before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<sst xmlns="http://schemas.openxmlformats.org/spreadsheetml/2006/main" count="452" uniqueCount="386">
  <si>
    <t>T112G2@INTDAILY</t>
  </si>
  <si>
    <t>T112GA@INTDAILY</t>
  </si>
  <si>
    <t>20230101 !D</t>
  </si>
  <si>
    <t>20230102</t>
  </si>
  <si>
    <t>.DTLM</t>
  </si>
  <si>
    <t>.LSOURCE</t>
  </si>
  <si>
    <t>.TN</t>
  </si>
  <si>
    <t>.T1</t>
  </si>
  <si>
    <t>.DESC</t>
  </si>
  <si>
    <t>London Stock Exchange Group</t>
  </si>
  <si>
    <t>26-Jan-1994</t>
  </si>
  <si>
    <t>UK: 2-Yr Government Bond Yield (%)</t>
  </si>
  <si>
    <t>UK: 10-Yr Government Bond Yield (%)</t>
  </si>
  <si>
    <t>20230103</t>
  </si>
  <si>
    <t>20230104</t>
  </si>
  <si>
    <t>20230105</t>
  </si>
  <si>
    <t>20230106</t>
  </si>
  <si>
    <t>20230109</t>
  </si>
  <si>
    <t>20230110</t>
  </si>
  <si>
    <t>20230111</t>
  </si>
  <si>
    <t>20230112</t>
  </si>
  <si>
    <t>20230113</t>
  </si>
  <si>
    <t>20230116</t>
  </si>
  <si>
    <t>20230117</t>
  </si>
  <si>
    <t>20230118</t>
  </si>
  <si>
    <t>20230119</t>
  </si>
  <si>
    <t>20230120</t>
  </si>
  <si>
    <t>20230123</t>
  </si>
  <si>
    <t>20230124</t>
  </si>
  <si>
    <t>20230125</t>
  </si>
  <si>
    <t>20230126</t>
  </si>
  <si>
    <t>20230127</t>
  </si>
  <si>
    <t>20230130</t>
  </si>
  <si>
    <t>20230131</t>
  </si>
  <si>
    <t>20230201</t>
  </si>
  <si>
    <t>20230202</t>
  </si>
  <si>
    <t>20230203</t>
  </si>
  <si>
    <t>20230206</t>
  </si>
  <si>
    <t>20230207</t>
  </si>
  <si>
    <t>20230208</t>
  </si>
  <si>
    <t>20230209</t>
  </si>
  <si>
    <t>20230210</t>
  </si>
  <si>
    <t>20230213</t>
  </si>
  <si>
    <t>20230214</t>
  </si>
  <si>
    <t>20230215</t>
  </si>
  <si>
    <t>20230216</t>
  </si>
  <si>
    <t>20230217</t>
  </si>
  <si>
    <t>20230220</t>
  </si>
  <si>
    <t>20230221</t>
  </si>
  <si>
    <t>20230222</t>
  </si>
  <si>
    <t>20230223</t>
  </si>
  <si>
    <t>20230224</t>
  </si>
  <si>
    <t>20230227</t>
  </si>
  <si>
    <t>20230228</t>
  </si>
  <si>
    <t>20230301</t>
  </si>
  <si>
    <t>20230302</t>
  </si>
  <si>
    <t>20230303</t>
  </si>
  <si>
    <t>20230306</t>
  </si>
  <si>
    <t>20230307</t>
  </si>
  <si>
    <t>20230308</t>
  </si>
  <si>
    <t>20230309</t>
  </si>
  <si>
    <t>20230310</t>
  </si>
  <si>
    <t>20230313</t>
  </si>
  <si>
    <t>20230314</t>
  </si>
  <si>
    <t>20230315</t>
  </si>
  <si>
    <t>20230316</t>
  </si>
  <si>
    <t>20230317</t>
  </si>
  <si>
    <t>20230320</t>
  </si>
  <si>
    <t>20230321</t>
  </si>
  <si>
    <t>20230322</t>
  </si>
  <si>
    <t>20230323</t>
  </si>
  <si>
    <t>20230324</t>
  </si>
  <si>
    <t>20230327</t>
  </si>
  <si>
    <t>20230328</t>
  </si>
  <si>
    <t>20230329</t>
  </si>
  <si>
    <t>20230330</t>
  </si>
  <si>
    <t>20230331</t>
  </si>
  <si>
    <t>20230403</t>
  </si>
  <si>
    <t>20230404</t>
  </si>
  <si>
    <t>20230405</t>
  </si>
  <si>
    <t>20230406</t>
  </si>
  <si>
    <t>20230407</t>
  </si>
  <si>
    <t>20230410</t>
  </si>
  <si>
    <t>20230411</t>
  </si>
  <si>
    <t>20230412</t>
  </si>
  <si>
    <t>20230413</t>
  </si>
  <si>
    <t>20230414</t>
  </si>
  <si>
    <t>20230417</t>
  </si>
  <si>
    <t>20230418</t>
  </si>
  <si>
    <t>20230419</t>
  </si>
  <si>
    <t>20230420</t>
  </si>
  <si>
    <t>20230421</t>
  </si>
  <si>
    <t>20230424</t>
  </si>
  <si>
    <t>20230425</t>
  </si>
  <si>
    <t>20230426</t>
  </si>
  <si>
    <t>20230427</t>
  </si>
  <si>
    <t>20230428</t>
  </si>
  <si>
    <t>20230501</t>
  </si>
  <si>
    <t>20230502</t>
  </si>
  <si>
    <t>20230503</t>
  </si>
  <si>
    <t>20230504</t>
  </si>
  <si>
    <t>20230505</t>
  </si>
  <si>
    <t>20230508</t>
  </si>
  <si>
    <t>20230509</t>
  </si>
  <si>
    <t>20230510</t>
  </si>
  <si>
    <t>20230511</t>
  </si>
  <si>
    <t>20230512</t>
  </si>
  <si>
    <t>20230515</t>
  </si>
  <si>
    <t>20230516</t>
  </si>
  <si>
    <t>20230517</t>
  </si>
  <si>
    <t>20230518</t>
  </si>
  <si>
    <t>20230519</t>
  </si>
  <si>
    <t>20230522</t>
  </si>
  <si>
    <t>20230523</t>
  </si>
  <si>
    <t>20230524</t>
  </si>
  <si>
    <t>20230525</t>
  </si>
  <si>
    <t>20230526</t>
  </si>
  <si>
    <t>20230529</t>
  </si>
  <si>
    <t>20230530</t>
  </si>
  <si>
    <t>20230531</t>
  </si>
  <si>
    <t>20230601</t>
  </si>
  <si>
    <t>20230602</t>
  </si>
  <si>
    <t>20230605</t>
  </si>
  <si>
    <t>20230606</t>
  </si>
  <si>
    <t>20230607</t>
  </si>
  <si>
    <t>20230608</t>
  </si>
  <si>
    <t>20230609</t>
  </si>
  <si>
    <t>20230612</t>
  </si>
  <si>
    <t>20230613</t>
  </si>
  <si>
    <t>20230614</t>
  </si>
  <si>
    <t>20230615</t>
  </si>
  <si>
    <t>20230616</t>
  </si>
  <si>
    <t>20230619</t>
  </si>
  <si>
    <t>20230620</t>
  </si>
  <si>
    <t>20230621</t>
  </si>
  <si>
    <t>20230622</t>
  </si>
  <si>
    <t>20230623</t>
  </si>
  <si>
    <t>20230626</t>
  </si>
  <si>
    <t>20230627</t>
  </si>
  <si>
    <t>20230628</t>
  </si>
  <si>
    <t>20230629</t>
  </si>
  <si>
    <t>20230630</t>
  </si>
  <si>
    <t>20230703</t>
  </si>
  <si>
    <t>20230704</t>
  </si>
  <si>
    <t>20230705</t>
  </si>
  <si>
    <t>20230706</t>
  </si>
  <si>
    <t>20230707</t>
  </si>
  <si>
    <t>20230710</t>
  </si>
  <si>
    <t>20230711</t>
  </si>
  <si>
    <t>20230712</t>
  </si>
  <si>
    <t>20230713</t>
  </si>
  <si>
    <t>20230714</t>
  </si>
  <si>
    <t>20230717</t>
  </si>
  <si>
    <t>20230718</t>
  </si>
  <si>
    <t>20230719</t>
  </si>
  <si>
    <t>20230720</t>
  </si>
  <si>
    <t>20230721</t>
  </si>
  <si>
    <t>20230724</t>
  </si>
  <si>
    <t>20230725</t>
  </si>
  <si>
    <t>20230726</t>
  </si>
  <si>
    <t>20230727</t>
  </si>
  <si>
    <t>20230728</t>
  </si>
  <si>
    <t>20230731</t>
  </si>
  <si>
    <t>20230801</t>
  </si>
  <si>
    <t>20230802</t>
  </si>
  <si>
    <t>20230803</t>
  </si>
  <si>
    <t>20230804</t>
  </si>
  <si>
    <t>20230807</t>
  </si>
  <si>
    <t>20230808</t>
  </si>
  <si>
    <t>20230809</t>
  </si>
  <si>
    <t>20230810</t>
  </si>
  <si>
    <t>20230811</t>
  </si>
  <si>
    <t>20230814</t>
  </si>
  <si>
    <t>20230815</t>
  </si>
  <si>
    <t>20230816</t>
  </si>
  <si>
    <t>20230817</t>
  </si>
  <si>
    <t>20230818</t>
  </si>
  <si>
    <t>20230821</t>
  </si>
  <si>
    <t>20230822</t>
  </si>
  <si>
    <t>20230823</t>
  </si>
  <si>
    <t>20230824</t>
  </si>
  <si>
    <t>20230825</t>
  </si>
  <si>
    <t>20230828</t>
  </si>
  <si>
    <t>20230829</t>
  </si>
  <si>
    <t>20230830</t>
  </si>
  <si>
    <t>20230831</t>
  </si>
  <si>
    <t>20230901</t>
  </si>
  <si>
    <t>20230904</t>
  </si>
  <si>
    <t>20230905</t>
  </si>
  <si>
    <t>20230906</t>
  </si>
  <si>
    <t>20230907</t>
  </si>
  <si>
    <t>20230908</t>
  </si>
  <si>
    <t>20230911</t>
  </si>
  <si>
    <t>20230912</t>
  </si>
  <si>
    <t>20230913</t>
  </si>
  <si>
    <t>20230914</t>
  </si>
  <si>
    <t>20230915</t>
  </si>
  <si>
    <t>20230918</t>
  </si>
  <si>
    <t>20230919</t>
  </si>
  <si>
    <t>20230920</t>
  </si>
  <si>
    <t>20230921</t>
  </si>
  <si>
    <t>20230922</t>
  </si>
  <si>
    <t>20230925</t>
  </si>
  <si>
    <t>20230926</t>
  </si>
  <si>
    <t>20230927</t>
  </si>
  <si>
    <t>20230928</t>
  </si>
  <si>
    <t>20230929</t>
  </si>
  <si>
    <t>20231002</t>
  </si>
  <si>
    <t>20231003</t>
  </si>
  <si>
    <t>20231004</t>
  </si>
  <si>
    <t>20231005</t>
  </si>
  <si>
    <t>20231006</t>
  </si>
  <si>
    <t>20231009</t>
  </si>
  <si>
    <t>20231010</t>
  </si>
  <si>
    <t>20231011</t>
  </si>
  <si>
    <t>20231012</t>
  </si>
  <si>
    <t>20231013</t>
  </si>
  <si>
    <t>20231016</t>
  </si>
  <si>
    <t>20231017</t>
  </si>
  <si>
    <t>20231018</t>
  </si>
  <si>
    <t>20231019</t>
  </si>
  <si>
    <t>20231020</t>
  </si>
  <si>
    <t>20231023</t>
  </si>
  <si>
    <t>20231024</t>
  </si>
  <si>
    <t>20231025</t>
  </si>
  <si>
    <t>20231026</t>
  </si>
  <si>
    <t>20231027</t>
  </si>
  <si>
    <t>20231030</t>
  </si>
  <si>
    <t>20231031</t>
  </si>
  <si>
    <t>20231101</t>
  </si>
  <si>
    <t>20231102</t>
  </si>
  <si>
    <t>20231103</t>
  </si>
  <si>
    <t>20231106</t>
  </si>
  <si>
    <t>20231107</t>
  </si>
  <si>
    <t>20231108</t>
  </si>
  <si>
    <t>20231109</t>
  </si>
  <si>
    <t>20231110</t>
  </si>
  <si>
    <t>20231113</t>
  </si>
  <si>
    <t>20231114</t>
  </si>
  <si>
    <t>20231115</t>
  </si>
  <si>
    <t>20231116</t>
  </si>
  <si>
    <t>20231117</t>
  </si>
  <si>
    <t>20231120</t>
  </si>
  <si>
    <t>20231121</t>
  </si>
  <si>
    <t>20231122</t>
  </si>
  <si>
    <t>20231123</t>
  </si>
  <si>
    <t>20231124</t>
  </si>
  <si>
    <t>20231127</t>
  </si>
  <si>
    <t>20231128</t>
  </si>
  <si>
    <t>20231129</t>
  </si>
  <si>
    <t>20231130</t>
  </si>
  <si>
    <t>20231201</t>
  </si>
  <si>
    <t>20231204</t>
  </si>
  <si>
    <t>20231205</t>
  </si>
  <si>
    <t>20231206</t>
  </si>
  <si>
    <t>Back to notes</t>
  </si>
  <si>
    <t>Effect of a 1 per cent increase (unless otherwise stated), £ million</t>
  </si>
  <si>
    <t>Year</t>
  </si>
  <si>
    <t>2023-24</t>
  </si>
  <si>
    <t>2024-25</t>
  </si>
  <si>
    <t>2025-26</t>
  </si>
  <si>
    <t>2026-27</t>
  </si>
  <si>
    <t>2027-28</t>
  </si>
  <si>
    <t>2028-29</t>
  </si>
  <si>
    <t>RPI inflation</t>
  </si>
  <si>
    <t>Gilt rates (long-term interest rates)</t>
  </si>
  <si>
    <t>Short rates (Bank Rate)</t>
  </si>
  <si>
    <t>CGNCR (£1 billion change)</t>
  </si>
  <si>
    <t>Interest rates - gilts</t>
  </si>
  <si>
    <t>OBR gilt</t>
  </si>
  <si>
    <t>OE gilt</t>
  </si>
  <si>
    <t>Impact</t>
  </si>
  <si>
    <t>FY2022/23</t>
  </si>
  <si>
    <t>FY2023/24</t>
  </si>
  <si>
    <t>FY2024/25</t>
  </si>
  <si>
    <t>FY2025/26</t>
  </si>
  <si>
    <t>FY2026/27</t>
  </si>
  <si>
    <t>FY2027/28</t>
  </si>
  <si>
    <t>FY2028/29</t>
  </si>
  <si>
    <t>OBR RCB</t>
  </si>
  <si>
    <t>OE RCB</t>
  </si>
  <si>
    <t>R11212F@INTDAILY</t>
  </si>
  <si>
    <t>R11224F@INTDAILY</t>
  </si>
  <si>
    <t>R11236F@INTDAILY</t>
  </si>
  <si>
    <t>R11248F@INTDAILY</t>
  </si>
  <si>
    <t>R11260F@INTDAILY</t>
  </si>
  <si>
    <t>R112I6A@INTDAILY</t>
  </si>
  <si>
    <t>Diff</t>
  </si>
  <si>
    <t>Bank of England</t>
  </si>
  <si>
    <t>02-Jan-2009</t>
  </si>
  <si>
    <t>UK: Overnight Index Swap: Forward Yields, 12-Month (% p.a.)</t>
  </si>
  <si>
    <t>UK: Overnight Index Swap: Forward Yields, 24-Month (% p.a.)</t>
  </si>
  <si>
    <t>UK: Overnight Index Swap: Forward Yields, 36-Month (% p.a.)</t>
  </si>
  <si>
    <t>UK: Overnight Index Swap: Forward Yields, 48-Month (% p.a.)</t>
  </si>
  <si>
    <t>UK: Overnight Index Swap: Forward Yields, 60-Month (% p.a.)</t>
  </si>
  <si>
    <t>01-Dec-2021</t>
  </si>
  <si>
    <t>UK: Overnight Index Swap: Forward Yields, 6-Year (% p.a.)</t>
  </si>
  <si>
    <t>Interest rates - short rates</t>
  </si>
  <si>
    <t>20231207</t>
  </si>
  <si>
    <t>20231208</t>
  </si>
  <si>
    <t>20231211</t>
  </si>
  <si>
    <t>20231212</t>
  </si>
  <si>
    <t>20231213</t>
  </si>
  <si>
    <t>20231214</t>
  </si>
  <si>
    <t>20231215</t>
  </si>
  <si>
    <t>20231218</t>
  </si>
  <si>
    <t>20231219</t>
  </si>
  <si>
    <t>20231220</t>
  </si>
  <si>
    <t>20231221</t>
  </si>
  <si>
    <t>20231222</t>
  </si>
  <si>
    <t>20231225</t>
  </si>
  <si>
    <t>20231226</t>
  </si>
  <si>
    <t>20231227</t>
  </si>
  <si>
    <t>20231228</t>
  </si>
  <si>
    <t>20231229</t>
  </si>
  <si>
    <t>20240101</t>
  </si>
  <si>
    <t>20240102</t>
  </si>
  <si>
    <t>20240103</t>
  </si>
  <si>
    <t>20240104</t>
  </si>
  <si>
    <t>20240105</t>
  </si>
  <si>
    <t>20240108</t>
  </si>
  <si>
    <t>20240109</t>
  </si>
  <si>
    <t>20240110</t>
  </si>
  <si>
    <t>20240111</t>
  </si>
  <si>
    <t>20240112</t>
  </si>
  <si>
    <t>20240115</t>
  </si>
  <si>
    <t>20240116</t>
  </si>
  <si>
    <t>20240117</t>
  </si>
  <si>
    <t>20240118</t>
  </si>
  <si>
    <t>20240119</t>
  </si>
  <si>
    <t>20240122</t>
  </si>
  <si>
    <t>20240123</t>
  </si>
  <si>
    <t>20240124</t>
  </si>
  <si>
    <t>20240125</t>
  </si>
  <si>
    <t>20240126</t>
  </si>
  <si>
    <t>20240129</t>
  </si>
  <si>
    <t>20240130</t>
  </si>
  <si>
    <t>20240131</t>
  </si>
  <si>
    <t>20240201</t>
  </si>
  <si>
    <t>20240202</t>
  </si>
  <si>
    <t>20240205</t>
  </si>
  <si>
    <t>20240206</t>
  </si>
  <si>
    <t>20240207</t>
  </si>
  <si>
    <t>20240208</t>
  </si>
  <si>
    <t>20240209</t>
  </si>
  <si>
    <t>20240212</t>
  </si>
  <si>
    <t>20240213</t>
  </si>
  <si>
    <t>20240214</t>
  </si>
  <si>
    <t>20240215</t>
  </si>
  <si>
    <t>20240216</t>
  </si>
  <si>
    <t>20240219</t>
  </si>
  <si>
    <t>T112G5@INTDAILY</t>
  </si>
  <si>
    <t>03-Jan-1995</t>
  </si>
  <si>
    <t>UK: 5-Yr Government Bond Yield (%)</t>
  </si>
  <si>
    <t>T112GK@INTDAILY</t>
  </si>
  <si>
    <t>T112GT@INTDAILY</t>
  </si>
  <si>
    <t>UK: 20-Yr Government Bond Yield (%)</t>
  </si>
  <si>
    <t>UK: 30-Yr Government Bond Yield (%)</t>
  </si>
  <si>
    <t>T112GF@INTDAILY</t>
  </si>
  <si>
    <t>UK: 15-Yr Government Bond Yield (%)</t>
  </si>
  <si>
    <t>10 days to 11/10</t>
  </si>
  <si>
    <t>10 days to 24/1</t>
  </si>
  <si>
    <t>AS 2023</t>
  </si>
  <si>
    <t>Financial assumptions</t>
  </si>
  <si>
    <t>Budget 24</t>
  </si>
  <si>
    <t>https://obr.uk/economic-and-fiscal-outlooks/#foreword</t>
  </si>
  <si>
    <t>https://obr.uk/docs/dlm_uploads/March_2024_timetable.pdf</t>
  </si>
  <si>
    <t>Last pre-measures (round 2) forecast sent to HMT</t>
  </si>
  <si>
    <t>Last pre-measures (round 3) forecast sent to HMT</t>
  </si>
  <si>
    <t>Interest rates - market expectations</t>
  </si>
  <si>
    <t>Budget 24 (using AS timetable*)</t>
  </si>
  <si>
    <t>10 days to 7/2</t>
  </si>
  <si>
    <t>Budget 24 (2 weeks later than AS timetable)</t>
  </si>
  <si>
    <t>Av</t>
  </si>
  <si>
    <t>AS</t>
  </si>
  <si>
    <t>Budget</t>
  </si>
  <si>
    <t>Autumn Statement 2023</t>
  </si>
  <si>
    <t>Budget 24*</t>
  </si>
  <si>
    <t>21-Feb-2024</t>
  </si>
  <si>
    <t>Feb-22-2024 11:23</t>
  </si>
  <si>
    <t>20240220</t>
  </si>
  <si>
    <t>20240221</t>
  </si>
  <si>
    <t>This week</t>
  </si>
  <si>
    <t>Feb-22-2024 20:52</t>
  </si>
  <si>
    <t>22-Feb-2024</t>
  </si>
  <si>
    <t>20240222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</si>
</sst>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2">
    <xf numFmtId="0" fontId="0" fillId="0" borderId="0" xfId="0"/>
    <xf numFmtId="0" fontId="0" fillId="0" borderId="0" xfId="0" quotePrefix="1"/>
    <xf numFmtId="2" fontId="0" fillId="0" borderId="0" xfId="0" applyNumberFormat="1"/>
    <xf numFmtId="0" fontId="2" fillId="2" borderId="0" xfId="1" applyFont="1" applyFill="1"/>
    <xf numFmtId="0" fontId="4" fillId="0" borderId="0" xfId="2" applyFont="1"/>
    <xf numFmtId="0" fontId="4" fillId="2" borderId="0" xfId="2" applyFont="1" applyFill="1"/>
    <xf numFmtId="3" fontId="4" fillId="0" borderId="0" xfId="2" applyNumberFormat="1" applyFont="1"/>
    <xf numFmtId="1" fontId="4" fillId="0" borderId="0" xfId="2" applyNumberFormat="1" applyFont="1"/>
    <xf numFmtId="0" fontId="4" fillId="0" borderId="1" xfId="2" applyFont="1" applyBorder="1"/>
    <xf numFmtId="3" fontId="4" fillId="0" borderId="1" xfId="2" applyNumberFormat="1" applyFont="1" applyBorder="1"/>
    <xf numFmtId="0" fontId="5" fillId="0" borderId="0" xfId="0" applyFont="1"/>
    <xf numFmtId="0" fontId="0" fillId="0" borderId="0" xfId="0" applyAlignment="1">
      <alignment horizontal="right" wrapText="1"/>
    </xf>
    <xf numFmtId="0" fontId="6" fillId="0" borderId="0" xfId="0" applyFont="1" applyAlignment="1">
      <alignment wrapText="1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 wrapText="1"/>
    </xf>
    <xf numFmtId="2" fontId="0" fillId="0" borderId="0" xfId="0" applyNumberFormat="1" applyAlignment="1">
      <alignment wrapText="1"/>
    </xf>
    <xf numFmtId="164" fontId="0" fillId="0" borderId="0" xfId="0" applyNumberFormat="1"/>
    <xf numFmtId="0" fontId="0" fillId="0" borderId="0" xfId="0" applyFill="1"/>
    <xf numFmtId="16" fontId="0" fillId="0" borderId="0" xfId="0" applyNumberFormat="1" applyAlignment="1">
      <alignment horizontal="left"/>
    </xf>
    <xf numFmtId="0" fontId="7" fillId="0" borderId="0" xfId="0" applyFont="1"/>
    <xf numFmtId="0" fontId="0" fillId="0" borderId="0" xfId="0" applyAlignment="1">
      <alignment horizontal="right"/>
    </xf>
  </cellXfs>
  <cellStyles count="3">
    <cellStyle name="Hyperlink 2" xfId="1" xr:uid="{B0322046-0B3D-42D1-9A00-AE47A60B449C}"/>
    <cellStyle name="Normal" xfId="0" builtinId="0"/>
    <cellStyle name="Normal 2" xfId="2" xr:uid="{19C37C4D-0F18-4D14-B856-110BCC00E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chartsheet" Target="chart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alcChain" Target="calcChain.xml"/><Relationship Id="rId2" Type="http://schemas.openxmlformats.org/officeDocument/2006/relationships/chartsheet" Target="chart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11" Type="http://schemas.openxmlformats.org/officeDocument/2006/relationships/externalLink" Target="externalLinks/externalLink4.xml"/><Relationship Id="rId24" Type="http://schemas.openxmlformats.org/officeDocument/2006/relationships/sheetMetadata" Target="metadata.xml"/><Relationship Id="rId5" Type="http://schemas.openxmlformats.org/officeDocument/2006/relationships/worksheet" Target="worksheets/sheet1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chartsheet" Target="chart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883254000029657E-2"/>
          <c:y val="0.14714391023940784"/>
          <c:w val="0.37610344469653156"/>
          <c:h val="0.6031865967152431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Autumn Statement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Calculations!$B$3:$B$8</c:f>
              <c:numCache>
                <c:formatCode>0.00</c:formatCode>
                <c:ptCount val="6"/>
                <c:pt idx="0">
                  <c:v>4.8863636363636367</c:v>
                </c:pt>
                <c:pt idx="1">
                  <c:v>4.5309090909090912</c:v>
                </c:pt>
                <c:pt idx="2">
                  <c:v>4.4927272727272731</c:v>
                </c:pt>
                <c:pt idx="3">
                  <c:v>4.8027272727272727</c:v>
                </c:pt>
                <c:pt idx="4">
                  <c:v>4.8945454545454545</c:v>
                </c:pt>
                <c:pt idx="5">
                  <c:v>4.9418181818181814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60-4AC4-9E70-D89E2870418B}"/>
            </c:ext>
          </c:extLst>
        </c:ser>
        <c:ser>
          <c:idx val="1"/>
          <c:order val="1"/>
          <c:tx>
            <c:strRef>
              <c:f>Calculations!$C$2</c:f>
              <c:strCache>
                <c:ptCount val="1"/>
                <c:pt idx="0">
                  <c:v>Budget 24*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4.2772727272727273</c:v>
                </c:pt>
                <c:pt idx="1">
                  <c:v>3.8081818181818181</c:v>
                </c:pt>
                <c:pt idx="2">
                  <c:v>3.8954545454545464</c:v>
                </c:pt>
                <c:pt idx="3">
                  <c:v>4.2618181818181826</c:v>
                </c:pt>
                <c:pt idx="4">
                  <c:v>4.4345454545454537</c:v>
                </c:pt>
                <c:pt idx="5">
                  <c:v>4.5263636363636373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60-4AC4-9E70-D89E28704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0053131231413259"/>
          <c:y val="0.12051018356676478"/>
          <c:w val="0.37318219184419582"/>
          <c:h val="0.1032361523269665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277024399727808"/>
          <c:y val="0.15095883522525019"/>
          <c:w val="0.77880358705161845"/>
          <c:h val="0.60200565517378113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Calculations!$H$2</c:f>
              <c:strCache>
                <c:ptCount val="1"/>
                <c:pt idx="0">
                  <c:v>AS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Calculations!$G$3:$G$7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Calculations!$H$3:$H$7</c:f>
              <c:numCache>
                <c:formatCode>0.00</c:formatCode>
                <c:ptCount val="5"/>
                <c:pt idx="0">
                  <c:v>5.1774545727272727</c:v>
                </c:pt>
                <c:pt idx="1">
                  <c:v>4.5591651999999998</c:v>
                </c:pt>
                <c:pt idx="2">
                  <c:v>4.2005258545454547</c:v>
                </c:pt>
                <c:pt idx="3">
                  <c:v>4.0434114272727264</c:v>
                </c:pt>
                <c:pt idx="4">
                  <c:v>3.9784683818181819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00-44D7-B86F-6A07FD693349}"/>
            </c:ext>
          </c:extLst>
        </c:ser>
        <c:ser>
          <c:idx val="1"/>
          <c:order val="1"/>
          <c:tx>
            <c:strRef>
              <c:f>Calculations!$I$2</c:f>
              <c:strCache>
                <c:ptCount val="1"/>
                <c:pt idx="0">
                  <c:v>Budget 24 (using AS timetable*)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Calculations!$G$3:$G$7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Calculations!$I$3:$I$7</c:f>
              <c:numCache>
                <c:formatCode>0.00</c:formatCode>
                <c:ptCount val="5"/>
                <c:pt idx="0">
                  <c:v>4.0697531636363635</c:v>
                </c:pt>
                <c:pt idx="1">
                  <c:v>3.4056860272727278</c:v>
                </c:pt>
                <c:pt idx="2">
                  <c:v>3.2337974909090916</c:v>
                </c:pt>
                <c:pt idx="3">
                  <c:v>3.2167426818181823</c:v>
                </c:pt>
                <c:pt idx="4">
                  <c:v>3.271681172727273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0-44D7-B86F-6A07FD69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883254000029657E-2"/>
          <c:y val="0.14714391023940784"/>
          <c:w val="0.37610344469653156"/>
          <c:h val="0.60318659671524311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Autumn Statement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Calculations!$B$3:$B$8</c:f>
              <c:numCache>
                <c:formatCode>0.00</c:formatCode>
                <c:ptCount val="6"/>
                <c:pt idx="0">
                  <c:v>4.8863636363636367</c:v>
                </c:pt>
                <c:pt idx="1">
                  <c:v>4.5309090909090912</c:v>
                </c:pt>
                <c:pt idx="2">
                  <c:v>4.4927272727272731</c:v>
                </c:pt>
                <c:pt idx="3">
                  <c:v>4.8027272727272727</c:v>
                </c:pt>
                <c:pt idx="4">
                  <c:v>4.8945454545454545</c:v>
                </c:pt>
                <c:pt idx="5">
                  <c:v>4.9418181818181814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1-40CD-8AA8-5BC55DCF69FE}"/>
            </c:ext>
          </c:extLst>
        </c:ser>
        <c:ser>
          <c:idx val="1"/>
          <c:order val="1"/>
          <c:tx>
            <c:strRef>
              <c:f>Calculations!$C$2</c:f>
              <c:strCache>
                <c:ptCount val="1"/>
                <c:pt idx="0">
                  <c:v>Budget 24*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4.2772727272727273</c:v>
                </c:pt>
                <c:pt idx="1">
                  <c:v>3.8081818181818181</c:v>
                </c:pt>
                <c:pt idx="2">
                  <c:v>3.8954545454545464</c:v>
                </c:pt>
                <c:pt idx="3">
                  <c:v>4.2618181818181826</c:v>
                </c:pt>
                <c:pt idx="4">
                  <c:v>4.4345454545454537</c:v>
                </c:pt>
                <c:pt idx="5">
                  <c:v>4.5263636363636373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71-40CD-8AA8-5BC55DCF69FE}"/>
            </c:ext>
          </c:extLst>
        </c:ser>
        <c:ser>
          <c:idx val="2"/>
          <c:order val="2"/>
          <c:tx>
            <c:strRef>
              <c:f>Calculations!$E$2</c:f>
              <c:strCache>
                <c:ptCount val="1"/>
                <c:pt idx="0">
                  <c:v>This week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val>
            <c:numRef>
              <c:f>Calculations!$E$3:$E$8</c:f>
              <c:numCache>
                <c:formatCode>0.00</c:formatCode>
                <c:ptCount val="6"/>
                <c:pt idx="0">
                  <c:v>4.5999999999999996</c:v>
                </c:pt>
                <c:pt idx="1">
                  <c:v>4.13</c:v>
                </c:pt>
                <c:pt idx="2">
                  <c:v>4.0949999999999998</c:v>
                </c:pt>
                <c:pt idx="3">
                  <c:v>4.415</c:v>
                </c:pt>
                <c:pt idx="4">
                  <c:v>4.5675000000000008</c:v>
                </c:pt>
                <c:pt idx="5">
                  <c:v>4.6325000000000003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71-40CD-8AA8-5BC55DCF6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62162361908151309"/>
          <c:y val="9.2221690110518367E-2"/>
          <c:w val="0.37837638091848691"/>
          <c:h val="0.15031685395761174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73309458912625"/>
          <c:y val="0.15095883522525019"/>
          <c:w val="0.74883663844591863"/>
          <c:h val="0.60200565517378113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Calculations!$H$2</c:f>
              <c:strCache>
                <c:ptCount val="1"/>
                <c:pt idx="0">
                  <c:v>AS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Calculations!$G$3:$G$7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Calculations!$H$3:$H$7</c:f>
              <c:numCache>
                <c:formatCode>0.00</c:formatCode>
                <c:ptCount val="5"/>
                <c:pt idx="0">
                  <c:v>5.1774545727272727</c:v>
                </c:pt>
                <c:pt idx="1">
                  <c:v>4.5591651999999998</c:v>
                </c:pt>
                <c:pt idx="2">
                  <c:v>4.2005258545454547</c:v>
                </c:pt>
                <c:pt idx="3">
                  <c:v>4.0434114272727264</c:v>
                </c:pt>
                <c:pt idx="4">
                  <c:v>3.9784683818181819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6-4B67-885C-0FD8304E5806}"/>
            </c:ext>
          </c:extLst>
        </c:ser>
        <c:ser>
          <c:idx val="1"/>
          <c:order val="1"/>
          <c:tx>
            <c:strRef>
              <c:f>Calculations!$I$2</c:f>
              <c:strCache>
                <c:ptCount val="1"/>
                <c:pt idx="0">
                  <c:v>Budget 24 (using AS timetable*)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Calculations!$G$3:$G$7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Calculations!$I$3:$I$7</c:f>
              <c:numCache>
                <c:formatCode>0.00</c:formatCode>
                <c:ptCount val="5"/>
                <c:pt idx="0">
                  <c:v>4.0697531636363635</c:v>
                </c:pt>
                <c:pt idx="1">
                  <c:v>3.4056860272727278</c:v>
                </c:pt>
                <c:pt idx="2">
                  <c:v>3.2337974909090916</c:v>
                </c:pt>
                <c:pt idx="3">
                  <c:v>3.2167426818181823</c:v>
                </c:pt>
                <c:pt idx="4">
                  <c:v>3.271681172727273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16-4B67-885C-0FD8304E5806}"/>
            </c:ext>
          </c:extLst>
        </c:ser>
        <c:ser>
          <c:idx val="2"/>
          <c:order val="2"/>
          <c:tx>
            <c:strRef>
              <c:f>Calculations!$K$2</c:f>
              <c:strCache>
                <c:ptCount val="1"/>
                <c:pt idx="0">
                  <c:v>This week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val>
            <c:numRef>
              <c:f>Calculations!$K$3:$K$7</c:f>
              <c:numCache>
                <c:formatCode>0.00</c:formatCode>
                <c:ptCount val="5"/>
                <c:pt idx="0">
                  <c:v>4.4086505999999996</c:v>
                </c:pt>
                <c:pt idx="1">
                  <c:v>3.8089945000000003</c:v>
                </c:pt>
                <c:pt idx="2">
                  <c:v>3.5581898333333335</c:v>
                </c:pt>
                <c:pt idx="3">
                  <c:v>3.4652736999999996</c:v>
                </c:pt>
                <c:pt idx="4">
                  <c:v>3.4655414666666666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16-4B67-885C-0FD8304E5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ax val="5.25"/>
          <c:min val="3"/>
        </c:scaling>
        <c:delete val="0"/>
        <c:axPos val="l"/>
        <c:numFmt formatCode="#,##0.0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726629790737204E-2"/>
          <c:y val="0.14714391023940784"/>
          <c:w val="0.8853048669821247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Calculations!$B$2</c:f>
              <c:strCache>
                <c:ptCount val="1"/>
                <c:pt idx="0">
                  <c:v>Autumn Statement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Calculations!$B$3:$B$8</c:f>
              <c:numCache>
                <c:formatCode>0.00</c:formatCode>
                <c:ptCount val="6"/>
                <c:pt idx="0">
                  <c:v>4.8863636363636367</c:v>
                </c:pt>
                <c:pt idx="1">
                  <c:v>4.5309090909090912</c:v>
                </c:pt>
                <c:pt idx="2">
                  <c:v>4.4927272727272731</c:v>
                </c:pt>
                <c:pt idx="3">
                  <c:v>4.8027272727272727</c:v>
                </c:pt>
                <c:pt idx="4">
                  <c:v>4.8945454545454545</c:v>
                </c:pt>
                <c:pt idx="5">
                  <c:v>4.9418181818181814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Calculations!$C$2</c:f>
              <c:strCache>
                <c:ptCount val="1"/>
                <c:pt idx="0">
                  <c:v>Budget 24*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Calculations!$A$3:$A$8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30</c:v>
                </c:pt>
              </c:numCache>
            </c:numRef>
          </c:cat>
          <c:val>
            <c:numRef>
              <c:f>Calculations!$C$3:$C$8</c:f>
              <c:numCache>
                <c:formatCode>0.00</c:formatCode>
                <c:ptCount val="6"/>
                <c:pt idx="0">
                  <c:v>4.2772727272727273</c:v>
                </c:pt>
                <c:pt idx="1">
                  <c:v>3.8081818181818181</c:v>
                </c:pt>
                <c:pt idx="2">
                  <c:v>3.8954545454545464</c:v>
                </c:pt>
                <c:pt idx="3">
                  <c:v>4.2618181818181826</c:v>
                </c:pt>
                <c:pt idx="4">
                  <c:v>4.4345454545454537</c:v>
                </c:pt>
                <c:pt idx="5">
                  <c:v>4.5263636363636373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4650104210320634"/>
          <c:y val="7.5219117633026134E-2"/>
          <c:w val="0.75349896264206584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8726629790737204E-2"/>
          <c:y val="0.14714391023940784"/>
          <c:w val="0.88530486698212474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Calculations!$H$2</c:f>
              <c:strCache>
                <c:ptCount val="1"/>
                <c:pt idx="0">
                  <c:v>AS 2023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Calculations!$G$3:$G$7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Calculations!$H$3:$H$7</c:f>
              <c:numCache>
                <c:formatCode>0.00</c:formatCode>
                <c:ptCount val="5"/>
                <c:pt idx="0">
                  <c:v>5.1774545727272727</c:v>
                </c:pt>
                <c:pt idx="1">
                  <c:v>4.5591651999999998</c:v>
                </c:pt>
                <c:pt idx="2">
                  <c:v>4.2005258545454547</c:v>
                </c:pt>
                <c:pt idx="3">
                  <c:v>4.0434114272727264</c:v>
                </c:pt>
                <c:pt idx="4">
                  <c:v>3.9784683818181819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81-441D-AE9D-45DEF9D2161A}"/>
            </c:ext>
          </c:extLst>
        </c:ser>
        <c:ser>
          <c:idx val="1"/>
          <c:order val="1"/>
          <c:tx>
            <c:strRef>
              <c:f>Calculations!$I$2</c:f>
              <c:strCache>
                <c:ptCount val="1"/>
                <c:pt idx="0">
                  <c:v>Budget 24 (using AS timetable*)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Calculations!$G$3:$G$7</c:f>
              <c:numCache>
                <c:formatCode>General</c:formatCode>
                <c:ptCount val="5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</c:numCache>
            </c:numRef>
          </c:cat>
          <c:val>
            <c:numRef>
              <c:f>Calculations!$I$3:$I$7</c:f>
              <c:numCache>
                <c:formatCode>0.00</c:formatCode>
                <c:ptCount val="5"/>
                <c:pt idx="0">
                  <c:v>4.0697531636363635</c:v>
                </c:pt>
                <c:pt idx="1">
                  <c:v>3.4056860272727278</c:v>
                </c:pt>
                <c:pt idx="2">
                  <c:v>3.2337974909090916</c:v>
                </c:pt>
                <c:pt idx="3">
                  <c:v>3.2167426818181823</c:v>
                </c:pt>
                <c:pt idx="4">
                  <c:v>3.271681172727273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1-441D-AE9D-45DEF9D21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Algn val="ctr"/>
        <c:lblOffset val="100"/>
        <c:noMultiLvlLbl val="0"/>
      </c:catAx>
      <c:valAx>
        <c:axId val="263608576"/>
        <c:scaling>
          <c:orientation val="minMax"/>
          <c:min val="3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2992940746636745"/>
          <c:y val="9.9751805882273406E-2"/>
          <c:w val="0.66307112515079947"/>
          <c:h val="5.6058021225849811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7FDBAC3-D384-434D-86FA-CB549AFE7F4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E0AA89-C38E-4622-97E5-600396A13B4A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AC2CE7-2ED2-4212-9B7C-B9402EBF9D76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3E90F7-0C06-4564-B419-209EF83B8B55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1BCEBD-AB63-583E-89C2-BA143CD98D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1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46027" y="56261"/>
          <a:ext cx="8384043" cy="562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                            Bank Rate expectations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0.85534</cdr:y>
    </cdr:from>
    <cdr:to>
      <cdr:x>1</cdr:x>
      <cdr:y>0.9497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1796F95-066B-7F2F-C32C-8BD7B7FE78DC}"/>
            </a:ext>
          </a:extLst>
        </cdr:cNvPr>
        <cdr:cNvSpPr txBox="1"/>
      </cdr:nvSpPr>
      <cdr:spPr>
        <a:xfrm xmlns:a="http://schemas.openxmlformats.org/drawingml/2006/main">
          <a:off x="47625" y="5756259"/>
          <a:ext cx="8382445" cy="635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Autumn Statemen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t w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indow finished 6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weeks before fiscal event. We assume Budget window will cover similar period, so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10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working days to January 24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0.087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30" y="479459"/>
          <a:ext cx="685786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0.27004</cdr:x>
      <cdr:y>0.80863</cdr:y>
    </cdr:from>
    <cdr:to>
      <cdr:x>0.48849</cdr:x>
      <cdr:y>0.85959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2276462" y="5441927"/>
          <a:ext cx="1841549" cy="342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0.50506</cdr:x>
      <cdr:y>0.01067</cdr:y>
    </cdr:from>
    <cdr:to>
      <cdr:x>0.99317</cdr:x>
      <cdr:y>1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C465EB49-46BF-F263-8E95-228EBC105E8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0.0712</cdr:y>
    </cdr:from>
    <cdr:to>
      <cdr:x>0.08135</cdr:x>
      <cdr:y>0.12215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0" y="474035"/>
          <a:ext cx="334739" cy="339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E8188-C96F-FDBA-6DE9-5CA955328A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0.51189</cdr:x>
      <cdr:y>0.00643</cdr:y>
    </cdr:from>
    <cdr:to>
      <cdr:x>1</cdr:x>
      <cdr:y>0.99576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C465EB49-46BF-F263-8E95-228EBC105E86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0.00546</cdr:x>
      <cdr:y>0.00836</cdr:y>
    </cdr:from>
    <cdr:to>
      <cdr:x>1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46027" y="56261"/>
          <a:ext cx="8384043" cy="56241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                            Bank Rate expectations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0.85534</cdr:y>
    </cdr:from>
    <cdr:to>
      <cdr:x>1</cdr:x>
      <cdr:y>0.9497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1796F95-066B-7F2F-C32C-8BD7B7FE78DC}"/>
            </a:ext>
          </a:extLst>
        </cdr:cNvPr>
        <cdr:cNvSpPr txBox="1"/>
      </cdr:nvSpPr>
      <cdr:spPr>
        <a:xfrm xmlns:a="http://schemas.openxmlformats.org/drawingml/2006/main">
          <a:off x="47625" y="5756259"/>
          <a:ext cx="8382445" cy="6350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Autumn Statemen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t w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indow finished 6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weeks before fiscal event. We assume Budget window will cover similar period, so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10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working days to January 24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0.087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30" y="479459"/>
          <a:ext cx="685786" cy="3428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0.27004</cdr:x>
      <cdr:y>0.80863</cdr:y>
    </cdr:from>
    <cdr:to>
      <cdr:x>0.48849</cdr:x>
      <cdr:y>0.85959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2276462" y="5441927"/>
          <a:ext cx="1841549" cy="342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0.0712</cdr:y>
    </cdr:from>
    <cdr:to>
      <cdr:x>0.08135</cdr:x>
      <cdr:y>0.12215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0" y="474035"/>
          <a:ext cx="334739" cy="339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 algn="l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DDF00-9C8C-2765-2031-6600458564C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Gilt yields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0.08851</cdr:x>
      <cdr:y>0.78457</cdr:y>
    </cdr:from>
    <cdr:to>
      <cdr:x>0.95588</cdr:x>
      <cdr:y>0.86383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1796F95-066B-7F2F-C32C-8BD7B7FE78DC}"/>
            </a:ext>
          </a:extLst>
        </cdr:cNvPr>
        <cdr:cNvSpPr txBox="1"/>
      </cdr:nvSpPr>
      <cdr:spPr>
        <a:xfrm xmlns:a="http://schemas.openxmlformats.org/drawingml/2006/main">
          <a:off x="746124" y="5280025"/>
          <a:ext cx="7312026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Window finishes 6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weeks before fiscal event so covers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10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days to January 24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0.00565</cdr:x>
      <cdr:y>0.07549</cdr:y>
    </cdr:from>
    <cdr:to>
      <cdr:x>0.087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25" y="508000"/>
          <a:ext cx="6858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  <cdr:relSizeAnchor xmlns:cdr="http://schemas.openxmlformats.org/drawingml/2006/chartDrawing">
    <cdr:from>
      <cdr:x>0.7638</cdr:x>
      <cdr:y>0.93318</cdr:y>
    </cdr:from>
    <cdr:to>
      <cdr:x>0.98225</cdr:x>
      <cdr:y>0.98414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D0122830-286F-6C22-F185-921D2706A5BA}"/>
            </a:ext>
          </a:extLst>
        </cdr:cNvPr>
        <cdr:cNvSpPr txBox="1"/>
      </cdr:nvSpPr>
      <cdr:spPr>
        <a:xfrm xmlns:a="http://schemas.openxmlformats.org/drawingml/2006/main">
          <a:off x="6438900" y="6280150"/>
          <a:ext cx="18415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Maturity,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years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E7474-37F8-EE27-DF62-7E5805A7E85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43B919-5DC4-92D7-76F5-7FB8CBDE8F3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Market expectations for Bank Rate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1E612E-97BA-35BC-034F-06DD238127A9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0.08851</cdr:x>
      <cdr:y>0.78457</cdr:y>
    </cdr:from>
    <cdr:to>
      <cdr:x>0.95588</cdr:x>
      <cdr:y>0.86383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1796F95-066B-7F2F-C32C-8BD7B7FE78DC}"/>
            </a:ext>
          </a:extLst>
        </cdr:cNvPr>
        <cdr:cNvSpPr txBox="1"/>
      </cdr:nvSpPr>
      <cdr:spPr>
        <a:xfrm xmlns:a="http://schemas.openxmlformats.org/drawingml/2006/main">
          <a:off x="746124" y="5280025"/>
          <a:ext cx="7312026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 Window finishes 6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weeks before fiscal event so covers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10</a:t>
          </a:r>
          <a:r>
            <a:rPr lang="en-GB" sz="1600" baseline="0">
              <a:solidFill>
                <a:srgbClr val="495057"/>
              </a:solidFill>
              <a:latin typeface="Segoe UI" panose="020B0502040204020203" pitchFamily="34" charset="0"/>
            </a:rPr>
            <a:t> days to January 24 </a:t>
          </a:r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 </a:t>
          </a:r>
        </a:p>
      </cdr:txBody>
    </cdr:sp>
  </cdr:relSizeAnchor>
  <cdr:relSizeAnchor xmlns:cdr="http://schemas.openxmlformats.org/drawingml/2006/chartDrawing">
    <cdr:from>
      <cdr:x>0.00565</cdr:x>
      <cdr:y>0.07549</cdr:y>
    </cdr:from>
    <cdr:to>
      <cdr:x>0.087</cdr:x>
      <cdr:y>0.12644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F7D07B8-93DE-E2D5-A8BE-668D8C3CA10B}"/>
            </a:ext>
          </a:extLst>
        </cdr:cNvPr>
        <cdr:cNvSpPr txBox="1"/>
      </cdr:nvSpPr>
      <cdr:spPr>
        <a:xfrm xmlns:a="http://schemas.openxmlformats.org/drawingml/2006/main">
          <a:off x="47625" y="508000"/>
          <a:ext cx="6858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OMMON\99I2K\Group3\forecast\Pre%20Budget%20Reports\PBR%202006\Summer%20changes\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\PROF99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om1.infra.int\data\Documents%20and%20Settings\senevij\Local%20Settings\Temporary%20Internet%20Files\OLK6D\FertAssCha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hist20\CHSPD1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BM\Forecast\Bud05\PostBudget05_reconcile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orecast\hist20\HIS19FI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PD\PD10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earch-camb\mresearch\RPW\Winter%2004-05\Margins\MRGWinter04-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asisdata7\homedirs\Program%20Files\FileNET\IDM\Cache\2003012410152300001\all%20the%20chart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rkyv\CheckOut\Long-term%20model%202009%7bdb5-doc3966101-ma1-mi14%7d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ndsv02\OBR\WINDOWS\TEMP\PD\PD10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ow\Dec23\GB_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hart 3.11"/>
      <sheetName val="Exec Summary"/>
      <sheetName val="Sheet2"/>
      <sheetName val="Model_inputs"/>
      <sheetName val="Determinant_analysis"/>
      <sheetName val="Model_output"/>
      <sheetName val="CTA_output"/>
      <sheetName val="Model_growth_rates"/>
      <sheetName val="HIC_Total"/>
      <sheetName val="FIN_Total"/>
      <sheetName val="Main_calcs"/>
      <sheetName val="CT_on_gains"/>
      <sheetName val="A9_summary"/>
      <sheetName val="GR_regressions"/>
      <sheetName val="L-P_regressions"/>
      <sheetName val="Chart_3_11"/>
      <sheetName val="Exec_Summary"/>
      <sheetName val="Model_inputs1"/>
      <sheetName val="Determinant_analysis1"/>
      <sheetName val="Model_output1"/>
      <sheetName val="CTA_output1"/>
      <sheetName val="Model_growth_rates1"/>
      <sheetName val="HIC_Total1"/>
      <sheetName val="FIN_Total1"/>
      <sheetName val="Main_calcs1"/>
      <sheetName val="CT_on_gains1"/>
      <sheetName val="A9_summary1"/>
      <sheetName val="GR_regressions1"/>
      <sheetName val="L-P_regressions1"/>
      <sheetName val="Chart_3_111"/>
      <sheetName val="Exec_Summary1"/>
      <sheetName val="BigChart"/>
      <sheetName val="Model_inputs2"/>
      <sheetName val="Determinant_analysis2"/>
      <sheetName val="Model_output2"/>
      <sheetName val="CTA_output2"/>
      <sheetName val="Model_growth_rates2"/>
      <sheetName val="HIC_Total2"/>
      <sheetName val="FIN_Total2"/>
      <sheetName val="Main_calcs2"/>
      <sheetName val="CT_on_gains2"/>
      <sheetName val="A9_summary2"/>
      <sheetName val="GR_regressions2"/>
      <sheetName val="L-P_regressions2"/>
      <sheetName val="Chart_3_112"/>
      <sheetName val="Exec_Summary2"/>
      <sheetName val="Buget Reconciliation page"/>
      <sheetName val="Model_inputs3"/>
      <sheetName val="Determinant_analysis3"/>
      <sheetName val="Model_output3"/>
      <sheetName val="CTA_output3"/>
      <sheetName val="Model_growth_rates3"/>
      <sheetName val="HIC_Total3"/>
      <sheetName val="FIN_Total3"/>
      <sheetName val="Main_calcs3"/>
      <sheetName val="CT_on_gains3"/>
      <sheetName val="A9_summary3"/>
      <sheetName val="GR_regressions3"/>
      <sheetName val="L-P_regressions3"/>
      <sheetName val="Chart_3_113"/>
      <sheetName val="Exec_Summary3"/>
      <sheetName val="Buget_Reconciliation_page"/>
      <sheetName val="Model_inputs4"/>
      <sheetName val="Determinant_analysis4"/>
      <sheetName val="Model_output4"/>
      <sheetName val="CTA_output4"/>
      <sheetName val="Model_growth_rates4"/>
      <sheetName val="HIC_Total4"/>
      <sheetName val="FIN_Total4"/>
      <sheetName val="Main_calcs4"/>
      <sheetName val="CT_on_gains4"/>
      <sheetName val="A9_summary4"/>
      <sheetName val="GR_regressions4"/>
      <sheetName val="L-P_regressions4"/>
      <sheetName val="Chart_3_114"/>
      <sheetName val="Exec_Summary4"/>
      <sheetName val="Buget_Reconciliation_page1"/>
      <sheetName val="Data Variables"/>
      <sheetName val="Savings Uplifts"/>
      <sheetName val="Lookup"/>
      <sheetName val="Model_inputs5"/>
      <sheetName val="Determinant_analysis5"/>
      <sheetName val="Model_output5"/>
      <sheetName val="CTA_output5"/>
      <sheetName val="Model_growth_rates5"/>
      <sheetName val="HIC_Total5"/>
      <sheetName val="FIN_Total5"/>
      <sheetName val="Main_calcs5"/>
      <sheetName val="CT_on_gains5"/>
      <sheetName val="A9_summary5"/>
      <sheetName val="GR_regressions5"/>
      <sheetName val="L-P_regressions5"/>
      <sheetName val="Chart_3_115"/>
      <sheetName val="Exec_Summary5"/>
      <sheetName val="Buget_Reconciliation_page2"/>
      <sheetName val="Data_Variables"/>
      <sheetName val="Savings_Uplifts"/>
      <sheetName val="GDP forecast"/>
      <sheetName val="CTPBR06L_original"/>
      <sheetName val="Model_inputs6"/>
      <sheetName val="Determinant_analysis6"/>
      <sheetName val="Model_output6"/>
      <sheetName val="CTA_output6"/>
      <sheetName val="Model_growth_rates6"/>
      <sheetName val="HIC_Total6"/>
      <sheetName val="FIN_Total6"/>
      <sheetName val="Main_calcs6"/>
      <sheetName val="CT_on_gains6"/>
      <sheetName val="A9_summary6"/>
      <sheetName val="GR_regressions6"/>
      <sheetName val="L-P_regressions6"/>
      <sheetName val="Chart_3_116"/>
      <sheetName val="Exec_Summary6"/>
      <sheetName val="Buget_Reconciliation_page3"/>
      <sheetName val="Data_Variables1"/>
      <sheetName val="Savings_Uplifts1"/>
      <sheetName val="Carbon Budget clearance (Nov)"/>
      <sheetName val="CHGSPD19.FIN"/>
      <sheetName val="T3 Page 1"/>
      <sheetName val="HIS19FIN(A)"/>
      <sheetName val="FC Page 1"/>
      <sheetName val="4.6 ten year bonds"/>
      <sheetName val="Population"/>
      <sheetName val="UK99"/>
      <sheetName val="IPE-Data-from webpage"/>
      <sheetName val="Wholesale Raw"/>
      <sheetName val="1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ata"/>
      <sheetName val="Intro - read first"/>
      <sheetName val="Imp VAT"/>
      <sheetName val="Home VAT"/>
      <sheetName val="VATgraph"/>
      <sheetName val="Tobacco"/>
      <sheetName val="Spirits"/>
      <sheetName val="Beer"/>
      <sheetName val="Wine"/>
      <sheetName val="Cider"/>
      <sheetName val="B&amp;G"/>
      <sheetName val="Customs"/>
      <sheetName val="APD"/>
      <sheetName val="IPT"/>
      <sheetName val="Landfill"/>
      <sheetName val="Reb oils"/>
      <sheetName val="Petrol"/>
      <sheetName val="Derv"/>
      <sheetName val="Oilgraph"/>
      <sheetName val="Tables 1 &amp; 2"/>
      <sheetName val="April"/>
      <sheetName val="Daily (2)"/>
      <sheetName val="Proportions"/>
      <sheetName val="Comparison"/>
      <sheetName val="CGBR table"/>
      <sheetName val="BIS table"/>
      <sheetName val="Tob accs"/>
      <sheetName val="Accruals"/>
      <sheetName val="Acc adj"/>
      <sheetName val="Data validation"/>
      <sheetName val="Forecast_data"/>
      <sheetName val="Intro_-_read_first"/>
      <sheetName val="Imp_VAT"/>
      <sheetName val="Home_VAT"/>
      <sheetName val="Reb_oils"/>
      <sheetName val="Tables_1_&amp;_2"/>
      <sheetName val="Daily_(2)"/>
      <sheetName val="CGBR_table"/>
      <sheetName val="BIS_table"/>
      <sheetName val="Tob_accs"/>
      <sheetName val="Acc_adj"/>
      <sheetName val="Forecast_data1"/>
      <sheetName val="Intro_-_read_first1"/>
      <sheetName val="Imp_VAT1"/>
      <sheetName val="Home_VAT1"/>
      <sheetName val="Reb_oils1"/>
      <sheetName val="Tables_1_&amp;_21"/>
      <sheetName val="Daily_(2)1"/>
      <sheetName val="CGBR_table1"/>
      <sheetName val="BIS_table1"/>
      <sheetName val="Tob_accs1"/>
      <sheetName val="Acc_adj1"/>
      <sheetName val="Data_validation"/>
      <sheetName val="Forecast_data2"/>
      <sheetName val="Intro_-_read_first2"/>
      <sheetName val="Imp_VAT2"/>
      <sheetName val="Home_VAT2"/>
      <sheetName val="Reb_oils2"/>
      <sheetName val="Tables_1_&amp;_22"/>
      <sheetName val="Daily_(2)2"/>
      <sheetName val="CGBR_table2"/>
      <sheetName val="BIS_table2"/>
      <sheetName val="Tob_accs2"/>
      <sheetName val="Acc_adj2"/>
      <sheetName val="Data_validation1"/>
      <sheetName val="Forecast_data3"/>
      <sheetName val="Intro_-_read_first3"/>
      <sheetName val="Imp_VAT3"/>
      <sheetName val="Home_VAT3"/>
      <sheetName val="Reb_oils3"/>
      <sheetName val="Tables_1_&amp;_23"/>
      <sheetName val="Daily_(2)3"/>
      <sheetName val="CGBR_table3"/>
      <sheetName val="BIS_table3"/>
      <sheetName val="Tob_accs3"/>
      <sheetName val="Acc_adj3"/>
      <sheetName val="Data_validation2"/>
      <sheetName val="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ngChart"/>
      <sheetName val="WalChart"/>
      <sheetName val="ScoChart"/>
      <sheetName val="NIChart"/>
      <sheetName val="UK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  <sheetName val="CHGSPD19_FIN"/>
      <sheetName val="CHSPD19"/>
      <sheetName val="CHGSPD19_FIN1"/>
    </sheetNames>
    <sheetDataSet>
      <sheetData sheetId="0" refreshError="1">
        <row r="10">
          <cell r="A10">
            <v>1982</v>
          </cell>
          <cell r="B10">
            <v>5084</v>
          </cell>
          <cell r="H10">
            <v>5241.2908349754507</v>
          </cell>
        </row>
        <row r="11">
          <cell r="A11">
            <v>1983</v>
          </cell>
          <cell r="B11">
            <v>4554</v>
          </cell>
          <cell r="E11">
            <v>-10.424862313139261</v>
          </cell>
          <cell r="H11">
            <v>4722.0067399498357</v>
          </cell>
          <cell r="I11">
            <v>-9.907561159560176</v>
          </cell>
        </row>
        <row r="12">
          <cell r="A12">
            <v>1984</v>
          </cell>
          <cell r="B12">
            <v>5130</v>
          </cell>
          <cell r="E12">
            <v>12.648221343873518</v>
          </cell>
          <cell r="H12">
            <v>5475.2539986683105</v>
          </cell>
          <cell r="I12">
            <v>15.951846327234954</v>
          </cell>
        </row>
        <row r="13">
          <cell r="A13">
            <v>1985</v>
          </cell>
          <cell r="B13">
            <v>6391</v>
          </cell>
          <cell r="E13">
            <v>24.580896686159846</v>
          </cell>
          <cell r="H13">
            <v>6756.7525816828584</v>
          </cell>
          <cell r="I13">
            <v>23.40528098470379</v>
          </cell>
        </row>
        <row r="14">
          <cell r="A14">
            <v>1986</v>
          </cell>
          <cell r="B14">
            <v>5848</v>
          </cell>
          <cell r="E14">
            <v>-8.4963229541542802</v>
          </cell>
          <cell r="H14">
            <v>6745.3397444295488</v>
          </cell>
          <cell r="I14">
            <v>-0.16891009572037743</v>
          </cell>
        </row>
        <row r="15">
          <cell r="A15">
            <v>1987</v>
          </cell>
          <cell r="B15">
            <v>5980</v>
          </cell>
          <cell r="E15">
            <v>2.2571819425444595</v>
          </cell>
          <cell r="H15">
            <v>7026.5846624575506</v>
          </cell>
          <cell r="I15">
            <v>4.1694700146165378</v>
          </cell>
        </row>
        <row r="16">
          <cell r="A16">
            <v>1988</v>
          </cell>
          <cell r="B16">
            <v>9292.2999999999993</v>
          </cell>
          <cell r="E16">
            <v>55.389632107023402</v>
          </cell>
          <cell r="H16">
            <v>9521.9200076277339</v>
          </cell>
          <cell r="I16">
            <v>35.512777046614829</v>
          </cell>
        </row>
        <row r="17">
          <cell r="A17">
            <v>1989</v>
          </cell>
          <cell r="B17">
            <v>13887.5</v>
          </cell>
          <cell r="E17">
            <v>49.45169656597399</v>
          </cell>
          <cell r="H17">
            <v>16931.29699300892</v>
          </cell>
          <cell r="I17">
            <v>77.813896561258119</v>
          </cell>
        </row>
        <row r="18">
          <cell r="A18">
            <v>1990</v>
          </cell>
          <cell r="B18">
            <v>18208</v>
          </cell>
          <cell r="E18">
            <v>31.110711071107112</v>
          </cell>
          <cell r="H18">
            <v>21405.129196306531</v>
          </cell>
          <cell r="I18">
            <v>26.423446503507051</v>
          </cell>
        </row>
        <row r="19">
          <cell r="A19">
            <v>1991</v>
          </cell>
          <cell r="B19">
            <v>20553.400000000001</v>
          </cell>
          <cell r="E19">
            <v>12.881151142355016</v>
          </cell>
          <cell r="H19">
            <v>19019.031007703743</v>
          </cell>
          <cell r="I19">
            <v>-11.147319722856475</v>
          </cell>
        </row>
        <row r="20">
          <cell r="A20">
            <v>1992</v>
          </cell>
          <cell r="B20">
            <v>19974.599999999999</v>
          </cell>
          <cell r="E20">
            <v>-2.8160790915371803</v>
          </cell>
          <cell r="H20">
            <v>16626.411197813348</v>
          </cell>
          <cell r="I20">
            <v>-12.580135175768175</v>
          </cell>
        </row>
        <row r="21">
          <cell r="A21">
            <v>1993</v>
          </cell>
          <cell r="H21">
            <v>12410.183035376172</v>
          </cell>
          <cell r="I21">
            <v>-25.358618358913681</v>
          </cell>
        </row>
        <row r="22">
          <cell r="A22">
            <v>1994</v>
          </cell>
          <cell r="H22">
            <v>12000.136096917955</v>
          </cell>
          <cell r="I22">
            <v>-3.3041167667660289</v>
          </cell>
        </row>
        <row r="23">
          <cell r="A23">
            <v>1995</v>
          </cell>
          <cell r="H23">
            <v>13460.164062680713</v>
          </cell>
          <cell r="I23">
            <v>12.166761726458612</v>
          </cell>
        </row>
        <row r="24">
          <cell r="A24">
            <v>1996</v>
          </cell>
          <cell r="H24">
            <v>13230.39919269175</v>
          </cell>
          <cell r="I24">
            <v>-1.7069990300192783</v>
          </cell>
        </row>
        <row r="25">
          <cell r="A25">
            <v>1997</v>
          </cell>
          <cell r="H25">
            <v>13887.648186056666</v>
          </cell>
          <cell r="I25">
            <v>4.9677185381373006</v>
          </cell>
        </row>
      </sheetData>
      <sheetData sheetId="1">
        <row r="10">
          <cell r="A10">
            <v>1982</v>
          </cell>
        </row>
      </sheetData>
      <sheetData sheetId="2" refreshError="1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  <sheetName val="CHGSPD19.FIN"/>
      <sheetName val="External_Inputs"/>
      <sheetName val="FAS_Page_1"/>
      <sheetName val="FIN_L-P_regression"/>
      <sheetName val="HIC_L-P_regression"/>
      <sheetName val="FIN_Rates"/>
      <sheetName val="Building_Societies"/>
      <sheetName val="Rest_of_FIN"/>
      <sheetName val="FIN_Total"/>
      <sheetName val="HIC_Rates"/>
      <sheetName val="HIC_Total"/>
      <sheetName val="FC_Page_1"/>
      <sheetName val="T3_Page_1"/>
      <sheetName val="diff_with_last"/>
      <sheetName val="Budget_2005_measures"/>
      <sheetName val="PBR_2004_measures"/>
      <sheetName val="Previous_Measures"/>
      <sheetName val="NG_DATA"/>
      <sheetName val="NG_HIC_R7_3"/>
      <sheetName val="NG_HIC_R9_3"/>
      <sheetName val="NG_FIN_RA_3"/>
      <sheetName val="NG_FIN_RC_3"/>
      <sheetName val="External_Inputs1"/>
      <sheetName val="FAS_Page_11"/>
      <sheetName val="FIN_L-P_regression1"/>
      <sheetName val="HIC_L-P_regression1"/>
      <sheetName val="FIN_Rates1"/>
      <sheetName val="Building_Societies1"/>
      <sheetName val="Rest_of_FIN1"/>
      <sheetName val="FIN_Total1"/>
      <sheetName val="HIC_Rates1"/>
      <sheetName val="HIC_Total1"/>
      <sheetName val="FC_Page_11"/>
      <sheetName val="T3_Page_11"/>
      <sheetName val="diff_with_last1"/>
      <sheetName val="Budget_2005_measures1"/>
      <sheetName val="PBR_2004_measures1"/>
      <sheetName val="Previous_Measures1"/>
      <sheetName val="NG_DATA1"/>
      <sheetName val="NG_HIC_R7_31"/>
      <sheetName val="NG_HIC_R9_31"/>
      <sheetName val="NG_FIN_RA_31"/>
      <sheetName val="NG_FIN_RC_31"/>
      <sheetName val="External_Inputs2"/>
      <sheetName val="FAS_Page_12"/>
      <sheetName val="FIN_L-P_regression2"/>
      <sheetName val="HIC_L-P_regression2"/>
      <sheetName val="FIN_Rates2"/>
      <sheetName val="Building_Societies2"/>
      <sheetName val="Rest_of_FIN2"/>
      <sheetName val="FIN_Total2"/>
      <sheetName val="HIC_Rates2"/>
      <sheetName val="HIC_Total2"/>
      <sheetName val="FC_Page_12"/>
      <sheetName val="T3_Page_12"/>
      <sheetName val="diff_with_last2"/>
      <sheetName val="Budget_2005_measures2"/>
      <sheetName val="PBR_2004_measures2"/>
      <sheetName val="Previous_Measures2"/>
      <sheetName val="NG_DATA2"/>
      <sheetName val="NG_HIC_R7_32"/>
      <sheetName val="NG_HIC_R9_32"/>
      <sheetName val="NG_FIN_RA_32"/>
      <sheetName val="NG_FIN_RC_32"/>
      <sheetName val="CHGSPD19_FIN"/>
      <sheetName val="External_Inputs3"/>
      <sheetName val="FAS_Page_13"/>
      <sheetName val="FIN_L-P_regression3"/>
      <sheetName val="HIC_L-P_regression3"/>
      <sheetName val="FIN_Rates3"/>
      <sheetName val="Building_Societies3"/>
      <sheetName val="Rest_of_FIN3"/>
      <sheetName val="FIN_Total3"/>
      <sheetName val="HIC_Rates3"/>
      <sheetName val="HIC_Total3"/>
      <sheetName val="FC_Page_13"/>
      <sheetName val="T3_Page_13"/>
      <sheetName val="diff_with_last3"/>
      <sheetName val="Budget_2005_measures3"/>
      <sheetName val="PBR_2004_measures3"/>
      <sheetName val="Previous_Measures3"/>
      <sheetName val="NG_DATA3"/>
      <sheetName val="NG_HIC_R7_33"/>
      <sheetName val="NG_HIC_R9_33"/>
      <sheetName val="NG_FIN_RA_33"/>
      <sheetName val="NG_FIN_RC_33"/>
      <sheetName val="CHGSPD19_FIN1"/>
      <sheetName val="External_Inputs4"/>
      <sheetName val="FAS_Page_14"/>
      <sheetName val="FIN_L-P_regression4"/>
      <sheetName val="HIC_L-P_regression4"/>
      <sheetName val="FIN_Rates4"/>
      <sheetName val="Building_Societies4"/>
      <sheetName val="Rest_of_FIN4"/>
      <sheetName val="FIN_Total4"/>
      <sheetName val="HIC_Rates4"/>
      <sheetName val="HIC_Total4"/>
      <sheetName val="FC_Page_14"/>
      <sheetName val="T3_Page_14"/>
      <sheetName val="diff_with_last4"/>
      <sheetName val="Budget_2005_measures4"/>
      <sheetName val="PBR_2004_measures4"/>
      <sheetName val="Previous_Measures4"/>
      <sheetName val="NG_DATA4"/>
      <sheetName val="NG_HIC_R7_34"/>
      <sheetName val="NG_HIC_R9_34"/>
      <sheetName val="NG_FIN_RA_34"/>
      <sheetName val="NG_FIN_RC_34"/>
      <sheetName val="CHGSPD19_FIN2"/>
      <sheetName val="External_Inputs5"/>
      <sheetName val="FAS_Page_15"/>
      <sheetName val="FIN_L-P_regression5"/>
      <sheetName val="HIC_L-P_regression5"/>
      <sheetName val="FIN_Rates5"/>
      <sheetName val="Building_Societies5"/>
      <sheetName val="Rest_of_FIN5"/>
      <sheetName val="FIN_Total5"/>
      <sheetName val="HIC_Rates5"/>
      <sheetName val="HIC_Total5"/>
      <sheetName val="FC_Page_15"/>
      <sheetName val="T3_Page_15"/>
      <sheetName val="diff_with_last5"/>
      <sheetName val="Budget_2005_measures5"/>
      <sheetName val="PBR_2004_measures5"/>
      <sheetName val="Previous_Measures5"/>
      <sheetName val="NG_DATA5"/>
      <sheetName val="NG_HIC_R7_35"/>
      <sheetName val="NG_HIC_R9_35"/>
      <sheetName val="NG_FIN_RA_35"/>
      <sheetName val="NG_FIN_RC_35"/>
      <sheetName val="CHGSPD19_FIN3"/>
      <sheetName val="External_Inputs6"/>
      <sheetName val="FAS_Page_16"/>
      <sheetName val="FIN_L-P_regression6"/>
      <sheetName val="HIC_L-P_regression6"/>
      <sheetName val="FIN_Rates6"/>
      <sheetName val="Building_Societies6"/>
      <sheetName val="Rest_of_FIN6"/>
      <sheetName val="FIN_Total6"/>
      <sheetName val="HIC_Rates6"/>
      <sheetName val="HIC_Total6"/>
      <sheetName val="FC_Page_16"/>
      <sheetName val="T3_Page_16"/>
      <sheetName val="diff_with_last6"/>
      <sheetName val="Budget_2005_measures6"/>
      <sheetName val="PBR_2004_measures6"/>
      <sheetName val="Previous_Measures6"/>
      <sheetName val="NG_DATA6"/>
      <sheetName val="NG_HIC_R7_36"/>
      <sheetName val="NG_HIC_R9_36"/>
      <sheetName val="NG_FIN_RA_36"/>
      <sheetName val="NG_FIN_RC_36"/>
      <sheetName val="CHGSPD19_FIN4"/>
      <sheetName val="weekly"/>
      <sheetName val="Drop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>
        <row r="59">
          <cell r="D59">
            <v>49896</v>
          </cell>
          <cell r="E59">
            <v>50276</v>
          </cell>
          <cell r="F59">
            <v>45966</v>
          </cell>
          <cell r="G59">
            <v>41788</v>
          </cell>
          <cell r="H59">
            <v>41669</v>
          </cell>
          <cell r="I59">
            <v>50498</v>
          </cell>
          <cell r="J59">
            <v>56928</v>
          </cell>
          <cell r="K59">
            <v>13990</v>
          </cell>
          <cell r="L59">
            <v>14858</v>
          </cell>
          <cell r="M59">
            <v>12645</v>
          </cell>
          <cell r="N59">
            <v>11496</v>
          </cell>
          <cell r="O59">
            <v>12551</v>
          </cell>
          <cell r="P59">
            <v>23608</v>
          </cell>
          <cell r="Q59">
            <v>22770</v>
          </cell>
        </row>
        <row r="61">
          <cell r="D61">
            <v>8.6439794773128104E-2</v>
          </cell>
          <cell r="E61">
            <v>6.6950433606492166E-2</v>
          </cell>
          <cell r="F61">
            <v>6.128442762041509E-2</v>
          </cell>
          <cell r="G61">
            <v>4.8052072365272328E-2</v>
          </cell>
          <cell r="H61">
            <v>5.1957090402937438E-2</v>
          </cell>
          <cell r="I61">
            <v>5.8358746881064599E-2</v>
          </cell>
          <cell r="J61">
            <v>5.4823636874648682E-2</v>
          </cell>
          <cell r="K61">
            <v>2.8377412437455327E-2</v>
          </cell>
          <cell r="L61">
            <v>3.0825144703190199E-2</v>
          </cell>
          <cell r="M61">
            <v>3.0525899565045471E-2</v>
          </cell>
          <cell r="N61">
            <v>4.0535838552540011E-2</v>
          </cell>
          <cell r="O61">
            <v>8.6287945183650711E-2</v>
          </cell>
          <cell r="P61">
            <v>9.3358183666553712E-2</v>
          </cell>
          <cell r="Q61">
            <v>3.1971892841458058E-2</v>
          </cell>
        </row>
        <row r="79">
          <cell r="D79">
            <v>8220</v>
          </cell>
          <cell r="E79">
            <v>11605</v>
          </cell>
          <cell r="F79">
            <v>15772</v>
          </cell>
          <cell r="G79">
            <v>18872</v>
          </cell>
          <cell r="H79">
            <v>17851</v>
          </cell>
          <cell r="I79">
            <v>16599</v>
          </cell>
        </row>
        <row r="83">
          <cell r="D83">
            <v>324.3</v>
          </cell>
          <cell r="E83">
            <v>1191.4000000000001</v>
          </cell>
          <cell r="F83">
            <v>1472</v>
          </cell>
          <cell r="G83">
            <v>4711.5</v>
          </cell>
          <cell r="H83">
            <v>3826.9</v>
          </cell>
          <cell r="I83">
            <v>3647</v>
          </cell>
        </row>
        <row r="95">
          <cell r="D95">
            <v>9.5466571891166127E-2</v>
          </cell>
          <cell r="E95">
            <v>0.11145074065365625</v>
          </cell>
          <cell r="F95">
            <v>0.12864093847897087</v>
          </cell>
          <cell r="G95">
            <v>0.14350581052307534</v>
          </cell>
          <cell r="H95">
            <v>0.1542719106920894</v>
          </cell>
          <cell r="I95">
            <v>0.10921389095108472</v>
          </cell>
          <cell r="J95">
            <v>8.9755851092625002E-2</v>
          </cell>
          <cell r="K95">
            <v>0.14001163128816516</v>
          </cell>
          <cell r="L95">
            <v>7.0516096065406236E-2</v>
          </cell>
          <cell r="M95">
            <v>6.7059965648569933E-2</v>
          </cell>
          <cell r="N95">
            <v>8.5541450115020873E-2</v>
          </cell>
          <cell r="O95">
            <v>8.6534902657487603E-2</v>
          </cell>
          <cell r="P95">
            <v>5.0708785439271965E-2</v>
          </cell>
          <cell r="Q95">
            <v>4.9075245988649818E-2</v>
          </cell>
        </row>
        <row r="97">
          <cell r="D97">
            <v>91.003102378490169</v>
          </cell>
          <cell r="E97">
            <v>83.509142053445856</v>
          </cell>
          <cell r="F97">
            <v>75.993091537132983</v>
          </cell>
          <cell r="G97">
            <v>75.080443332141584</v>
          </cell>
          <cell r="H97">
            <v>66.889632107023417</v>
          </cell>
          <cell r="I97">
            <v>96.299093655589118</v>
          </cell>
          <cell r="J97">
            <v>90.470446320868518</v>
          </cell>
          <cell r="K97">
            <v>14.122533748701974</v>
          </cell>
          <cell r="L97">
            <v>52.536231884057969</v>
          </cell>
          <cell r="M97">
            <v>63.028953229398667</v>
          </cell>
          <cell r="N97">
            <v>59.760956175298809</v>
          </cell>
          <cell r="O97">
            <v>51.32591958939264</v>
          </cell>
          <cell r="P97">
            <v>51.768766177739437</v>
          </cell>
          <cell r="Q97">
            <v>49.916805324459233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QsYs"/>
      <sheetName val="Formatting"/>
      <sheetName val="SUMMARY_TABLE"/>
      <sheetName val="ET_TABLE"/>
      <sheetName val="GDP forecast"/>
      <sheetName val="SUMMARY_TABLE1"/>
      <sheetName val="ET_TABLE1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7">
          <cell r="Q17">
            <v>1266</v>
          </cell>
        </row>
      </sheetData>
      <sheetData sheetId="6"/>
      <sheetData sheetId="7" refreshError="1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Q5"/>
      <sheetName val="SUMMARY TABLE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RPW_Graphics2"/>
      <sheetName val="USGC_Chart_22"/>
      <sheetName val="USGC_Chart_32"/>
      <sheetName val="USGC_Chart2"/>
      <sheetName val="Singapore_Chart2"/>
      <sheetName val="Rott_-_ARA_Chart2"/>
      <sheetName val="NYHB_Resid_vs_Gas2"/>
      <sheetName val="USGC_Resid_vs_Gas2"/>
      <sheetName val="Notional_Cracking_Margins_Char2"/>
      <sheetName val="Comparison_Graphs2"/>
      <sheetName val="RPW_Annual2"/>
      <sheetName val="Rotterdam_-_ARA_Barges2"/>
      <sheetName val="Prices_in_3_Markets_2"/>
      <sheetName val="Price_Comparison_Charts2"/>
      <sheetName val="Inter-Product_in_3_Markets2"/>
      <sheetName val="Crude_Forecast2"/>
      <sheetName val="FOB_Med2"/>
      <sheetName val="Y-T-D_Daily2"/>
      <sheetName val="Mogas-Dist_Margins2"/>
      <sheetName val="RPW_Graphics3"/>
      <sheetName val="USGC_Chart_23"/>
      <sheetName val="USGC_Chart_33"/>
      <sheetName val="USGC_Chart3"/>
      <sheetName val="Singapore_Chart3"/>
      <sheetName val="Rott_-_ARA_Chart3"/>
      <sheetName val="NYHB_Resid_vs_Gas3"/>
      <sheetName val="USGC_Resid_vs_Gas3"/>
      <sheetName val="Notional_Cracking_Margins_Char3"/>
      <sheetName val="Comparison_Graphs3"/>
      <sheetName val="RPW_Annual3"/>
      <sheetName val="Rotterdam_-_ARA_Barges3"/>
      <sheetName val="Prices_in_3_Markets_3"/>
      <sheetName val="Price_Comparison_Charts3"/>
      <sheetName val="Inter-Product_in_3_Markets3"/>
      <sheetName val="Crude_Forecast3"/>
      <sheetName val="FOB_Med3"/>
      <sheetName val="Y-T-D_Daily3"/>
      <sheetName val="Mogas-Dist_Margins3"/>
      <sheetName val="Accuracy Calc"/>
      <sheetName val="Accuracy_Calc"/>
      <sheetName val="RPW_Graphics4"/>
      <sheetName val="USGC_Chart_24"/>
      <sheetName val="USGC_Chart_34"/>
      <sheetName val="USGC_Chart4"/>
      <sheetName val="Singapore_Chart4"/>
      <sheetName val="Rott_-_ARA_Chart4"/>
      <sheetName val="NYHB_Resid_vs_Gas4"/>
      <sheetName val="USGC_Resid_vs_Gas4"/>
      <sheetName val="Notional_Cracking_Margins_Char4"/>
      <sheetName val="Comparison_Graphs4"/>
      <sheetName val="RPW_Annual4"/>
      <sheetName val="Rotterdam_-_ARA_Barges4"/>
      <sheetName val="Prices_in_3_Markets_4"/>
      <sheetName val="Price_Comparison_Charts4"/>
      <sheetName val="Inter-Product_in_3_Markets4"/>
      <sheetName val="Crude_Forecast4"/>
      <sheetName val="FOB_Med4"/>
      <sheetName val="Y-T-D_Daily4"/>
      <sheetName val="Mogas-Dist_Margins4"/>
      <sheetName val="SUMMARY_TABLE"/>
      <sheetName val="RPW_Graphics5"/>
      <sheetName val="USGC_Chart_25"/>
      <sheetName val="USGC_Chart_35"/>
      <sheetName val="USGC_Chart5"/>
      <sheetName val="Singapore_Chart5"/>
      <sheetName val="Rott_-_ARA_Chart5"/>
      <sheetName val="NYHB_Resid_vs_Gas5"/>
      <sheetName val="USGC_Resid_vs_Gas5"/>
      <sheetName val="Notional_Cracking_Margins_Char5"/>
      <sheetName val="Comparison_Graphs5"/>
      <sheetName val="RPW_Annual5"/>
      <sheetName val="Rotterdam_-_ARA_Barges5"/>
      <sheetName val="Prices_in_3_Markets_5"/>
      <sheetName val="Price_Comparison_Charts5"/>
      <sheetName val="Inter-Product_in_3_Markets5"/>
      <sheetName val="Crude_Forecast5"/>
      <sheetName val="FOB_Med5"/>
      <sheetName val="Y-T-D_Daily5"/>
      <sheetName val="Mogas-Dist_Margins5"/>
      <sheetName val="SUMMARY_TABLE1"/>
      <sheetName val="Accuracy_Calc1"/>
      <sheetName val="RPW_Graphics6"/>
      <sheetName val="USGC_Chart_26"/>
      <sheetName val="USGC_Chart_36"/>
      <sheetName val="USGC_Chart6"/>
      <sheetName val="Singapore_Chart6"/>
      <sheetName val="Rott_-_ARA_Chart6"/>
      <sheetName val="NYHB_Resid_vs_Gas6"/>
      <sheetName val="USGC_Resid_vs_Gas6"/>
      <sheetName val="Notional_Cracking_Margins_Char6"/>
      <sheetName val="Comparison_Graphs6"/>
      <sheetName val="RPW_Annual6"/>
      <sheetName val="Rotterdam_-_ARA_Barges6"/>
      <sheetName val="Prices_in_3_Markets_6"/>
      <sheetName val="Price_Comparison_Charts6"/>
      <sheetName val="Inter-Product_in_3_Markets6"/>
      <sheetName val="Crude_Forecast6"/>
      <sheetName val="FOB_Med6"/>
      <sheetName val="Y-T-D_Daily6"/>
      <sheetName val="Mogas-Dist_Margins6"/>
      <sheetName val="SUMMARY_TABLE2"/>
      <sheetName val="Accuracy_Calc2"/>
      <sheetName val="fig_XX_YY"/>
      <sheetName val="LKP_INDEX"/>
      <sheetName val="Data for lists"/>
      <sheetName val="Data_for_lists"/>
      <sheetName val="Data_for_lis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4">
          <cell r="AJ4" t="str">
            <v>LS</v>
          </cell>
        </row>
        <row r="34">
          <cell r="A34" t="str">
            <v>Q1 93</v>
          </cell>
          <cell r="C34">
            <v>2.46</v>
          </cell>
          <cell r="F34">
            <v>3.1</v>
          </cell>
          <cell r="L34">
            <v>2.4</v>
          </cell>
          <cell r="O34">
            <v>-6.16</v>
          </cell>
          <cell r="R34">
            <v>-8.82</v>
          </cell>
        </row>
        <row r="35">
          <cell r="A35" t="str">
            <v>Q2 93</v>
          </cell>
          <cell r="C35">
            <v>4.3600000000000003</v>
          </cell>
          <cell r="F35">
            <v>2.89</v>
          </cell>
          <cell r="L35">
            <v>2.08</v>
          </cell>
          <cell r="O35">
            <v>-5.0599999999999996</v>
          </cell>
          <cell r="R35">
            <v>-9.01</v>
          </cell>
        </row>
        <row r="36">
          <cell r="A36" t="str">
            <v>Q3 93</v>
          </cell>
          <cell r="C36">
            <v>3.15</v>
          </cell>
          <cell r="F36">
            <v>3.59</v>
          </cell>
          <cell r="L36">
            <v>2.7</v>
          </cell>
          <cell r="O36">
            <v>-4.67</v>
          </cell>
          <cell r="R36">
            <v>-8.06</v>
          </cell>
        </row>
        <row r="37">
          <cell r="A37" t="str">
            <v>Q4 93</v>
          </cell>
          <cell r="C37">
            <v>1.1200000000000001</v>
          </cell>
          <cell r="F37">
            <v>4.91</v>
          </cell>
          <cell r="L37">
            <v>3.17</v>
          </cell>
          <cell r="O37">
            <v>-4.79</v>
          </cell>
          <cell r="R37">
            <v>-8</v>
          </cell>
        </row>
        <row r="38">
          <cell r="A38" t="str">
            <v>Q1 94</v>
          </cell>
          <cell r="C38">
            <v>3.6</v>
          </cell>
          <cell r="F38">
            <v>5.59</v>
          </cell>
          <cell r="L38">
            <v>3.98</v>
          </cell>
          <cell r="O38">
            <v>-2.82</v>
          </cell>
          <cell r="R38">
            <v>-5.55</v>
          </cell>
        </row>
        <row r="39">
          <cell r="A39" t="str">
            <v>Q2 94</v>
          </cell>
          <cell r="C39">
            <v>3.49</v>
          </cell>
          <cell r="F39">
            <v>2.37</v>
          </cell>
          <cell r="L39">
            <v>1.47</v>
          </cell>
          <cell r="O39">
            <v>-4.22</v>
          </cell>
          <cell r="R39">
            <v>-6.01</v>
          </cell>
        </row>
        <row r="40">
          <cell r="A40" t="str">
            <v>Q3 94</v>
          </cell>
          <cell r="C40">
            <v>2.93</v>
          </cell>
          <cell r="F40">
            <v>2.46</v>
          </cell>
          <cell r="L40">
            <v>1.21</v>
          </cell>
          <cell r="O40">
            <v>-4.43</v>
          </cell>
          <cell r="R40">
            <v>-6.05</v>
          </cell>
        </row>
        <row r="41">
          <cell r="A41" t="str">
            <v>Q4 94</v>
          </cell>
          <cell r="C41">
            <v>1.55</v>
          </cell>
          <cell r="F41">
            <v>3.35</v>
          </cell>
          <cell r="L41">
            <v>1.86</v>
          </cell>
          <cell r="O41">
            <v>-3.6</v>
          </cell>
          <cell r="R41">
            <v>-4.4800000000000004</v>
          </cell>
        </row>
        <row r="42">
          <cell r="A42" t="str">
            <v>Q1 95</v>
          </cell>
          <cell r="C42">
            <v>2.14</v>
          </cell>
          <cell r="F42">
            <v>0.99</v>
          </cell>
          <cell r="L42">
            <v>0.44</v>
          </cell>
          <cell r="O42">
            <v>-3.9</v>
          </cell>
          <cell r="R42">
            <v>-4.47</v>
          </cell>
        </row>
        <row r="43">
          <cell r="A43" t="str">
            <v>Q2 95</v>
          </cell>
          <cell r="C43">
            <v>5.3</v>
          </cell>
          <cell r="F43">
            <v>1.42</v>
          </cell>
          <cell r="L43">
            <v>0.77</v>
          </cell>
          <cell r="O43">
            <v>-3.43</v>
          </cell>
          <cell r="R43">
            <v>-4.18</v>
          </cell>
        </row>
        <row r="44">
          <cell r="A44" t="str">
            <v>Q3 95</v>
          </cell>
          <cell r="C44">
            <v>3.44</v>
          </cell>
          <cell r="F44">
            <v>3.34</v>
          </cell>
          <cell r="L44">
            <v>2.25</v>
          </cell>
          <cell r="O44">
            <v>-4.04</v>
          </cell>
          <cell r="R44">
            <v>-5.19</v>
          </cell>
        </row>
        <row r="45">
          <cell r="A45" t="str">
            <v>Q4 95</v>
          </cell>
          <cell r="C45">
            <v>1.1599999999999999</v>
          </cell>
          <cell r="F45">
            <v>3.91</v>
          </cell>
          <cell r="L45">
            <v>2.76</v>
          </cell>
          <cell r="O45">
            <v>-3.65</v>
          </cell>
          <cell r="R45">
            <v>-4.82</v>
          </cell>
        </row>
        <row r="46">
          <cell r="A46" t="str">
            <v>Q1 96</v>
          </cell>
          <cell r="C46">
            <v>2.5299999999999998</v>
          </cell>
          <cell r="F46">
            <v>3.51</v>
          </cell>
          <cell r="L46">
            <v>2.74</v>
          </cell>
          <cell r="O46">
            <v>-3.35</v>
          </cell>
          <cell r="R46">
            <v>-5.24</v>
          </cell>
        </row>
        <row r="47">
          <cell r="A47" t="str">
            <v>Q2 96</v>
          </cell>
          <cell r="C47">
            <v>3.98</v>
          </cell>
          <cell r="F47">
            <v>1.49</v>
          </cell>
          <cell r="L47">
            <v>0.55000000000000004</v>
          </cell>
          <cell r="O47">
            <v>-4.62</v>
          </cell>
          <cell r="R47">
            <v>-7</v>
          </cell>
        </row>
        <row r="48">
          <cell r="A48" t="str">
            <v>Q3 96</v>
          </cell>
          <cell r="C48">
            <v>2.2400000000000002</v>
          </cell>
          <cell r="F48">
            <v>3.98</v>
          </cell>
          <cell r="L48">
            <v>3.13</v>
          </cell>
          <cell r="O48">
            <v>-5.45</v>
          </cell>
          <cell r="R48">
            <v>-7.22</v>
          </cell>
        </row>
        <row r="49">
          <cell r="A49" t="str">
            <v>Q4 96</v>
          </cell>
          <cell r="C49">
            <v>2.46</v>
          </cell>
          <cell r="F49">
            <v>4.29</v>
          </cell>
          <cell r="L49">
            <v>3.53</v>
          </cell>
          <cell r="O49">
            <v>-5.88</v>
          </cell>
          <cell r="R49">
            <v>-7.22</v>
          </cell>
        </row>
        <row r="50">
          <cell r="A50" t="str">
            <v>Q1 97</v>
          </cell>
          <cell r="C50">
            <v>3.8</v>
          </cell>
          <cell r="F50">
            <v>3.28</v>
          </cell>
          <cell r="L50">
            <v>2.04</v>
          </cell>
          <cell r="O50">
            <v>-7.38</v>
          </cell>
          <cell r="R50">
            <v>-9.26</v>
          </cell>
        </row>
        <row r="51">
          <cell r="A51" t="str">
            <v>Q2 97</v>
          </cell>
          <cell r="C51">
            <v>4.159230769230768</v>
          </cell>
          <cell r="F51">
            <v>2.3984615384615373</v>
          </cell>
          <cell r="L51">
            <v>1.841153846153845</v>
          </cell>
          <cell r="O51">
            <v>-4.7346153846153847</v>
          </cell>
          <cell r="R51">
            <v>-6.411538461538461</v>
          </cell>
        </row>
        <row r="52">
          <cell r="A52" t="str">
            <v>Q3 97</v>
          </cell>
          <cell r="C52">
            <v>5.4119230769230757</v>
          </cell>
          <cell r="F52">
            <v>3.1099999999999994</v>
          </cell>
          <cell r="L52">
            <v>1.9873076923076918</v>
          </cell>
          <cell r="O52">
            <v>-3.7192307692307689</v>
          </cell>
          <cell r="R52">
            <v>-4.8346153846153843</v>
          </cell>
        </row>
        <row r="53">
          <cell r="A53" t="str">
            <v>Q4 97</v>
          </cell>
          <cell r="C53">
            <v>1.9378571428571427</v>
          </cell>
          <cell r="F53">
            <v>2.485357142857143</v>
          </cell>
          <cell r="L53">
            <v>2.1553571428571421</v>
          </cell>
          <cell r="O53">
            <v>-3.0128571428571425</v>
          </cell>
          <cell r="R53">
            <v>-5.366428571428572</v>
          </cell>
        </row>
      </sheetData>
      <sheetData sheetId="19" refreshError="1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USGC"/>
      <sheetName val="Carbon Price Floor"/>
      <sheetName val="Baseline results"/>
      <sheetName val="DECC Summary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CASHFLOW Gen Income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  <sheetName val="Forecast data"/>
      <sheetName val="all the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4">
          <cell r="A4">
            <v>35877</v>
          </cell>
          <cell r="D4">
            <v>33091</v>
          </cell>
          <cell r="G4">
            <v>33092</v>
          </cell>
          <cell r="J4">
            <v>33973</v>
          </cell>
          <cell r="M4">
            <v>34096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4">
          <cell r="A4">
            <v>35877</v>
          </cell>
        </row>
      </sheetData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4">
          <cell r="A4">
            <v>35877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A4">
            <v>35877</v>
          </cell>
        </row>
      </sheetData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4">
          <cell r="A4">
            <v>35877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>
            <v>35877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4">
          <cell r="A4">
            <v>35877</v>
          </cell>
        </row>
      </sheetData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>
        <row r="4">
          <cell r="A4">
            <v>35877</v>
          </cell>
        </row>
      </sheetData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  <sheetName val="Determinants"/>
      <sheetName val="AYLs re-forecast benefits +CPS "/>
      <sheetName val="Re-forecast benefits"/>
      <sheetName val="4.6 ten year bonds"/>
      <sheetName val="RESULT_09"/>
      <sheetName val="Latest_check"/>
      <sheetName val="Nom__Input"/>
      <sheetName val="Social_sec_&amp;_TC"/>
      <sheetName val="Pub_sec_pensions"/>
      <sheetName val="RESULT_10"/>
      <sheetName val="AYLs_re-forecast_benefits_+CPS_"/>
      <sheetName val="Re-forecast_benefits"/>
      <sheetName val="4_6_ten_year_bonds"/>
      <sheetName val="CASHFLOW Gen Inco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  <sheetName val="List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ABLE"/>
      <sheetName val="ET TABLE"/>
      <sheetName val="HMT"/>
      <sheetName val="SUMMARY_TABLE"/>
      <sheetName val="ET_TABLE"/>
      <sheetName val="Annex B T37 Providers"/>
    </sheetNames>
    <sheetDataSet>
      <sheetData sheetId="0" refreshError="1">
        <row r="17">
          <cell r="Q17">
            <v>1266</v>
          </cell>
        </row>
        <row r="23">
          <cell r="P23" t="str">
            <v>Number of PD forms NI only</v>
          </cell>
        </row>
        <row r="25">
          <cell r="P25" t="str">
            <v>Non-liab</v>
          </cell>
          <cell r="Q25" t="str">
            <v>Liab</v>
          </cell>
        </row>
        <row r="26">
          <cell r="P26">
            <v>1798</v>
          </cell>
          <cell r="Q26">
            <v>1221</v>
          </cell>
        </row>
        <row r="27">
          <cell r="P27">
            <v>1875</v>
          </cell>
          <cell r="Q27">
            <v>1352</v>
          </cell>
        </row>
        <row r="28">
          <cell r="P28">
            <v>1755</v>
          </cell>
          <cell r="Q28">
            <v>1296</v>
          </cell>
        </row>
        <row r="29">
          <cell r="P29">
            <v>1778</v>
          </cell>
          <cell r="Q29">
            <v>1175</v>
          </cell>
        </row>
        <row r="30">
          <cell r="P30">
            <v>2150</v>
          </cell>
          <cell r="Q30">
            <v>1155</v>
          </cell>
        </row>
        <row r="31">
          <cell r="P31">
            <v>2032</v>
          </cell>
          <cell r="Q31">
            <v>1366</v>
          </cell>
        </row>
        <row r="32">
          <cell r="P32">
            <v>2151</v>
          </cell>
          <cell r="Q32">
            <v>1364</v>
          </cell>
        </row>
        <row r="33">
          <cell r="P33">
            <v>1971</v>
          </cell>
          <cell r="Q33">
            <v>1265</v>
          </cell>
        </row>
        <row r="34">
          <cell r="P34">
            <v>1811</v>
          </cell>
          <cell r="Q34">
            <v>1039</v>
          </cell>
        </row>
        <row r="35">
          <cell r="P35">
            <v>1937</v>
          </cell>
          <cell r="Q35">
            <v>1221</v>
          </cell>
        </row>
        <row r="36">
          <cell r="P36">
            <v>1728</v>
          </cell>
          <cell r="Q36">
            <v>1087</v>
          </cell>
        </row>
        <row r="37">
          <cell r="P37">
            <v>1515</v>
          </cell>
          <cell r="Q37">
            <v>1035</v>
          </cell>
        </row>
        <row r="38">
          <cell r="P38" t="str">
            <v xml:space="preserve"> _________</v>
          </cell>
          <cell r="Q38" t="str">
            <v xml:space="preserve"> _______</v>
          </cell>
        </row>
        <row r="39">
          <cell r="P39">
            <v>18828</v>
          </cell>
          <cell r="Q39">
            <v>12003</v>
          </cell>
        </row>
        <row r="43">
          <cell r="P43" t="str">
            <v>Number of PD forms NI only</v>
          </cell>
        </row>
        <row r="45">
          <cell r="P45" t="str">
            <v>Non-liab</v>
          </cell>
          <cell r="Q45" t="str">
            <v>Liab</v>
          </cell>
        </row>
        <row r="46">
          <cell r="P46">
            <v>1867</v>
          </cell>
          <cell r="Q46">
            <v>1209</v>
          </cell>
        </row>
        <row r="47">
          <cell r="Q47">
            <v>1094</v>
          </cell>
        </row>
        <row r="48">
          <cell r="Q48">
            <v>1410</v>
          </cell>
        </row>
        <row r="49">
          <cell r="Q49">
            <v>1476</v>
          </cell>
        </row>
      </sheetData>
      <sheetData sheetId="1" refreshError="1"/>
      <sheetData sheetId="2" refreshError="1"/>
      <sheetData sheetId="3">
        <row r="17">
          <cell r="Q17">
            <v>1266</v>
          </cell>
        </row>
      </sheetData>
      <sheetData sheetId="4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DATA"/>
      <sheetName val="Data"/>
      <sheetName val="PSCE calculations"/>
      <sheetName val="Energy price support"/>
      <sheetName val="Truss-Hunt"/>
      <sheetName val="OBR - debt interest - FST_3.18"/>
      <sheetName val="OBR - debt interest - FST_3.19"/>
      <sheetName val="GREVX calculations"/>
      <sheetName val="APF"/>
      <sheetName val="OBR monthly Mar23"/>
      <sheetName val="OBR RR Oct23 - Revenues"/>
      <sheetName val="OBR RR Oct23 - Debt interest"/>
      <sheetName val="OBR RR Oct23 - Spending"/>
      <sheetName val="CSV"/>
      <sheetName val="HAVERM"/>
      <sheetName val="HAVERQ"/>
      <sheetName val="&gt;&gt;&gt; COVID Calculations"/>
      <sheetName val="CJRS assumptions"/>
      <sheetName val="Coronavirus"/>
      <sheetName val="Coronavirus summary"/>
      <sheetName val="SR20 - C1.7"/>
      <sheetName val="OBR Monthly Profiles"/>
      <sheetName val="OBR - Aggregates"/>
      <sheetName val="OBR - non-FSR"/>
      <sheetName val="OBR - S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07">
          <cell r="AG207">
            <v>0.95</v>
          </cell>
        </row>
        <row r="208">
          <cell r="AG208">
            <v>1.6212120000000001</v>
          </cell>
        </row>
        <row r="209">
          <cell r="AG209">
            <v>2.8269229999999999</v>
          </cell>
        </row>
        <row r="210">
          <cell r="AG210">
            <v>3.85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EBAB-20E8-41A6-A31A-73AE8A4EC814}">
  <dimension ref="A1:V11"/>
  <sheetViews>
    <sheetView workbookViewId="0">
      <selection activeCell="E11" sqref="E11"/>
    </sheetView>
  </sheetViews>
  <sheetFormatPr defaultRowHeight="15" x14ac:dyDescent="0.25"/>
  <cols>
    <col min="6" max="6" width="2.7109375" customWidth="1"/>
  </cols>
  <sheetData>
    <row r="1" spans="1:22" x14ac:dyDescent="0.25">
      <c r="A1" s="10" t="s">
        <v>268</v>
      </c>
      <c r="G1" s="10" t="s">
        <v>369</v>
      </c>
      <c r="N1" s="10" t="s">
        <v>268</v>
      </c>
      <c r="R1" s="10" t="s">
        <v>297</v>
      </c>
    </row>
    <row r="2" spans="1:22" ht="26.25" x14ac:dyDescent="0.25">
      <c r="B2" s="21" t="s">
        <v>376</v>
      </c>
      <c r="C2" t="s">
        <v>377</v>
      </c>
      <c r="D2" t="s">
        <v>372</v>
      </c>
      <c r="E2" t="s">
        <v>382</v>
      </c>
      <c r="H2" s="21" t="s">
        <v>362</v>
      </c>
      <c r="I2" t="s">
        <v>370</v>
      </c>
      <c r="J2" t="s">
        <v>372</v>
      </c>
      <c r="K2" t="s">
        <v>382</v>
      </c>
      <c r="N2" s="11" t="s">
        <v>269</v>
      </c>
      <c r="O2" s="11" t="s">
        <v>270</v>
      </c>
      <c r="P2" s="12" t="s">
        <v>271</v>
      </c>
      <c r="R2" s="15" t="s">
        <v>279</v>
      </c>
      <c r="S2" s="15" t="s">
        <v>280</v>
      </c>
      <c r="T2" s="12" t="s">
        <v>271</v>
      </c>
    </row>
    <row r="3" spans="1:22" x14ac:dyDescent="0.25">
      <c r="A3">
        <v>2</v>
      </c>
      <c r="B3" s="2">
        <f t="array" ref="B3:B8">TRANSPOSE(HAVERD!B308:G308)</f>
        <v>4.8863636363636367</v>
      </c>
      <c r="C3" s="2">
        <f t="array" ref="C3:C8">TRANSPOSE(HAVERD!B309:G309)</f>
        <v>4.2772727272727273</v>
      </c>
      <c r="D3" s="2" cm="1">
        <f t="array" ref="D3:D8">TRANSPOSE(HAVERD!B310:G310)</f>
        <v>4.3618181818181823</v>
      </c>
      <c r="E3" s="2">
        <f t="array" ref="E3:E8">TRANSPOSE(HAVERD!B311:G311)</f>
        <v>4.5999999999999996</v>
      </c>
      <c r="G3">
        <v>2024</v>
      </c>
      <c r="H3" s="2">
        <f t="array" ref="H3:H7">TRANSPOSE(HAVERD!H308:L308)</f>
        <v>5.1774545727272727</v>
      </c>
      <c r="I3" s="2">
        <f t="array" ref="I3:I7">TRANSPOSE(HAVERD!H309:L309)</f>
        <v>4.0697531636363635</v>
      </c>
      <c r="J3" s="2">
        <f t="array" ref="J3:J7">TRANSPOSE(HAVERD!H310:L310)</f>
        <v>4.1738804363636364</v>
      </c>
      <c r="K3" s="2">
        <f t="array" ref="K3:K7">TRANSPOSE(HAVERD!H311:L311)</f>
        <v>4.4086505999999996</v>
      </c>
      <c r="M3" s="14" t="s">
        <v>272</v>
      </c>
      <c r="N3" s="2">
        <v>3.1333693188172824</v>
      </c>
      <c r="O3" s="2">
        <f>N3</f>
        <v>3.1333693188172824</v>
      </c>
      <c r="P3" s="13"/>
      <c r="R3" s="2">
        <v>2.3091499999999998</v>
      </c>
      <c r="S3" s="2">
        <f>AVERAGE([13]CSV!AG207:AG210)</f>
        <v>2.3120337499999999</v>
      </c>
      <c r="T3" s="13"/>
    </row>
    <row r="4" spans="1:22" x14ac:dyDescent="0.25">
      <c r="A4">
        <v>5</v>
      </c>
      <c r="B4" s="2">
        <v>4.5309090909090912</v>
      </c>
      <c r="C4" s="2">
        <v>3.8081818181818181</v>
      </c>
      <c r="D4" s="2">
        <v>3.8809090909090909</v>
      </c>
      <c r="E4" s="2">
        <v>4.13</v>
      </c>
      <c r="G4">
        <v>2025</v>
      </c>
      <c r="H4" s="2">
        <v>4.5591651999999998</v>
      </c>
      <c r="I4" s="2">
        <v>3.4056860272727278</v>
      </c>
      <c r="J4" s="2">
        <v>3.5014337090909096</v>
      </c>
      <c r="K4" s="2">
        <v>3.8089945000000003</v>
      </c>
      <c r="M4" s="14" t="s">
        <v>273</v>
      </c>
      <c r="N4" s="2">
        <v>4.4976273280064145</v>
      </c>
      <c r="O4" s="2">
        <f>N4-0.5</f>
        <v>3.9976273280064145</v>
      </c>
      <c r="P4" s="13">
        <f>'OBR RR Oct23 - Debt interest'!C8*(O4-N4)</f>
        <v>-553.97924026779322</v>
      </c>
      <c r="R4" s="2">
        <v>5.0697960760435672</v>
      </c>
      <c r="S4" s="2">
        <f>R4</f>
        <v>5.0697960760435672</v>
      </c>
      <c r="T4" s="13">
        <f>'OBR RR Oct23 - Debt interest'!C13*(S4-R4)</f>
        <v>0</v>
      </c>
    </row>
    <row r="5" spans="1:22" x14ac:dyDescent="0.25">
      <c r="A5">
        <v>10</v>
      </c>
      <c r="B5" s="2">
        <v>4.4927272727272731</v>
      </c>
      <c r="C5" s="2">
        <v>3.8954545454545464</v>
      </c>
      <c r="D5" s="2">
        <v>3.9227272727272724</v>
      </c>
      <c r="E5" s="2">
        <v>4.0949999999999998</v>
      </c>
      <c r="G5">
        <v>2026</v>
      </c>
      <c r="H5" s="2">
        <v>4.2005258545454547</v>
      </c>
      <c r="I5" s="2">
        <v>3.2337974909090916</v>
      </c>
      <c r="J5" s="2">
        <v>3.3149500181818179</v>
      </c>
      <c r="K5" s="2">
        <v>3.5581898333333335</v>
      </c>
      <c r="M5" s="14" t="s">
        <v>274</v>
      </c>
      <c r="N5" s="2">
        <v>4.522966010271305</v>
      </c>
      <c r="O5" s="2">
        <f t="shared" ref="O5:O9" si="0">N5-0.5</f>
        <v>4.022966010271305</v>
      </c>
      <c r="P5" s="13">
        <f>'OBR RR Oct23 - Debt interest'!D9*(O5-N5)+'OBR RR Oct23 - Debt interest'!D8*(O4-N4)</f>
        <v>-1671.1495875071591</v>
      </c>
      <c r="R5" s="2">
        <v>4.9920467014797509</v>
      </c>
      <c r="S5" s="2">
        <f t="shared" ref="S5:S8" si="1">R5+(I3-H3)</f>
        <v>3.8843452923888417</v>
      </c>
      <c r="T5" s="13">
        <f>'OBR RR Oct23 - Debt interest'!D14*(S5-R5)+'OBR RR Oct23 - Debt interest'!D13*(S4-R4)</f>
        <v>-11027.415490191137</v>
      </c>
      <c r="V5" s="13">
        <f t="shared" ref="V5:V8" si="2">T5+P5</f>
        <v>-12698.565077698297</v>
      </c>
    </row>
    <row r="6" spans="1:22" x14ac:dyDescent="0.25">
      <c r="A6">
        <v>15</v>
      </c>
      <c r="B6" s="2">
        <v>4.8027272727272727</v>
      </c>
      <c r="C6" s="2">
        <v>4.2618181818181826</v>
      </c>
      <c r="D6" s="2">
        <v>4.28</v>
      </c>
      <c r="E6" s="2">
        <v>4.415</v>
      </c>
      <c r="G6">
        <v>2027</v>
      </c>
      <c r="H6" s="2">
        <v>4.0434114272727264</v>
      </c>
      <c r="I6" s="2">
        <v>3.2167426818181823</v>
      </c>
      <c r="J6" s="2">
        <v>3.279149918181818</v>
      </c>
      <c r="K6" s="2">
        <v>3.4652736999999996</v>
      </c>
      <c r="M6" s="14" t="s">
        <v>275</v>
      </c>
      <c r="N6" s="2">
        <v>4.5462089114736992</v>
      </c>
      <c r="O6" s="2">
        <f t="shared" si="0"/>
        <v>4.0462089114736992</v>
      </c>
      <c r="P6" s="13">
        <f>'OBR RR Oct23 - Debt interest'!E10*(O6-N6)+'OBR RR Oct23 - Debt interest'!E9*(O5-N5)+'OBR RR Oct23 - Debt interest'!E8*(O4-N4)</f>
        <v>-2757.632744867642</v>
      </c>
      <c r="R6" s="2">
        <v>4.4425854707842527</v>
      </c>
      <c r="S6" s="2">
        <f t="shared" si="1"/>
        <v>3.2891062980569807</v>
      </c>
      <c r="T6" s="13">
        <f>'OBR RR Oct23 - Debt interest'!E15*(S6-R6)+'OBR RR Oct23 - Debt interest'!E14*(S5-R5)</f>
        <v>-10800.728970629809</v>
      </c>
      <c r="V6" s="13">
        <f t="shared" si="2"/>
        <v>-13558.361715497451</v>
      </c>
    </row>
    <row r="7" spans="1:22" x14ac:dyDescent="0.25">
      <c r="A7">
        <v>20</v>
      </c>
      <c r="B7" s="2">
        <v>4.8945454545454545</v>
      </c>
      <c r="C7" s="2">
        <v>4.4345454545454537</v>
      </c>
      <c r="D7" s="2">
        <v>4.454545454545455</v>
      </c>
      <c r="E7" s="2">
        <v>4.5675000000000008</v>
      </c>
      <c r="G7">
        <v>2028</v>
      </c>
      <c r="H7" s="2">
        <v>3.9784683818181819</v>
      </c>
      <c r="I7" s="2">
        <v>3.271681172727273</v>
      </c>
      <c r="J7" s="2">
        <v>3.3161629363636367</v>
      </c>
      <c r="K7" s="2">
        <v>3.4655414666666666</v>
      </c>
      <c r="M7" s="14" t="s">
        <v>276</v>
      </c>
      <c r="N7" s="2">
        <v>4.6239697619751006</v>
      </c>
      <c r="O7" s="2">
        <f t="shared" si="0"/>
        <v>4.1239697619751006</v>
      </c>
      <c r="P7" s="13">
        <f>'OBR RR Oct23 - Debt interest'!F11*(O7-N7)+'OBR RR Oct23 - Debt interest'!F10*(O6-N6)+'OBR RR Oct23 - Debt interest'!F9*(O5-N5)+'OBR RR Oct23 - Debt interest'!F8*(O4-N4)</f>
        <v>-3619.9076695055369</v>
      </c>
      <c r="R7" s="2">
        <v>4.157476243820537</v>
      </c>
      <c r="S7" s="2">
        <f t="shared" si="1"/>
        <v>3.190747880184174</v>
      </c>
      <c r="T7" s="13">
        <f>'OBR RR Oct23 - Debt interest'!F16*(S7-R7)+'OBR RR Oct23 - Debt interest'!F15*(S6-R6)</f>
        <v>-8447.8421383486111</v>
      </c>
      <c r="V7" s="13">
        <f t="shared" si="2"/>
        <v>-12067.749807854148</v>
      </c>
    </row>
    <row r="8" spans="1:22" x14ac:dyDescent="0.25">
      <c r="A8">
        <v>30</v>
      </c>
      <c r="B8" s="2">
        <v>4.9418181818181814</v>
      </c>
      <c r="C8" s="2">
        <v>4.5263636363636373</v>
      </c>
      <c r="D8" s="2">
        <v>4.543636363636363</v>
      </c>
      <c r="E8" s="2">
        <v>4.6325000000000003</v>
      </c>
      <c r="J8" s="2"/>
      <c r="K8" s="2"/>
      <c r="M8" s="14" t="s">
        <v>277</v>
      </c>
      <c r="N8" s="2">
        <v>4.7407154811989773</v>
      </c>
      <c r="O8" s="2">
        <f t="shared" si="0"/>
        <v>4.2407154811989773</v>
      </c>
      <c r="P8" s="13">
        <f>'OBR RR Oct23 - Debt interest'!G12*(O8-N8)+'OBR RR Oct23 - Debt interest'!G11*(O7-N7)+'OBR RR Oct23 - Debt interest'!G10*(O6-N6)+'OBR RR Oct23 - Debt interest'!G9*(O5-N5)+'OBR RR Oct23 - Debt interest'!G8*(O4-N4)</f>
        <v>-4430.3412872438275</v>
      </c>
      <c r="R8" s="2">
        <v>4.0322902188136256</v>
      </c>
      <c r="S8" s="2">
        <f t="shared" si="1"/>
        <v>3.2056214733590815</v>
      </c>
      <c r="T8" s="13">
        <f>'OBR RR Oct23 - Debt interest'!G17*(S8-R8)+'OBR RR Oct23 - Debt interest'!G16*(S7-R7)</f>
        <v>-6538.3478331944543</v>
      </c>
      <c r="V8" s="13">
        <f t="shared" si="2"/>
        <v>-10968.689120438281</v>
      </c>
    </row>
    <row r="9" spans="1:22" x14ac:dyDescent="0.25">
      <c r="M9" s="14" t="s">
        <v>278</v>
      </c>
      <c r="N9" s="2">
        <v>4.8799803225310932</v>
      </c>
      <c r="O9" s="2">
        <f t="shared" si="0"/>
        <v>4.3799803225310932</v>
      </c>
      <c r="P9" s="13">
        <f>'OBR RR Oct23 - Debt interest'!J12*(O9-N9)+'OBR RR Oct23 - Debt interest'!H12*(O8-N8)+'OBR RR Oct23 - Debt interest'!H11*(O7-N7)+'OBR RR Oct23 - Debt interest'!H10*(O6-N6)+'OBR RR Oct23 - Debt interest'!H9*(O5-N5)+'OBR RR Oct23 - Debt interest'!H8*(O4-N4)</f>
        <v>-5341.8895303702375</v>
      </c>
      <c r="R9" s="2">
        <v>3.9881937944053703</v>
      </c>
      <c r="S9" s="2">
        <f>R9+(I7-H7)</f>
        <v>3.2814065853144614</v>
      </c>
      <c r="T9" s="13">
        <f>'OBR RR Oct23 - Debt interest'!J17*(S9-R9)+'OBR RR Oct23 - Debt interest'!H17*(S8-R8)</f>
        <v>-5041.7454420452568</v>
      </c>
      <c r="V9" s="13">
        <f>T9+P9</f>
        <v>-10383.634972415493</v>
      </c>
    </row>
    <row r="10" spans="1:22" x14ac:dyDescent="0.25">
      <c r="A10" t="s">
        <v>373</v>
      </c>
      <c r="B10" s="2">
        <f>AVERAGE(B3:B8)</f>
        <v>4.7581818181818178</v>
      </c>
      <c r="C10" s="2">
        <f>AVERAGE(C3:C8)</f>
        <v>4.2006060606060611</v>
      </c>
      <c r="D10" s="2">
        <f>AVERAGE(D3:D8)</f>
        <v>4.2406060606060603</v>
      </c>
      <c r="E10" s="2">
        <f>AVERAGE(E3:E8)</f>
        <v>4.4066666666666663</v>
      </c>
      <c r="H10" s="2">
        <f>AVERAGE(H3:H8)</f>
        <v>4.3918050872727274</v>
      </c>
      <c r="I10" s="2">
        <f>AVERAGE(I3:I8)</f>
        <v>3.4395321072727278</v>
      </c>
      <c r="J10" s="2">
        <f>AVERAGE(J3:J8)</f>
        <v>3.5171154036363639</v>
      </c>
      <c r="K10" s="2">
        <f>AVERAGE(K3:K8)</f>
        <v>3.7413300200000004</v>
      </c>
    </row>
    <row r="11" spans="1:22" x14ac:dyDescent="0.25">
      <c r="A11" t="s">
        <v>287</v>
      </c>
      <c r="C11" s="2">
        <f>C10-$B$10</f>
        <v>-0.55757575757575673</v>
      </c>
      <c r="D11" s="2">
        <f>D10-$B$10</f>
        <v>-0.51757575757575758</v>
      </c>
      <c r="E11" s="2">
        <f>E10-$B$10</f>
        <v>-0.35151515151515156</v>
      </c>
      <c r="I11" s="2">
        <f>I10-$B$10</f>
        <v>-1.31864971090909</v>
      </c>
      <c r="J11" s="2">
        <f>J10-$B$10</f>
        <v>-1.241066414545454</v>
      </c>
      <c r="K11" s="2">
        <f>K10-$B$10</f>
        <v>-1.0168517981818175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B877-62CE-4EBE-91DC-475B658BBE36}">
  <dimension ref="A1:M322"/>
  <sheetViews>
    <sheetView workbookViewId="0">
      <pane xSplit="1" ySplit="6" topLeftCell="D286" activePane="bottomRight" state="frozen"/>
      <selection pane="topRight" activeCell="B1" sqref="B1"/>
      <selection pane="bottomLeft" activeCell="A7" sqref="A7"/>
      <selection pane="bottomRight" activeCell="G304" sqref="G304"/>
    </sheetView>
  </sheetViews>
  <sheetFormatPr defaultRowHeight="15" x14ac:dyDescent="0.25"/>
  <cols>
    <col min="1" max="1" width="16.5703125" customWidth="1"/>
    <col min="2" max="14" width="17.7109375" customWidth="1"/>
  </cols>
  <sheetData>
    <row r="1" spans="1:13" x14ac:dyDescent="0.25">
      <c r="A1" s="1" t="s">
        <v>2</v>
      </c>
      <c r="B1" t="s">
        <v>0</v>
      </c>
      <c r="C1" s="18" t="s">
        <v>351</v>
      </c>
      <c r="D1" t="s">
        <v>1</v>
      </c>
      <c r="E1" s="18" t="s">
        <v>358</v>
      </c>
      <c r="F1" t="s">
        <v>354</v>
      </c>
      <c r="G1" t="s">
        <v>355</v>
      </c>
      <c r="H1" t="s">
        <v>281</v>
      </c>
      <c r="I1" t="s">
        <v>282</v>
      </c>
      <c r="J1" t="s">
        <v>283</v>
      </c>
      <c r="K1" t="s">
        <v>284</v>
      </c>
      <c r="L1" t="s">
        <v>285</v>
      </c>
      <c r="M1" t="s">
        <v>286</v>
      </c>
    </row>
    <row r="2" spans="1:13" s="16" customFormat="1" ht="60" x14ac:dyDescent="0.25">
      <c r="A2" s="16" t="s">
        <v>8</v>
      </c>
      <c r="B2" s="16" t="s">
        <v>11</v>
      </c>
      <c r="C2" s="16" t="s">
        <v>353</v>
      </c>
      <c r="D2" s="16" t="s">
        <v>12</v>
      </c>
      <c r="E2" s="16" t="s">
        <v>359</v>
      </c>
      <c r="F2" s="16" t="s">
        <v>356</v>
      </c>
      <c r="G2" s="16" t="s">
        <v>357</v>
      </c>
      <c r="H2" s="16" t="s">
        <v>290</v>
      </c>
      <c r="I2" s="16" t="s">
        <v>291</v>
      </c>
      <c r="J2" s="16" t="s">
        <v>292</v>
      </c>
      <c r="K2" s="16" t="s">
        <v>293</v>
      </c>
      <c r="L2" s="16" t="s">
        <v>294</v>
      </c>
      <c r="M2" s="16" t="s">
        <v>296</v>
      </c>
    </row>
    <row r="3" spans="1:13" x14ac:dyDescent="0.25">
      <c r="A3" t="s">
        <v>7</v>
      </c>
      <c r="B3" t="s">
        <v>10</v>
      </c>
      <c r="C3" t="s">
        <v>352</v>
      </c>
      <c r="D3" t="s">
        <v>10</v>
      </c>
      <c r="E3" t="s">
        <v>352</v>
      </c>
      <c r="F3" t="s">
        <v>352</v>
      </c>
      <c r="G3" t="s">
        <v>352</v>
      </c>
      <c r="H3" t="s">
        <v>289</v>
      </c>
      <c r="I3" t="s">
        <v>289</v>
      </c>
      <c r="J3" t="s">
        <v>289</v>
      </c>
      <c r="K3" t="s">
        <v>289</v>
      </c>
      <c r="L3" t="s">
        <v>289</v>
      </c>
      <c r="M3" t="s">
        <v>295</v>
      </c>
    </row>
    <row r="4" spans="1:13" x14ac:dyDescent="0.25">
      <c r="A4" t="s">
        <v>6</v>
      </c>
      <c r="B4" t="s">
        <v>384</v>
      </c>
      <c r="C4" t="s">
        <v>384</v>
      </c>
      <c r="D4" t="s">
        <v>384</v>
      </c>
      <c r="E4" t="s">
        <v>384</v>
      </c>
      <c r="F4" t="s">
        <v>384</v>
      </c>
      <c r="G4" t="s">
        <v>384</v>
      </c>
      <c r="H4" t="s">
        <v>378</v>
      </c>
      <c r="I4" t="s">
        <v>378</v>
      </c>
      <c r="J4" t="s">
        <v>378</v>
      </c>
      <c r="K4" t="s">
        <v>378</v>
      </c>
      <c r="L4" t="s">
        <v>378</v>
      </c>
      <c r="M4" t="s">
        <v>378</v>
      </c>
    </row>
    <row r="5" spans="1:13" x14ac:dyDescent="0.25">
      <c r="A5" t="s">
        <v>5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288</v>
      </c>
      <c r="I5" t="s">
        <v>288</v>
      </c>
      <c r="J5" t="s">
        <v>288</v>
      </c>
      <c r="K5" t="s">
        <v>288</v>
      </c>
      <c r="L5" t="s">
        <v>288</v>
      </c>
      <c r="M5" t="s">
        <v>288</v>
      </c>
    </row>
    <row r="6" spans="1:13" x14ac:dyDescent="0.25">
      <c r="A6" t="s">
        <v>4</v>
      </c>
      <c r="B6" t="s">
        <v>383</v>
      </c>
      <c r="C6" t="s">
        <v>383</v>
      </c>
      <c r="D6" t="s">
        <v>383</v>
      </c>
      <c r="E6" t="s">
        <v>383</v>
      </c>
      <c r="F6" t="s">
        <v>383</v>
      </c>
      <c r="G6" t="s">
        <v>383</v>
      </c>
      <c r="H6" t="s">
        <v>379</v>
      </c>
      <c r="I6" t="s">
        <v>379</v>
      </c>
      <c r="J6" t="s">
        <v>379</v>
      </c>
      <c r="K6" t="s">
        <v>379</v>
      </c>
      <c r="L6" t="s">
        <v>379</v>
      </c>
      <c r="M6" t="s">
        <v>379</v>
      </c>
    </row>
    <row r="7" spans="1:13" x14ac:dyDescent="0.25">
      <c r="A7" t="s">
        <v>3</v>
      </c>
      <c r="B7" s="2" t="e">
        <v>#N/A</v>
      </c>
      <c r="C7" s="2" t="e">
        <v>#N/A</v>
      </c>
      <c r="D7" s="2">
        <v>3.67</v>
      </c>
      <c r="E7" s="2">
        <v>4</v>
      </c>
      <c r="F7" s="2" t="e">
        <v>#N/A</v>
      </c>
      <c r="G7" s="2" t="e">
        <v>#N/A</v>
      </c>
      <c r="H7" s="17" t="e">
        <v>#N/A</v>
      </c>
      <c r="I7" s="17" t="e">
        <v>#N/A</v>
      </c>
      <c r="J7" s="17" t="e">
        <v>#N/A</v>
      </c>
      <c r="K7" s="17" t="e">
        <v>#N/A</v>
      </c>
      <c r="L7" s="17" t="e">
        <v>#N/A</v>
      </c>
      <c r="M7" s="17" t="e">
        <v>#N/A</v>
      </c>
    </row>
    <row r="8" spans="1:13" x14ac:dyDescent="0.25">
      <c r="A8" t="s">
        <v>13</v>
      </c>
      <c r="B8" s="2">
        <v>3.57</v>
      </c>
      <c r="C8" s="2">
        <v>3.61</v>
      </c>
      <c r="D8" s="2">
        <v>3.65</v>
      </c>
      <c r="E8" s="2">
        <v>3.98</v>
      </c>
      <c r="F8" s="2">
        <v>4.03</v>
      </c>
      <c r="G8" s="2">
        <v>3.95</v>
      </c>
      <c r="H8" s="17">
        <v>4.6062333000000004</v>
      </c>
      <c r="I8" s="17">
        <v>4.0860817000000003</v>
      </c>
      <c r="J8" s="17">
        <v>3.7383644</v>
      </c>
      <c r="K8" s="17">
        <v>3.5202418</v>
      </c>
      <c r="L8" s="17">
        <v>3.3603768000000001</v>
      </c>
      <c r="M8" s="17">
        <v>3.2670637</v>
      </c>
    </row>
    <row r="9" spans="1:13" x14ac:dyDescent="0.25">
      <c r="A9" t="s">
        <v>14</v>
      </c>
      <c r="B9" s="2">
        <v>3.44</v>
      </c>
      <c r="C9" s="2">
        <v>3.49</v>
      </c>
      <c r="D9" s="2">
        <v>3.5</v>
      </c>
      <c r="E9" s="2">
        <v>3.86</v>
      </c>
      <c r="F9" s="2">
        <v>3.91</v>
      </c>
      <c r="G9" s="2">
        <v>3.83</v>
      </c>
      <c r="H9" s="17">
        <v>4.4897159000000002</v>
      </c>
      <c r="I9" s="17">
        <v>3.8946255000000001</v>
      </c>
      <c r="J9" s="17">
        <v>3.5485093999999999</v>
      </c>
      <c r="K9" s="17">
        <v>3.3581344999999998</v>
      </c>
      <c r="L9" s="17">
        <v>3.2157631000000002</v>
      </c>
      <c r="M9" s="17">
        <v>3.1344240999999999</v>
      </c>
    </row>
    <row r="10" spans="1:13" x14ac:dyDescent="0.25">
      <c r="A10" t="s">
        <v>15</v>
      </c>
      <c r="B10" s="2">
        <v>3.5</v>
      </c>
      <c r="C10" s="2">
        <v>3.54</v>
      </c>
      <c r="D10" s="2">
        <v>3.55</v>
      </c>
      <c r="E10" s="2">
        <v>3.92</v>
      </c>
      <c r="F10" s="2">
        <v>3.97</v>
      </c>
      <c r="G10" s="2">
        <v>3.9</v>
      </c>
      <c r="H10" s="17">
        <v>4.6093365999999998</v>
      </c>
      <c r="I10" s="17">
        <v>4.0251200999999996</v>
      </c>
      <c r="J10" s="17">
        <v>3.6258403000000001</v>
      </c>
      <c r="K10" s="17">
        <v>3.4044061000000001</v>
      </c>
      <c r="L10" s="17">
        <v>3.2485979999999999</v>
      </c>
      <c r="M10" s="17">
        <v>3.1579104</v>
      </c>
    </row>
    <row r="11" spans="1:13" x14ac:dyDescent="0.25">
      <c r="A11" t="s">
        <v>16</v>
      </c>
      <c r="B11" s="2">
        <v>3.41</v>
      </c>
      <c r="C11" s="2">
        <v>3.44</v>
      </c>
      <c r="D11" s="2">
        <v>3.47</v>
      </c>
      <c r="E11" s="2">
        <v>3.87</v>
      </c>
      <c r="F11" s="2">
        <v>3.92</v>
      </c>
      <c r="G11" s="2">
        <v>3.87</v>
      </c>
      <c r="H11" s="17">
        <v>4.5135822000000001</v>
      </c>
      <c r="I11" s="17">
        <v>3.9067508000000002</v>
      </c>
      <c r="J11" s="17">
        <v>3.5489763000000001</v>
      </c>
      <c r="K11" s="17">
        <v>3.3517725</v>
      </c>
      <c r="L11" s="17">
        <v>3.2136095999999998</v>
      </c>
      <c r="M11" s="17">
        <v>3.1364836</v>
      </c>
    </row>
    <row r="12" spans="1:13" x14ac:dyDescent="0.25">
      <c r="A12" t="s">
        <v>17</v>
      </c>
      <c r="B12" s="2">
        <v>3.44</v>
      </c>
      <c r="C12" s="2">
        <v>3.44</v>
      </c>
      <c r="D12" s="2">
        <v>3.53</v>
      </c>
      <c r="E12" s="2">
        <v>3.92</v>
      </c>
      <c r="F12" s="2">
        <v>3.99</v>
      </c>
      <c r="G12" s="2">
        <v>3.95</v>
      </c>
      <c r="H12" s="17">
        <v>4.4073146000000003</v>
      </c>
      <c r="I12" s="17">
        <v>3.8168853</v>
      </c>
      <c r="J12" s="17">
        <v>3.4943471000000002</v>
      </c>
      <c r="K12" s="17">
        <v>3.344989</v>
      </c>
      <c r="L12" s="17">
        <v>3.2567799000000002</v>
      </c>
      <c r="M12" s="17">
        <v>3.2227345000000001</v>
      </c>
    </row>
    <row r="13" spans="1:13" x14ac:dyDescent="0.25">
      <c r="A13" t="s">
        <v>18</v>
      </c>
      <c r="B13" s="2">
        <v>3.46</v>
      </c>
      <c r="C13" s="2">
        <v>3.46</v>
      </c>
      <c r="D13" s="2">
        <v>3.56</v>
      </c>
      <c r="E13" s="2">
        <v>3.9</v>
      </c>
      <c r="F13" s="2">
        <v>3.97</v>
      </c>
      <c r="G13" s="2">
        <v>3.9</v>
      </c>
      <c r="H13" s="17">
        <v>4.4532427999999999</v>
      </c>
      <c r="I13" s="17">
        <v>3.8421403000000001</v>
      </c>
      <c r="J13" s="17">
        <v>3.5138981999999999</v>
      </c>
      <c r="K13" s="17">
        <v>3.3666806</v>
      </c>
      <c r="L13" s="17">
        <v>3.2777326000000002</v>
      </c>
      <c r="M13" s="17">
        <v>3.2400696</v>
      </c>
    </row>
    <row r="14" spans="1:13" x14ac:dyDescent="0.25">
      <c r="A14" t="s">
        <v>19</v>
      </c>
      <c r="B14" s="2">
        <v>3.52</v>
      </c>
      <c r="C14" s="2">
        <v>3.33</v>
      </c>
      <c r="D14" s="2">
        <v>3.41</v>
      </c>
      <c r="E14" s="2">
        <v>3.75</v>
      </c>
      <c r="F14" s="2">
        <v>3.82</v>
      </c>
      <c r="G14" s="2">
        <v>3.75</v>
      </c>
      <c r="H14" s="17">
        <v>4.3232654000000004</v>
      </c>
      <c r="I14" s="17">
        <v>3.6598017999999999</v>
      </c>
      <c r="J14" s="17">
        <v>3.2991484</v>
      </c>
      <c r="K14" s="17">
        <v>3.1085172000000001</v>
      </c>
      <c r="L14" s="17">
        <v>2.9904796</v>
      </c>
      <c r="M14" s="17">
        <v>2.9381602</v>
      </c>
    </row>
    <row r="15" spans="1:13" x14ac:dyDescent="0.25">
      <c r="A15" t="s">
        <v>20</v>
      </c>
      <c r="B15" s="2">
        <v>3.41</v>
      </c>
      <c r="C15" s="2">
        <v>3.22</v>
      </c>
      <c r="D15" s="2">
        <v>3.32</v>
      </c>
      <c r="E15" s="2">
        <v>3.67</v>
      </c>
      <c r="F15" s="2">
        <v>3.74</v>
      </c>
      <c r="G15" s="2">
        <v>3.68</v>
      </c>
      <c r="H15" s="17">
        <v>4.2304326999999997</v>
      </c>
      <c r="I15" s="17">
        <v>3.5443186</v>
      </c>
      <c r="J15" s="17">
        <v>3.2434023000000001</v>
      </c>
      <c r="K15" s="17">
        <v>3.1144552999999999</v>
      </c>
      <c r="L15" s="17">
        <v>3.0281772999999998</v>
      </c>
      <c r="M15" s="17">
        <v>2.9867674000000002</v>
      </c>
    </row>
    <row r="16" spans="1:13" x14ac:dyDescent="0.25">
      <c r="A16" t="s">
        <v>21</v>
      </c>
      <c r="B16" s="2">
        <v>3.48</v>
      </c>
      <c r="C16" s="2">
        <v>3.3</v>
      </c>
      <c r="D16" s="2">
        <v>3.37</v>
      </c>
      <c r="E16" s="2">
        <v>3.71</v>
      </c>
      <c r="F16" s="2">
        <v>3.79</v>
      </c>
      <c r="G16" s="2">
        <v>3.73</v>
      </c>
      <c r="H16" s="17">
        <v>4.2881922000000001</v>
      </c>
      <c r="I16" s="17">
        <v>3.5435797</v>
      </c>
      <c r="J16" s="17">
        <v>3.2706631000000002</v>
      </c>
      <c r="K16" s="17">
        <v>3.1708116999999998</v>
      </c>
      <c r="L16" s="17">
        <v>3.0875292999999999</v>
      </c>
      <c r="M16" s="17">
        <v>3.0353737999999999</v>
      </c>
    </row>
    <row r="17" spans="1:13" x14ac:dyDescent="0.25">
      <c r="A17" t="s">
        <v>22</v>
      </c>
      <c r="B17" s="2">
        <v>3.5</v>
      </c>
      <c r="C17" s="2">
        <v>3.32</v>
      </c>
      <c r="D17" s="2">
        <v>3.39</v>
      </c>
      <c r="E17" s="2">
        <v>3.73</v>
      </c>
      <c r="F17" s="2">
        <v>3.79</v>
      </c>
      <c r="G17" s="2">
        <v>3.73</v>
      </c>
      <c r="H17" s="17">
        <v>4.2747052999999999</v>
      </c>
      <c r="I17" s="17">
        <v>3.5420780000000001</v>
      </c>
      <c r="J17" s="17">
        <v>3.2860174999999998</v>
      </c>
      <c r="K17" s="17">
        <v>3.1890703999999999</v>
      </c>
      <c r="L17" s="17">
        <v>3.1073268000000001</v>
      </c>
      <c r="M17" s="17">
        <v>3.0597314999999998</v>
      </c>
    </row>
    <row r="18" spans="1:13" x14ac:dyDescent="0.25">
      <c r="A18" t="s">
        <v>23</v>
      </c>
      <c r="B18" s="2">
        <v>3.46</v>
      </c>
      <c r="C18" s="2">
        <v>3.28</v>
      </c>
      <c r="D18" s="2">
        <v>3.33</v>
      </c>
      <c r="E18" s="2">
        <v>3.67</v>
      </c>
      <c r="F18" s="2">
        <v>3.73</v>
      </c>
      <c r="G18" s="2">
        <v>3.67</v>
      </c>
      <c r="H18" s="17">
        <v>4.2581274999999996</v>
      </c>
      <c r="I18" s="17">
        <v>3.5272779999999999</v>
      </c>
      <c r="J18" s="17">
        <v>3.2329675999999998</v>
      </c>
      <c r="K18" s="17">
        <v>3.1110107999999999</v>
      </c>
      <c r="L18" s="17">
        <v>3.0186674999999998</v>
      </c>
      <c r="M18" s="17">
        <v>2.9668798999999999</v>
      </c>
    </row>
    <row r="19" spans="1:13" x14ac:dyDescent="0.25">
      <c r="A19" t="s">
        <v>24</v>
      </c>
      <c r="B19" s="2">
        <v>3.48</v>
      </c>
      <c r="C19" s="2">
        <v>3.26</v>
      </c>
      <c r="D19" s="2">
        <v>3.31</v>
      </c>
      <c r="E19" s="2">
        <v>3.65</v>
      </c>
      <c r="F19" s="2">
        <v>3.72</v>
      </c>
      <c r="G19" s="2">
        <v>3.67</v>
      </c>
      <c r="H19" s="17">
        <v>4.2900137000000003</v>
      </c>
      <c r="I19" s="17">
        <v>3.5371655</v>
      </c>
      <c r="J19" s="17">
        <v>3.2330215999999998</v>
      </c>
      <c r="K19" s="17">
        <v>3.0933058</v>
      </c>
      <c r="L19" s="17">
        <v>2.9859518999999999</v>
      </c>
      <c r="M19" s="17">
        <v>2.9234030999999998</v>
      </c>
    </row>
    <row r="20" spans="1:13" x14ac:dyDescent="0.25">
      <c r="A20" t="s">
        <v>25</v>
      </c>
      <c r="B20" s="2">
        <v>3.49</v>
      </c>
      <c r="C20" s="2">
        <v>3.28</v>
      </c>
      <c r="D20" s="2">
        <v>3.32</v>
      </c>
      <c r="E20" s="2">
        <v>3.64</v>
      </c>
      <c r="F20" s="2">
        <v>3.71</v>
      </c>
      <c r="G20" s="2">
        <v>3.66</v>
      </c>
      <c r="H20" s="17">
        <v>4.2796181000000004</v>
      </c>
      <c r="I20" s="17">
        <v>3.5336702999999998</v>
      </c>
      <c r="J20" s="17">
        <v>3.2422078000000001</v>
      </c>
      <c r="K20" s="17">
        <v>3.1178094000000001</v>
      </c>
      <c r="L20" s="17">
        <v>3.0257177</v>
      </c>
      <c r="M20" s="17">
        <v>2.9732905999999999</v>
      </c>
    </row>
    <row r="21" spans="1:13" x14ac:dyDescent="0.25">
      <c r="A21" t="s">
        <v>26</v>
      </c>
      <c r="B21" s="2">
        <v>3.48</v>
      </c>
      <c r="C21" s="2">
        <v>3.28</v>
      </c>
      <c r="D21" s="2">
        <v>3.37</v>
      </c>
      <c r="E21" s="2">
        <v>3.7</v>
      </c>
      <c r="F21" s="2">
        <v>3.76</v>
      </c>
      <c r="G21" s="2">
        <v>3.71</v>
      </c>
      <c r="H21" s="17">
        <v>4.2535461999999997</v>
      </c>
      <c r="I21" s="17">
        <v>3.5067360000000001</v>
      </c>
      <c r="J21" s="17">
        <v>3.2901536999999998</v>
      </c>
      <c r="K21" s="17">
        <v>3.2092816000000002</v>
      </c>
      <c r="L21" s="17">
        <v>3.1222392000000001</v>
      </c>
      <c r="M21" s="17">
        <v>3.0606909</v>
      </c>
    </row>
    <row r="22" spans="1:13" x14ac:dyDescent="0.25">
      <c r="A22" t="s">
        <v>27</v>
      </c>
      <c r="B22" s="2">
        <v>3.45</v>
      </c>
      <c r="C22" s="2">
        <v>3.26</v>
      </c>
      <c r="D22" s="2">
        <v>3.36</v>
      </c>
      <c r="E22" s="2">
        <v>3.69</v>
      </c>
      <c r="F22" s="2">
        <v>3.76</v>
      </c>
      <c r="G22" s="2">
        <v>3.71</v>
      </c>
      <c r="H22" s="17">
        <v>4.2283518000000004</v>
      </c>
      <c r="I22" s="17">
        <v>3.5295250999999999</v>
      </c>
      <c r="J22" s="17">
        <v>3.3009659</v>
      </c>
      <c r="K22" s="17">
        <v>3.1859329000000001</v>
      </c>
      <c r="L22" s="17">
        <v>3.0872190000000002</v>
      </c>
      <c r="M22" s="17">
        <v>3.0326498000000002</v>
      </c>
    </row>
    <row r="23" spans="1:13" x14ac:dyDescent="0.25">
      <c r="A23" t="s">
        <v>28</v>
      </c>
      <c r="B23" s="2">
        <v>3.36</v>
      </c>
      <c r="C23" s="2">
        <v>3.18</v>
      </c>
      <c r="D23" s="2">
        <v>3.28</v>
      </c>
      <c r="E23" s="2">
        <v>3.62</v>
      </c>
      <c r="F23" s="2">
        <v>3.7</v>
      </c>
      <c r="G23" s="2">
        <v>3.63</v>
      </c>
      <c r="H23" s="17">
        <v>4.1803933999999998</v>
      </c>
      <c r="I23" s="17">
        <v>3.4376931000000002</v>
      </c>
      <c r="J23" s="17">
        <v>3.2146013999999998</v>
      </c>
      <c r="K23" s="17">
        <v>3.1195656999999999</v>
      </c>
      <c r="L23" s="17">
        <v>3.0376873</v>
      </c>
      <c r="M23" s="17">
        <v>2.9893017</v>
      </c>
    </row>
    <row r="24" spans="1:13" x14ac:dyDescent="0.25">
      <c r="A24" t="s">
        <v>29</v>
      </c>
      <c r="B24" s="2">
        <v>3.41</v>
      </c>
      <c r="C24" s="2">
        <v>3.14</v>
      </c>
      <c r="D24" s="2">
        <v>3.24</v>
      </c>
      <c r="E24" s="2">
        <v>3.59</v>
      </c>
      <c r="F24" s="2">
        <v>3.66</v>
      </c>
      <c r="G24" s="2">
        <v>3.59</v>
      </c>
      <c r="H24" s="17">
        <v>4.0842596000000002</v>
      </c>
      <c r="I24" s="17">
        <v>3.3545126000000001</v>
      </c>
      <c r="J24" s="17">
        <v>3.1566445000000001</v>
      </c>
      <c r="K24" s="17">
        <v>3.0774143</v>
      </c>
      <c r="L24" s="17">
        <v>3.0045476999999998</v>
      </c>
      <c r="M24" s="17">
        <v>2.9612232000000001</v>
      </c>
    </row>
    <row r="25" spans="1:13" x14ac:dyDescent="0.25">
      <c r="A25" t="s">
        <v>30</v>
      </c>
      <c r="B25" s="2">
        <v>3.43</v>
      </c>
      <c r="C25" s="2">
        <v>3.17</v>
      </c>
      <c r="D25" s="2">
        <v>3.3</v>
      </c>
      <c r="E25" s="2">
        <v>3.65</v>
      </c>
      <c r="F25" s="2">
        <v>3.72</v>
      </c>
      <c r="G25" s="2">
        <v>3.64</v>
      </c>
      <c r="H25" s="17">
        <v>4.1220695999999997</v>
      </c>
      <c r="I25" s="17">
        <v>3.4117448000000001</v>
      </c>
      <c r="J25" s="17">
        <v>3.2192973</v>
      </c>
      <c r="K25" s="17">
        <v>3.1489913999999999</v>
      </c>
      <c r="L25" s="17">
        <v>3.0750635000000002</v>
      </c>
      <c r="M25" s="17">
        <v>3.0197927</v>
      </c>
    </row>
    <row r="26" spans="1:13" x14ac:dyDescent="0.25">
      <c r="A26" t="s">
        <v>31</v>
      </c>
      <c r="B26" s="2">
        <v>3.48</v>
      </c>
      <c r="C26" s="2">
        <v>3.21</v>
      </c>
      <c r="D26" s="2">
        <v>3.33</v>
      </c>
      <c r="E26" s="2">
        <v>3.69</v>
      </c>
      <c r="F26" s="2">
        <v>3.76</v>
      </c>
      <c r="G26" s="2">
        <v>3.69</v>
      </c>
      <c r="H26" s="17">
        <v>4.1482315999999999</v>
      </c>
      <c r="I26" s="17">
        <v>3.4598236</v>
      </c>
      <c r="J26" s="17">
        <v>3.2541361000000002</v>
      </c>
      <c r="K26" s="17">
        <v>3.1688494</v>
      </c>
      <c r="L26" s="17">
        <v>3.0929921</v>
      </c>
      <c r="M26" s="17">
        <v>3.0450726000000001</v>
      </c>
    </row>
    <row r="27" spans="1:13" x14ac:dyDescent="0.25">
      <c r="A27" t="s">
        <v>32</v>
      </c>
      <c r="B27" s="2">
        <v>3.47</v>
      </c>
      <c r="C27" s="2">
        <v>3.23</v>
      </c>
      <c r="D27" s="2">
        <v>3.35</v>
      </c>
      <c r="E27" s="2">
        <v>3.7</v>
      </c>
      <c r="F27" s="2">
        <v>3.77</v>
      </c>
      <c r="G27" s="2">
        <v>3.7</v>
      </c>
      <c r="H27" s="17">
        <v>4.1627422999999997</v>
      </c>
      <c r="I27" s="17">
        <v>3.5201679000000001</v>
      </c>
      <c r="J27" s="17">
        <v>3.2903999000000002</v>
      </c>
      <c r="K27" s="17">
        <v>3.1713130999999999</v>
      </c>
      <c r="L27" s="17">
        <v>3.0838505999999999</v>
      </c>
      <c r="M27" s="17">
        <v>3.0433115000000002</v>
      </c>
    </row>
    <row r="28" spans="1:13" x14ac:dyDescent="0.25">
      <c r="A28" t="s">
        <v>33</v>
      </c>
      <c r="B28" s="2">
        <v>3.46</v>
      </c>
      <c r="C28" s="2">
        <v>3.22</v>
      </c>
      <c r="D28" s="2">
        <v>3.34</v>
      </c>
      <c r="E28" s="2">
        <v>3.7</v>
      </c>
      <c r="F28" s="2">
        <v>3.78</v>
      </c>
      <c r="G28" s="2">
        <v>3.72</v>
      </c>
      <c r="H28" s="17">
        <v>4.1364599999999996</v>
      </c>
      <c r="I28" s="17">
        <v>3.4850465000000002</v>
      </c>
      <c r="J28" s="17">
        <v>3.2681635999999998</v>
      </c>
      <c r="K28" s="17">
        <v>3.1628976999999998</v>
      </c>
      <c r="L28" s="17">
        <v>3.0868622000000001</v>
      </c>
      <c r="M28" s="17">
        <v>3.0520801999999998</v>
      </c>
    </row>
    <row r="29" spans="1:13" x14ac:dyDescent="0.25">
      <c r="A29" t="s">
        <v>34</v>
      </c>
      <c r="B29" s="2">
        <v>3.41</v>
      </c>
      <c r="C29" s="2">
        <v>3.16</v>
      </c>
      <c r="D29" s="2">
        <v>3.3</v>
      </c>
      <c r="E29" s="2">
        <v>3.67</v>
      </c>
      <c r="F29" s="2">
        <v>3.75</v>
      </c>
      <c r="G29" s="2">
        <v>3.7</v>
      </c>
      <c r="H29" s="17">
        <v>4.1033394000000003</v>
      </c>
      <c r="I29" s="17">
        <v>3.4228839</v>
      </c>
      <c r="J29" s="17">
        <v>3.2333896000000002</v>
      </c>
      <c r="K29" s="17">
        <v>3.1497986</v>
      </c>
      <c r="L29" s="17">
        <v>3.0680955999999999</v>
      </c>
      <c r="M29" s="17">
        <v>3.019587</v>
      </c>
    </row>
    <row r="30" spans="1:13" x14ac:dyDescent="0.25">
      <c r="A30" t="s">
        <v>35</v>
      </c>
      <c r="B30" s="2">
        <v>3.15</v>
      </c>
      <c r="C30" s="2">
        <v>2.85</v>
      </c>
      <c r="D30" s="2">
        <v>2.99</v>
      </c>
      <c r="E30" s="2">
        <v>3.42</v>
      </c>
      <c r="F30" s="2">
        <v>3.53</v>
      </c>
      <c r="G30" s="2">
        <v>3.51</v>
      </c>
      <c r="H30" s="17">
        <v>3.8397945</v>
      </c>
      <c r="I30" s="17">
        <v>3.0848648999999999</v>
      </c>
      <c r="J30" s="17">
        <v>2.8670154999999999</v>
      </c>
      <c r="K30" s="17">
        <v>2.7791983999999998</v>
      </c>
      <c r="L30" s="17">
        <v>2.7299332999999999</v>
      </c>
      <c r="M30" s="17">
        <v>2.7294752999999998</v>
      </c>
    </row>
    <row r="31" spans="1:13" x14ac:dyDescent="0.25">
      <c r="A31" t="s">
        <v>36</v>
      </c>
      <c r="B31" s="2">
        <v>3.22</v>
      </c>
      <c r="C31" s="2">
        <v>2.9</v>
      </c>
      <c r="D31" s="2">
        <v>3.05</v>
      </c>
      <c r="E31" s="2">
        <v>3.47</v>
      </c>
      <c r="F31" s="2">
        <v>3.59</v>
      </c>
      <c r="G31" s="2">
        <v>3.58</v>
      </c>
      <c r="H31" s="17">
        <v>3.8570690000000001</v>
      </c>
      <c r="I31" s="17">
        <v>3.1314918999999999</v>
      </c>
      <c r="J31" s="17">
        <v>2.9502625</v>
      </c>
      <c r="K31" s="17">
        <v>2.8781367000000002</v>
      </c>
      <c r="L31" s="17">
        <v>2.8316121999999999</v>
      </c>
      <c r="M31" s="17">
        <v>2.8229133000000002</v>
      </c>
    </row>
    <row r="32" spans="1:13" x14ac:dyDescent="0.25">
      <c r="A32" t="s">
        <v>37</v>
      </c>
      <c r="B32" s="2">
        <v>3.45</v>
      </c>
      <c r="C32" s="2">
        <v>3.14</v>
      </c>
      <c r="D32" s="2">
        <v>3.26</v>
      </c>
      <c r="E32" s="2">
        <v>3.65</v>
      </c>
      <c r="F32" s="2">
        <v>3.75</v>
      </c>
      <c r="G32" s="2">
        <v>3.72</v>
      </c>
      <c r="H32" s="17">
        <v>3.9946628999999998</v>
      </c>
      <c r="I32" s="17">
        <v>3.3656776000000002</v>
      </c>
      <c r="J32" s="17">
        <v>3.2148829999999999</v>
      </c>
      <c r="K32" s="17">
        <v>3.1096015000000001</v>
      </c>
      <c r="L32" s="17">
        <v>3.0294004999999999</v>
      </c>
      <c r="M32" s="17">
        <v>3.0012514000000001</v>
      </c>
    </row>
    <row r="33" spans="1:13" x14ac:dyDescent="0.25">
      <c r="A33" t="s">
        <v>38</v>
      </c>
      <c r="B33" s="2">
        <v>3.48</v>
      </c>
      <c r="C33" s="2">
        <v>3.18</v>
      </c>
      <c r="D33" s="2">
        <v>3.29</v>
      </c>
      <c r="E33" s="2">
        <v>3.66</v>
      </c>
      <c r="F33" s="2">
        <v>3.76</v>
      </c>
      <c r="G33" s="2">
        <v>3.72</v>
      </c>
      <c r="H33" s="17">
        <v>4.0212912000000003</v>
      </c>
      <c r="I33" s="17">
        <v>3.4108681999999999</v>
      </c>
      <c r="J33" s="17">
        <v>3.2856323000000001</v>
      </c>
      <c r="K33" s="17">
        <v>3.2072824</v>
      </c>
      <c r="L33" s="17">
        <v>3.0885927999999998</v>
      </c>
      <c r="M33" s="17">
        <v>3.0059884000000001</v>
      </c>
    </row>
    <row r="34" spans="1:13" x14ac:dyDescent="0.25">
      <c r="A34" t="s">
        <v>39</v>
      </c>
      <c r="B34" s="2">
        <v>3.44</v>
      </c>
      <c r="C34" s="2">
        <v>3.16</v>
      </c>
      <c r="D34" s="2">
        <v>3.29</v>
      </c>
      <c r="E34" s="2">
        <v>3.68</v>
      </c>
      <c r="F34" s="2">
        <v>3.77</v>
      </c>
      <c r="G34" s="2">
        <v>3.75</v>
      </c>
      <c r="H34" s="17">
        <v>4.0571777000000004</v>
      </c>
      <c r="I34" s="17">
        <v>3.4237962999999998</v>
      </c>
      <c r="J34" s="17">
        <v>3.244049</v>
      </c>
      <c r="K34" s="17">
        <v>3.153969</v>
      </c>
      <c r="L34" s="17">
        <v>3.0748858999999999</v>
      </c>
      <c r="M34" s="17">
        <v>3.0315243999999999</v>
      </c>
    </row>
    <row r="35" spans="1:13" x14ac:dyDescent="0.25">
      <c r="A35" t="s">
        <v>40</v>
      </c>
      <c r="B35" s="2">
        <v>3.5</v>
      </c>
      <c r="C35" s="2">
        <v>3.22</v>
      </c>
      <c r="D35" s="2">
        <v>3.29</v>
      </c>
      <c r="E35" s="2">
        <v>3.68</v>
      </c>
      <c r="F35" s="2">
        <v>3.77</v>
      </c>
      <c r="G35" s="2">
        <v>3.74</v>
      </c>
      <c r="H35" s="17">
        <v>4.0939996000000001</v>
      </c>
      <c r="I35" s="17">
        <v>3.4792706999999998</v>
      </c>
      <c r="J35" s="17">
        <v>3.2466203</v>
      </c>
      <c r="K35" s="17">
        <v>3.1264767999999998</v>
      </c>
      <c r="L35" s="17">
        <v>3.0423714999999998</v>
      </c>
      <c r="M35" s="17">
        <v>2.9977743000000001</v>
      </c>
    </row>
    <row r="36" spans="1:13" x14ac:dyDescent="0.25">
      <c r="A36" t="s">
        <v>41</v>
      </c>
      <c r="B36" s="2">
        <v>3.61</v>
      </c>
      <c r="C36" s="2">
        <v>3.33</v>
      </c>
      <c r="D36" s="2">
        <v>3.39</v>
      </c>
      <c r="E36" s="2">
        <v>3.76</v>
      </c>
      <c r="F36" s="2">
        <v>3.84</v>
      </c>
      <c r="G36" s="2">
        <v>3.81</v>
      </c>
      <c r="H36" s="17">
        <v>4.2551585000000003</v>
      </c>
      <c r="I36" s="17">
        <v>3.6210263</v>
      </c>
      <c r="J36" s="17">
        <v>3.3864607000000002</v>
      </c>
      <c r="K36" s="17">
        <v>3.2545529000000002</v>
      </c>
      <c r="L36" s="17">
        <v>3.1391751999999999</v>
      </c>
      <c r="M36" s="17">
        <v>3.0643753999999999</v>
      </c>
    </row>
    <row r="37" spans="1:13" x14ac:dyDescent="0.25">
      <c r="A37" t="s">
        <v>42</v>
      </c>
      <c r="B37" s="2">
        <v>3.63</v>
      </c>
      <c r="C37" s="2">
        <v>3.35</v>
      </c>
      <c r="D37" s="2">
        <v>3.4</v>
      </c>
      <c r="E37" s="2">
        <v>3.76</v>
      </c>
      <c r="F37" s="2">
        <v>3.85</v>
      </c>
      <c r="G37" s="2">
        <v>3.81</v>
      </c>
      <c r="H37" s="17">
        <v>4.2708177000000003</v>
      </c>
      <c r="I37" s="17">
        <v>3.6588851</v>
      </c>
      <c r="J37" s="17">
        <v>3.3958086999999999</v>
      </c>
      <c r="K37" s="17">
        <v>3.2369316000000001</v>
      </c>
      <c r="L37" s="17">
        <v>3.1268804000000001</v>
      </c>
      <c r="M37" s="17">
        <v>3.0712714999999999</v>
      </c>
    </row>
    <row r="38" spans="1:13" x14ac:dyDescent="0.25">
      <c r="A38" t="s">
        <v>43</v>
      </c>
      <c r="B38" s="2">
        <v>3.81</v>
      </c>
      <c r="C38" s="2">
        <v>3.51</v>
      </c>
      <c r="D38" s="2">
        <v>3.53</v>
      </c>
      <c r="E38" s="2">
        <v>3.86</v>
      </c>
      <c r="F38" s="2">
        <v>3.94</v>
      </c>
      <c r="G38" s="2">
        <v>3.9</v>
      </c>
      <c r="H38" s="17">
        <v>4.4664415000000002</v>
      </c>
      <c r="I38" s="17">
        <v>3.8739927999999999</v>
      </c>
      <c r="J38" s="17">
        <v>3.5266236000000002</v>
      </c>
      <c r="K38" s="17">
        <v>3.3216654999999999</v>
      </c>
      <c r="L38" s="17">
        <v>3.2003984999999999</v>
      </c>
      <c r="M38" s="17">
        <v>3.1447853000000001</v>
      </c>
    </row>
    <row r="39" spans="1:13" x14ac:dyDescent="0.25">
      <c r="A39" t="s">
        <v>44</v>
      </c>
      <c r="B39" s="2">
        <v>3.77</v>
      </c>
      <c r="C39" s="2">
        <v>3.42</v>
      </c>
      <c r="D39" s="2">
        <v>3.48</v>
      </c>
      <c r="E39" s="2">
        <v>3.83</v>
      </c>
      <c r="F39" s="2">
        <v>3.91</v>
      </c>
      <c r="G39" s="2">
        <v>3.87</v>
      </c>
      <c r="H39" s="17">
        <v>4.2940383000000004</v>
      </c>
      <c r="I39" s="17">
        <v>3.7579399000000002</v>
      </c>
      <c r="J39" s="17">
        <v>3.447514</v>
      </c>
      <c r="K39" s="17">
        <v>3.2912059</v>
      </c>
      <c r="L39" s="17">
        <v>3.1983560999999998</v>
      </c>
      <c r="M39" s="17">
        <v>3.1542579000000002</v>
      </c>
    </row>
    <row r="40" spans="1:13" x14ac:dyDescent="0.25">
      <c r="A40" t="s">
        <v>45</v>
      </c>
      <c r="B40" s="2">
        <v>3.79</v>
      </c>
      <c r="C40" s="2">
        <v>3.41</v>
      </c>
      <c r="D40" s="2">
        <v>3.5</v>
      </c>
      <c r="E40" s="2">
        <v>3.85</v>
      </c>
      <c r="F40" s="2">
        <v>3.93</v>
      </c>
      <c r="G40" s="2">
        <v>3.89</v>
      </c>
      <c r="H40" s="17">
        <v>4.2509537999999996</v>
      </c>
      <c r="I40" s="17">
        <v>3.7297177000000001</v>
      </c>
      <c r="J40" s="17">
        <v>3.4680314999999999</v>
      </c>
      <c r="K40" s="17">
        <v>3.3216730000000001</v>
      </c>
      <c r="L40" s="17">
        <v>3.2221481999999999</v>
      </c>
      <c r="M40" s="17">
        <v>3.1721575</v>
      </c>
    </row>
    <row r="41" spans="1:13" x14ac:dyDescent="0.25">
      <c r="A41" t="s">
        <v>46</v>
      </c>
      <c r="B41" s="2">
        <v>3.79</v>
      </c>
      <c r="C41" s="2">
        <v>3.42</v>
      </c>
      <c r="D41" s="2">
        <v>3.51</v>
      </c>
      <c r="E41" s="2">
        <v>3.88</v>
      </c>
      <c r="F41" s="2">
        <v>3.96</v>
      </c>
      <c r="G41" s="2">
        <v>3.93</v>
      </c>
      <c r="H41" s="17">
        <v>4.2754490000000001</v>
      </c>
      <c r="I41" s="17">
        <v>3.7225801999999999</v>
      </c>
      <c r="J41" s="17">
        <v>3.4616631</v>
      </c>
      <c r="K41" s="17">
        <v>3.3185446000000001</v>
      </c>
      <c r="L41" s="17">
        <v>3.2205143000000001</v>
      </c>
      <c r="M41" s="17">
        <v>3.1719300000000001</v>
      </c>
    </row>
    <row r="42" spans="1:13" x14ac:dyDescent="0.25">
      <c r="A42" t="s">
        <v>47</v>
      </c>
      <c r="B42" s="2">
        <v>3.75</v>
      </c>
      <c r="C42" s="2">
        <v>3.39</v>
      </c>
      <c r="D42" s="2">
        <v>3.48</v>
      </c>
      <c r="E42" s="2">
        <v>3.85</v>
      </c>
      <c r="F42" s="2">
        <v>3.92</v>
      </c>
      <c r="G42" s="2">
        <v>3.9</v>
      </c>
      <c r="H42" s="17">
        <v>4.2136309000000001</v>
      </c>
      <c r="I42" s="17">
        <v>3.6861139999999999</v>
      </c>
      <c r="J42" s="17">
        <v>3.4230754999999999</v>
      </c>
      <c r="K42" s="17">
        <v>3.2525553999999999</v>
      </c>
      <c r="L42" s="17">
        <v>3.1428988000000002</v>
      </c>
      <c r="M42" s="17">
        <v>3.1038408999999998</v>
      </c>
    </row>
    <row r="43" spans="1:13" x14ac:dyDescent="0.25">
      <c r="A43" t="s">
        <v>48</v>
      </c>
      <c r="B43" s="2">
        <v>3.93</v>
      </c>
      <c r="C43" s="2">
        <v>3.57</v>
      </c>
      <c r="D43" s="2">
        <v>3.63</v>
      </c>
      <c r="E43" s="2">
        <v>3.98</v>
      </c>
      <c r="F43" s="2">
        <v>4.05</v>
      </c>
      <c r="G43" s="2">
        <v>4.0199999999999996</v>
      </c>
      <c r="H43" s="17">
        <v>4.4353154999999997</v>
      </c>
      <c r="I43" s="17">
        <v>3.9045033</v>
      </c>
      <c r="J43" s="17">
        <v>3.5826961000000002</v>
      </c>
      <c r="K43" s="17">
        <v>3.3918382</v>
      </c>
      <c r="L43" s="17">
        <v>3.2914756999999999</v>
      </c>
      <c r="M43" s="17">
        <v>3.2638992</v>
      </c>
    </row>
    <row r="44" spans="1:13" x14ac:dyDescent="0.25">
      <c r="A44" t="s">
        <v>49</v>
      </c>
      <c r="B44" s="2">
        <v>3.92</v>
      </c>
      <c r="C44" s="2">
        <v>3.57</v>
      </c>
      <c r="D44" s="2">
        <v>3.61</v>
      </c>
      <c r="E44" s="2">
        <v>3.95</v>
      </c>
      <c r="F44" s="2">
        <v>4.0199999999999996</v>
      </c>
      <c r="G44" s="2">
        <v>4</v>
      </c>
      <c r="H44" s="17">
        <v>4.4209446999999997</v>
      </c>
      <c r="I44" s="17">
        <v>3.8701346999999999</v>
      </c>
      <c r="J44" s="17">
        <v>3.5939000000000001</v>
      </c>
      <c r="K44" s="17">
        <v>3.4335939999999998</v>
      </c>
      <c r="L44" s="17">
        <v>3.3240281</v>
      </c>
      <c r="M44" s="17">
        <v>3.2708381000000002</v>
      </c>
    </row>
    <row r="45" spans="1:13" x14ac:dyDescent="0.25">
      <c r="A45" t="s">
        <v>50</v>
      </c>
      <c r="B45" s="2">
        <v>3.9</v>
      </c>
      <c r="C45" s="2">
        <v>3.56</v>
      </c>
      <c r="D45" s="2">
        <v>3.58</v>
      </c>
      <c r="E45" s="2">
        <v>3.94</v>
      </c>
      <c r="F45" s="2">
        <v>4.01</v>
      </c>
      <c r="G45" s="2">
        <v>3.98</v>
      </c>
      <c r="H45" s="17">
        <v>4.4606338000000001</v>
      </c>
      <c r="I45" s="17">
        <v>3.8873525999999998</v>
      </c>
      <c r="J45" s="17">
        <v>3.5864658</v>
      </c>
      <c r="K45" s="17">
        <v>3.4097032</v>
      </c>
      <c r="L45" s="17">
        <v>3.2963018000000002</v>
      </c>
      <c r="M45" s="17">
        <v>3.2415053999999999</v>
      </c>
    </row>
    <row r="46" spans="1:13" x14ac:dyDescent="0.25">
      <c r="A46" t="s">
        <v>51</v>
      </c>
      <c r="B46" s="2">
        <v>3.62</v>
      </c>
      <c r="C46" s="2">
        <v>3.64</v>
      </c>
      <c r="D46" s="2">
        <v>3.75</v>
      </c>
      <c r="E46" s="2">
        <v>4.0599999999999996</v>
      </c>
      <c r="F46" s="2">
        <v>4.18</v>
      </c>
      <c r="G46" s="2">
        <v>4.21</v>
      </c>
      <c r="H46" s="17">
        <v>4.6697154999999997</v>
      </c>
      <c r="I46" s="17">
        <v>4.0498830999999997</v>
      </c>
      <c r="J46" s="17">
        <v>3.6647851999999999</v>
      </c>
      <c r="K46" s="17">
        <v>3.4467577</v>
      </c>
      <c r="L46" s="17">
        <v>3.3191109000000001</v>
      </c>
      <c r="M46" s="17">
        <v>3.2581763000000001</v>
      </c>
    </row>
    <row r="47" spans="1:13" x14ac:dyDescent="0.25">
      <c r="A47" t="s">
        <v>52</v>
      </c>
      <c r="B47" s="2">
        <v>3.68</v>
      </c>
      <c r="C47" s="2">
        <v>3.7</v>
      </c>
      <c r="D47" s="2">
        <v>3.8</v>
      </c>
      <c r="E47" s="2">
        <v>4.12</v>
      </c>
      <c r="F47" s="2">
        <v>4.16</v>
      </c>
      <c r="G47" s="2">
        <v>4.1399999999999997</v>
      </c>
      <c r="H47" s="17">
        <v>4.6798807</v>
      </c>
      <c r="I47" s="17">
        <v>4.1166081999999999</v>
      </c>
      <c r="J47" s="17">
        <v>3.7334276000000002</v>
      </c>
      <c r="K47" s="17">
        <v>3.5020701999999999</v>
      </c>
      <c r="L47" s="17">
        <v>3.3653352999999999</v>
      </c>
      <c r="M47" s="17">
        <v>3.30905</v>
      </c>
    </row>
    <row r="48" spans="1:13" x14ac:dyDescent="0.25">
      <c r="A48" t="s">
        <v>53</v>
      </c>
      <c r="B48" s="2">
        <v>3.66</v>
      </c>
      <c r="C48" s="2">
        <v>3.68</v>
      </c>
      <c r="D48" s="2">
        <v>3.84</v>
      </c>
      <c r="E48" s="2">
        <v>4.09</v>
      </c>
      <c r="F48" s="2">
        <v>4.16</v>
      </c>
      <c r="G48" s="2">
        <v>4.1100000000000003</v>
      </c>
      <c r="H48" s="17">
        <v>4.7669841999999996</v>
      </c>
      <c r="I48" s="17">
        <v>4.1740630999999997</v>
      </c>
      <c r="J48" s="17">
        <v>3.6879368000000001</v>
      </c>
      <c r="K48" s="17">
        <v>3.4473258000000002</v>
      </c>
      <c r="L48" s="17">
        <v>3.3197681999999999</v>
      </c>
      <c r="M48" s="17">
        <v>3.2635036999999998</v>
      </c>
    </row>
    <row r="49" spans="1:13" x14ac:dyDescent="0.25">
      <c r="A49" t="s">
        <v>54</v>
      </c>
      <c r="B49" s="2">
        <v>3.68</v>
      </c>
      <c r="C49" s="2">
        <v>3.68</v>
      </c>
      <c r="D49" s="2">
        <v>3.83</v>
      </c>
      <c r="E49" s="2">
        <v>4.1500000000000004</v>
      </c>
      <c r="F49" s="2">
        <v>4.08</v>
      </c>
      <c r="G49" s="2">
        <v>4.22</v>
      </c>
      <c r="H49" s="17">
        <v>4.6863276999999997</v>
      </c>
      <c r="I49" s="17">
        <v>4.1246600999999998</v>
      </c>
      <c r="J49" s="17">
        <v>3.6793745000000002</v>
      </c>
      <c r="K49" s="17">
        <v>3.4858634999999998</v>
      </c>
      <c r="L49" s="17">
        <v>3.4032684999999998</v>
      </c>
      <c r="M49" s="17">
        <v>3.3767580000000001</v>
      </c>
    </row>
    <row r="50" spans="1:13" x14ac:dyDescent="0.25">
      <c r="A50" t="s">
        <v>55</v>
      </c>
      <c r="B50" s="2">
        <v>3.69</v>
      </c>
      <c r="C50" s="2">
        <v>3.69</v>
      </c>
      <c r="D50" s="2">
        <v>3.91</v>
      </c>
      <c r="E50" s="2">
        <v>4.18</v>
      </c>
      <c r="F50" s="2">
        <v>4.28</v>
      </c>
      <c r="G50" s="2">
        <v>4.25</v>
      </c>
      <c r="H50" s="17">
        <v>4.6910743000000004</v>
      </c>
      <c r="I50" s="17">
        <v>4.1805251999999999</v>
      </c>
      <c r="J50" s="17">
        <v>3.7736364999999998</v>
      </c>
      <c r="K50" s="17">
        <v>3.5428044000000001</v>
      </c>
      <c r="L50" s="17">
        <v>3.4218296000000001</v>
      </c>
      <c r="M50" s="17">
        <v>3.3830355000000001</v>
      </c>
    </row>
    <row r="51" spans="1:13" x14ac:dyDescent="0.25">
      <c r="A51" t="s">
        <v>56</v>
      </c>
      <c r="B51" s="2">
        <v>3.69</v>
      </c>
      <c r="C51" s="2">
        <v>3.65</v>
      </c>
      <c r="D51" s="2">
        <v>3.8</v>
      </c>
      <c r="E51" s="2">
        <v>4.1500000000000004</v>
      </c>
      <c r="F51" s="2">
        <v>4.18</v>
      </c>
      <c r="G51" s="2">
        <v>4.21</v>
      </c>
      <c r="H51" s="17">
        <v>4.6958317000000003</v>
      </c>
      <c r="I51" s="17">
        <v>4.1541942000000001</v>
      </c>
      <c r="J51" s="17">
        <v>3.7513043000000001</v>
      </c>
      <c r="K51" s="17">
        <v>3.5189998999999998</v>
      </c>
      <c r="L51" s="17">
        <v>3.3817111999999998</v>
      </c>
      <c r="M51" s="17">
        <v>3.3260890000000001</v>
      </c>
    </row>
    <row r="52" spans="1:13" x14ac:dyDescent="0.25">
      <c r="A52" t="s">
        <v>57</v>
      </c>
      <c r="B52" s="2">
        <v>3.76</v>
      </c>
      <c r="C52" s="2">
        <v>3.7</v>
      </c>
      <c r="D52" s="2">
        <v>3.88</v>
      </c>
      <c r="E52" s="2">
        <v>4.1500000000000004</v>
      </c>
      <c r="F52" s="2">
        <v>4.21</v>
      </c>
      <c r="G52" s="2">
        <v>4.21</v>
      </c>
      <c r="H52" s="17">
        <v>4.7462105000000001</v>
      </c>
      <c r="I52" s="17">
        <v>4.2219103000000002</v>
      </c>
      <c r="J52" s="17">
        <v>3.761946</v>
      </c>
      <c r="K52" s="17">
        <v>3.4906239999999999</v>
      </c>
      <c r="L52" s="17">
        <v>3.3574088999999998</v>
      </c>
      <c r="M52" s="17">
        <v>3.3207776</v>
      </c>
    </row>
    <row r="53" spans="1:13" x14ac:dyDescent="0.25">
      <c r="A53" t="s">
        <v>58</v>
      </c>
      <c r="B53" s="2">
        <v>3.79</v>
      </c>
      <c r="C53" s="2">
        <v>3.69</v>
      </c>
      <c r="D53" s="2">
        <v>3.85</v>
      </c>
      <c r="E53" s="2">
        <v>4.0999999999999996</v>
      </c>
      <c r="F53" s="2">
        <v>4.1399999999999997</v>
      </c>
      <c r="G53" s="2">
        <v>4.13</v>
      </c>
      <c r="H53" s="17">
        <v>4.8349627000000002</v>
      </c>
      <c r="I53" s="17">
        <v>4.2094202000000003</v>
      </c>
      <c r="J53" s="17">
        <v>3.7261481999999999</v>
      </c>
      <c r="K53" s="17">
        <v>3.4618867</v>
      </c>
      <c r="L53" s="17">
        <v>3.3124714000000002</v>
      </c>
      <c r="M53" s="17">
        <v>3.2446068000000001</v>
      </c>
    </row>
    <row r="54" spans="1:13" x14ac:dyDescent="0.25">
      <c r="A54" t="s">
        <v>59</v>
      </c>
      <c r="B54" s="2">
        <v>3.79</v>
      </c>
      <c r="C54" s="2">
        <v>3.67</v>
      </c>
      <c r="D54" s="2">
        <v>3.79</v>
      </c>
      <c r="E54" s="2">
        <v>4.05</v>
      </c>
      <c r="F54" s="2">
        <v>4.1500000000000004</v>
      </c>
      <c r="G54" s="2">
        <v>4.08</v>
      </c>
      <c r="H54" s="17">
        <v>4.8102381999999997</v>
      </c>
      <c r="I54" s="17">
        <v>4.1823765000000002</v>
      </c>
      <c r="J54" s="17">
        <v>3.7062979999999999</v>
      </c>
      <c r="K54" s="17">
        <v>3.4390187999999999</v>
      </c>
      <c r="L54" s="17">
        <v>3.2758422</v>
      </c>
      <c r="M54" s="17">
        <v>3.1937999000000001</v>
      </c>
    </row>
    <row r="55" spans="1:13" x14ac:dyDescent="0.25">
      <c r="A55" t="s">
        <v>60</v>
      </c>
      <c r="B55" s="2">
        <v>3.8</v>
      </c>
      <c r="C55" s="2">
        <v>3.67</v>
      </c>
      <c r="D55" s="2">
        <v>3.83</v>
      </c>
      <c r="E55" s="2">
        <v>4.0599999999999996</v>
      </c>
      <c r="F55" s="2">
        <v>4.12</v>
      </c>
      <c r="G55" s="2">
        <v>4.0999999999999996</v>
      </c>
      <c r="H55" s="17">
        <v>4.7815310000000002</v>
      </c>
      <c r="I55" s="17">
        <v>4.1818369999999998</v>
      </c>
      <c r="J55" s="17">
        <v>3.7500509000000002</v>
      </c>
      <c r="K55" s="17">
        <v>3.4729209999999999</v>
      </c>
      <c r="L55" s="17">
        <v>3.2926402000000001</v>
      </c>
      <c r="M55" s="17">
        <v>3.2083113999999999</v>
      </c>
    </row>
    <row r="56" spans="1:13" x14ac:dyDescent="0.25">
      <c r="A56" t="s">
        <v>61</v>
      </c>
      <c r="B56" s="2">
        <v>3.61</v>
      </c>
      <c r="C56" s="2">
        <v>3.49</v>
      </c>
      <c r="D56" s="2">
        <v>3.62</v>
      </c>
      <c r="E56" s="2">
        <v>3.91</v>
      </c>
      <c r="F56" s="2">
        <v>4.01</v>
      </c>
      <c r="G56" s="2">
        <v>3.98</v>
      </c>
      <c r="H56" s="17">
        <v>4.5646414000000002</v>
      </c>
      <c r="I56" s="17">
        <v>4.0391048999999999</v>
      </c>
      <c r="J56" s="17">
        <v>3.5990294999999999</v>
      </c>
      <c r="K56" s="17">
        <v>3.3218226</v>
      </c>
      <c r="L56" s="17">
        <v>3.1633225999999999</v>
      </c>
      <c r="M56" s="17">
        <v>3.0968849999999999</v>
      </c>
    </row>
    <row r="57" spans="1:13" x14ac:dyDescent="0.25">
      <c r="A57" t="s">
        <v>62</v>
      </c>
      <c r="B57" s="2">
        <v>3.36</v>
      </c>
      <c r="C57" s="2">
        <v>3.27</v>
      </c>
      <c r="D57" s="2">
        <v>3.38</v>
      </c>
      <c r="E57" s="2">
        <v>3.7</v>
      </c>
      <c r="F57" s="2">
        <v>3.67</v>
      </c>
      <c r="G57" s="2">
        <v>3.83</v>
      </c>
      <c r="H57" s="17">
        <v>4.1852448000000004</v>
      </c>
      <c r="I57" s="17">
        <v>3.9171496000000001</v>
      </c>
      <c r="J57" s="17">
        <v>3.4921673000000002</v>
      </c>
      <c r="K57" s="17">
        <v>3.1717401000000001</v>
      </c>
      <c r="L57" s="17">
        <v>2.9963038000000002</v>
      </c>
      <c r="M57" s="17">
        <v>2.9309945000000002</v>
      </c>
    </row>
    <row r="58" spans="1:13" x14ac:dyDescent="0.25">
      <c r="A58" t="s">
        <v>63</v>
      </c>
      <c r="B58" s="2">
        <v>3.47</v>
      </c>
      <c r="C58" s="2">
        <v>3.39</v>
      </c>
      <c r="D58" s="2">
        <v>3.5</v>
      </c>
      <c r="E58" s="2">
        <v>3.78</v>
      </c>
      <c r="F58" s="2">
        <v>3.77</v>
      </c>
      <c r="G58" s="2">
        <v>3.89</v>
      </c>
      <c r="H58" s="17">
        <v>4.2771669000000001</v>
      </c>
      <c r="I58" s="17">
        <v>3.9986628</v>
      </c>
      <c r="J58" s="17">
        <v>3.6183333000000002</v>
      </c>
      <c r="K58" s="17">
        <v>3.3201624000000001</v>
      </c>
      <c r="L58" s="17">
        <v>3.1301785</v>
      </c>
      <c r="M58" s="17">
        <v>3.0374314999999998</v>
      </c>
    </row>
    <row r="59" spans="1:13" x14ac:dyDescent="0.25">
      <c r="A59" t="s">
        <v>64</v>
      </c>
      <c r="B59" s="2">
        <v>3.31</v>
      </c>
      <c r="C59" s="2">
        <v>3.24</v>
      </c>
      <c r="D59" s="2">
        <v>3.33</v>
      </c>
      <c r="E59" s="2">
        <v>3.66</v>
      </c>
      <c r="F59" s="2">
        <v>3.75</v>
      </c>
      <c r="G59" s="2">
        <v>3.78</v>
      </c>
      <c r="H59" s="17">
        <v>4.0083925000000002</v>
      </c>
      <c r="I59" s="17">
        <v>3.8365016000000001</v>
      </c>
      <c r="J59" s="17">
        <v>3.5541889000000002</v>
      </c>
      <c r="K59" s="17">
        <v>3.2744922999999999</v>
      </c>
      <c r="L59" s="17">
        <v>3.0728654999999998</v>
      </c>
      <c r="M59" s="17">
        <v>2.9634149999999999</v>
      </c>
    </row>
    <row r="60" spans="1:13" x14ac:dyDescent="0.25">
      <c r="A60" t="s">
        <v>65</v>
      </c>
      <c r="B60" s="2">
        <v>3.42</v>
      </c>
      <c r="C60" s="2">
        <v>3.33</v>
      </c>
      <c r="D60" s="2">
        <v>3.41</v>
      </c>
      <c r="E60" s="2">
        <v>3.74</v>
      </c>
      <c r="F60" s="2">
        <v>3.75</v>
      </c>
      <c r="G60" s="2">
        <v>3.85</v>
      </c>
      <c r="H60" s="17">
        <v>4.1441407000000003</v>
      </c>
      <c r="I60" s="17">
        <v>3.8796157999999998</v>
      </c>
      <c r="J60" s="17">
        <v>3.5792079999999999</v>
      </c>
      <c r="K60" s="17">
        <v>3.3021389999999999</v>
      </c>
      <c r="L60" s="17">
        <v>3.120063</v>
      </c>
      <c r="M60" s="17">
        <v>3.0140834000000001</v>
      </c>
    </row>
    <row r="61" spans="1:13" x14ac:dyDescent="0.25">
      <c r="A61" t="s">
        <v>66</v>
      </c>
      <c r="B61" s="2">
        <v>3.24</v>
      </c>
      <c r="C61" s="2">
        <v>3.17</v>
      </c>
      <c r="D61" s="2">
        <v>3.28</v>
      </c>
      <c r="E61" s="2">
        <v>3.62</v>
      </c>
      <c r="F61" s="2">
        <v>3.75</v>
      </c>
      <c r="G61" s="2">
        <v>3.76</v>
      </c>
      <c r="H61" s="17">
        <v>3.9788190999999999</v>
      </c>
      <c r="I61" s="17">
        <v>3.6671041</v>
      </c>
      <c r="J61" s="17">
        <v>3.3872195</v>
      </c>
      <c r="K61" s="17">
        <v>3.1321750000000002</v>
      </c>
      <c r="L61" s="17">
        <v>2.9520952</v>
      </c>
      <c r="M61" s="17">
        <v>2.8618548000000001</v>
      </c>
    </row>
    <row r="62" spans="1:13" x14ac:dyDescent="0.25">
      <c r="A62" t="s">
        <v>67</v>
      </c>
      <c r="B62" s="2">
        <v>3.23</v>
      </c>
      <c r="C62" s="2">
        <v>3.17</v>
      </c>
      <c r="D62" s="2">
        <v>3.31</v>
      </c>
      <c r="E62" s="2">
        <v>3.68</v>
      </c>
      <c r="F62" s="2">
        <v>3.8</v>
      </c>
      <c r="G62" s="2">
        <v>3.83</v>
      </c>
      <c r="H62" s="17">
        <v>3.9070372</v>
      </c>
      <c r="I62" s="17">
        <v>3.6164193999999998</v>
      </c>
      <c r="J62" s="17">
        <v>3.3562691</v>
      </c>
      <c r="K62" s="17">
        <v>3.1267181000000002</v>
      </c>
      <c r="L62" s="17">
        <v>2.9790662000000001</v>
      </c>
      <c r="M62" s="17">
        <v>2.9150095999999999</v>
      </c>
    </row>
    <row r="63" spans="1:13" x14ac:dyDescent="0.25">
      <c r="A63" t="s">
        <v>68</v>
      </c>
      <c r="B63" s="2">
        <v>3.29</v>
      </c>
      <c r="C63" s="2">
        <v>3.22</v>
      </c>
      <c r="D63" s="2">
        <v>3.36</v>
      </c>
      <c r="E63" s="2">
        <v>3.71</v>
      </c>
      <c r="F63" s="2">
        <v>3.83</v>
      </c>
      <c r="G63" s="2">
        <v>3.84</v>
      </c>
      <c r="H63" s="17">
        <v>4.0315178999999999</v>
      </c>
      <c r="I63" s="17">
        <v>3.6236320000000002</v>
      </c>
      <c r="J63" s="17">
        <v>3.3581188000000002</v>
      </c>
      <c r="K63" s="17">
        <v>3.1507459</v>
      </c>
      <c r="L63" s="17">
        <v>3.0116269999999998</v>
      </c>
      <c r="M63" s="17">
        <v>2.9458500000000001</v>
      </c>
    </row>
    <row r="64" spans="1:13" x14ac:dyDescent="0.25">
      <c r="A64" t="s">
        <v>69</v>
      </c>
      <c r="B64" s="2">
        <v>3.48</v>
      </c>
      <c r="C64" s="2">
        <v>3.36</v>
      </c>
      <c r="D64" s="2">
        <v>3.44</v>
      </c>
      <c r="E64" s="2">
        <v>3.75</v>
      </c>
      <c r="F64" s="2">
        <v>3.8</v>
      </c>
      <c r="G64" s="2">
        <v>3.87</v>
      </c>
      <c r="H64" s="17">
        <v>4.3780559999999999</v>
      </c>
      <c r="I64" s="17">
        <v>3.8390800999999999</v>
      </c>
      <c r="J64" s="17">
        <v>3.4610683999999998</v>
      </c>
      <c r="K64" s="17">
        <v>3.1861608000000001</v>
      </c>
      <c r="L64" s="17">
        <v>3.0063567999999998</v>
      </c>
      <c r="M64" s="17">
        <v>2.9184871999999999</v>
      </c>
    </row>
    <row r="65" spans="1:13" x14ac:dyDescent="0.25">
      <c r="A65" t="s">
        <v>70</v>
      </c>
      <c r="B65" s="2">
        <v>3.28</v>
      </c>
      <c r="C65" s="2">
        <v>3.2</v>
      </c>
      <c r="D65" s="2">
        <v>3.36</v>
      </c>
      <c r="E65" s="2">
        <v>3.68</v>
      </c>
      <c r="F65" s="2">
        <v>3.76</v>
      </c>
      <c r="G65" s="2">
        <v>3.82</v>
      </c>
      <c r="H65" s="17">
        <v>4.1037030000000003</v>
      </c>
      <c r="I65" s="17">
        <v>3.5313691999999999</v>
      </c>
      <c r="J65" s="17">
        <v>3.3194059</v>
      </c>
      <c r="K65" s="17">
        <v>3.1341535999999999</v>
      </c>
      <c r="L65" s="17">
        <v>2.9768903999999998</v>
      </c>
      <c r="M65" s="17">
        <v>2.8910019999999998</v>
      </c>
    </row>
    <row r="66" spans="1:13" x14ac:dyDescent="0.25">
      <c r="A66" t="s">
        <v>71</v>
      </c>
      <c r="B66" s="2">
        <v>3.21</v>
      </c>
      <c r="C66" s="2">
        <v>3.12</v>
      </c>
      <c r="D66" s="2">
        <v>3.28</v>
      </c>
      <c r="E66" s="2">
        <v>3.62</v>
      </c>
      <c r="F66" s="2">
        <v>3.73</v>
      </c>
      <c r="G66" s="2">
        <v>3.76</v>
      </c>
      <c r="H66" s="17">
        <v>4.0108097999999996</v>
      </c>
      <c r="I66" s="17">
        <v>3.4677891000000001</v>
      </c>
      <c r="J66" s="17">
        <v>3.2404362</v>
      </c>
      <c r="K66" s="17">
        <v>3.0584582999999999</v>
      </c>
      <c r="L66" s="17">
        <v>2.9180659000000002</v>
      </c>
      <c r="M66" s="17">
        <v>2.8482489000000002</v>
      </c>
    </row>
    <row r="67" spans="1:13" x14ac:dyDescent="0.25">
      <c r="A67" t="s">
        <v>72</v>
      </c>
      <c r="B67" s="2">
        <v>3.34</v>
      </c>
      <c r="C67" s="2">
        <v>3.23</v>
      </c>
      <c r="D67" s="2">
        <v>3.38</v>
      </c>
      <c r="E67" s="2">
        <v>3.71</v>
      </c>
      <c r="F67" s="2">
        <v>3.65</v>
      </c>
      <c r="G67" s="2">
        <v>3.83</v>
      </c>
      <c r="H67" s="17">
        <v>4.1882336999999996</v>
      </c>
      <c r="I67" s="17">
        <v>3.6427990000000001</v>
      </c>
      <c r="J67" s="17">
        <v>3.3467386000000001</v>
      </c>
      <c r="K67" s="17">
        <v>3.1359137000000001</v>
      </c>
      <c r="L67" s="17">
        <v>2.9941963999999999</v>
      </c>
      <c r="M67" s="17">
        <v>2.9274132000000002</v>
      </c>
    </row>
    <row r="68" spans="1:13" x14ac:dyDescent="0.25">
      <c r="A68" t="s">
        <v>73</v>
      </c>
      <c r="B68" s="2">
        <v>3.38</v>
      </c>
      <c r="C68" s="2">
        <v>3.29</v>
      </c>
      <c r="D68" s="2">
        <v>3.46</v>
      </c>
      <c r="E68" s="2">
        <v>3.78</v>
      </c>
      <c r="F68" s="2">
        <v>3.84</v>
      </c>
      <c r="G68" s="2">
        <v>3.87</v>
      </c>
      <c r="H68" s="17">
        <v>4.2411579000000001</v>
      </c>
      <c r="I68" s="17">
        <v>3.6759674000000002</v>
      </c>
      <c r="J68" s="17">
        <v>3.3983411000000001</v>
      </c>
      <c r="K68" s="17">
        <v>3.2186197000000001</v>
      </c>
      <c r="L68" s="17">
        <v>3.0872511999999999</v>
      </c>
      <c r="M68" s="17">
        <v>3.0175169999999998</v>
      </c>
    </row>
    <row r="69" spans="1:13" x14ac:dyDescent="0.25">
      <c r="A69" t="s">
        <v>74</v>
      </c>
      <c r="B69" s="2">
        <v>3.4</v>
      </c>
      <c r="C69" s="2">
        <v>3.31</v>
      </c>
      <c r="D69" s="2">
        <v>3.46</v>
      </c>
      <c r="E69" s="2">
        <v>3.76</v>
      </c>
      <c r="F69" s="2">
        <v>3.81</v>
      </c>
      <c r="G69" s="2">
        <v>3.82</v>
      </c>
      <c r="H69" s="17">
        <v>4.3004432000000001</v>
      </c>
      <c r="I69" s="17">
        <v>3.7218548</v>
      </c>
      <c r="J69" s="17">
        <v>3.4424608999999999</v>
      </c>
      <c r="K69" s="17">
        <v>3.2411856999999999</v>
      </c>
      <c r="L69" s="17">
        <v>3.088965</v>
      </c>
      <c r="M69" s="17">
        <v>3.0039267000000001</v>
      </c>
    </row>
    <row r="70" spans="1:13" x14ac:dyDescent="0.25">
      <c r="A70" t="s">
        <v>75</v>
      </c>
      <c r="B70" s="2">
        <v>3.45</v>
      </c>
      <c r="C70" s="2">
        <v>3.35</v>
      </c>
      <c r="D70" s="2">
        <v>3.5</v>
      </c>
      <c r="E70" s="2">
        <v>3.8</v>
      </c>
      <c r="F70" s="2">
        <v>3.83</v>
      </c>
      <c r="G70" s="2">
        <v>3.84</v>
      </c>
      <c r="H70" s="17">
        <v>4.3500435</v>
      </c>
      <c r="I70" s="17">
        <v>3.7960663000000001</v>
      </c>
      <c r="J70" s="17">
        <v>3.5095413999999998</v>
      </c>
      <c r="K70" s="17">
        <v>3.2765635</v>
      </c>
      <c r="L70" s="17">
        <v>3.0986489000000002</v>
      </c>
      <c r="M70" s="17">
        <v>2.9999416000000001</v>
      </c>
    </row>
    <row r="71" spans="1:13" x14ac:dyDescent="0.25">
      <c r="A71" t="s">
        <v>76</v>
      </c>
      <c r="B71" s="2">
        <v>3.42</v>
      </c>
      <c r="C71" s="2">
        <v>3.33</v>
      </c>
      <c r="D71" s="2">
        <v>3.47</v>
      </c>
      <c r="E71" s="2">
        <v>3.76</v>
      </c>
      <c r="F71" s="2">
        <v>3.8</v>
      </c>
      <c r="G71" s="2">
        <v>3.82</v>
      </c>
      <c r="H71" s="17">
        <v>4.3208979999999997</v>
      </c>
      <c r="I71" s="17">
        <v>3.7376738</v>
      </c>
      <c r="J71" s="17">
        <v>3.4732064</v>
      </c>
      <c r="K71" s="17">
        <v>3.2380645000000001</v>
      </c>
      <c r="L71" s="17">
        <v>3.0533755</v>
      </c>
      <c r="M71" s="17">
        <v>2.9506646999999999</v>
      </c>
    </row>
    <row r="72" spans="1:13" x14ac:dyDescent="0.25">
      <c r="A72" t="s">
        <v>77</v>
      </c>
      <c r="B72" s="2">
        <v>3.39</v>
      </c>
      <c r="C72" s="2">
        <v>3.3</v>
      </c>
      <c r="D72" s="2">
        <v>3.43</v>
      </c>
      <c r="E72" s="2">
        <v>3.71</v>
      </c>
      <c r="F72" s="2">
        <v>3.75</v>
      </c>
      <c r="G72" s="2">
        <v>3.75</v>
      </c>
      <c r="H72" s="17">
        <v>4.2285463999999999</v>
      </c>
      <c r="I72" s="17">
        <v>3.6398259999999998</v>
      </c>
      <c r="J72" s="17">
        <v>3.3562908</v>
      </c>
      <c r="K72" s="17">
        <v>3.1542583</v>
      </c>
      <c r="L72" s="17">
        <v>3.0131049000000001</v>
      </c>
      <c r="M72" s="17">
        <v>2.9391957999999998</v>
      </c>
    </row>
    <row r="73" spans="1:13" x14ac:dyDescent="0.25">
      <c r="A73" t="s">
        <v>78</v>
      </c>
      <c r="B73" s="2">
        <v>3.34</v>
      </c>
      <c r="C73" s="2">
        <v>3.26</v>
      </c>
      <c r="D73" s="2">
        <v>3.42</v>
      </c>
      <c r="E73" s="2">
        <v>3.71</v>
      </c>
      <c r="F73" s="2">
        <v>3.75</v>
      </c>
      <c r="G73" s="2">
        <v>3.74</v>
      </c>
      <c r="H73" s="17">
        <v>4.1347871999999999</v>
      </c>
      <c r="I73" s="17">
        <v>3.5639834000000001</v>
      </c>
      <c r="J73" s="17">
        <v>3.3407684</v>
      </c>
      <c r="K73" s="17">
        <v>3.1727213000000001</v>
      </c>
      <c r="L73" s="17">
        <v>3.0433631999999999</v>
      </c>
      <c r="M73" s="17">
        <v>2.9711321000000002</v>
      </c>
    </row>
    <row r="74" spans="1:13" x14ac:dyDescent="0.25">
      <c r="A74" t="s">
        <v>79</v>
      </c>
      <c r="B74" s="2">
        <v>3.32</v>
      </c>
      <c r="C74" s="2">
        <v>3.25</v>
      </c>
      <c r="D74" s="2">
        <v>3.42</v>
      </c>
      <c r="E74" s="2">
        <v>3.7</v>
      </c>
      <c r="F74" s="2">
        <v>3.76</v>
      </c>
      <c r="G74" s="2">
        <v>3.76</v>
      </c>
      <c r="H74" s="17">
        <v>4.1306269999999996</v>
      </c>
      <c r="I74" s="17">
        <v>3.5184342000000002</v>
      </c>
      <c r="J74" s="17">
        <v>3.3188675999999999</v>
      </c>
      <c r="K74" s="17">
        <v>3.1837705999999999</v>
      </c>
      <c r="L74" s="17">
        <v>3.0586878</v>
      </c>
      <c r="M74" s="17">
        <v>2.9766507999999998</v>
      </c>
    </row>
    <row r="75" spans="1:13" x14ac:dyDescent="0.25">
      <c r="A75" t="s">
        <v>80</v>
      </c>
      <c r="B75" s="2">
        <v>3.33</v>
      </c>
      <c r="C75" s="2">
        <v>3.24</v>
      </c>
      <c r="D75" s="2">
        <v>3.41</v>
      </c>
      <c r="E75" s="2">
        <v>3.69</v>
      </c>
      <c r="F75" s="2">
        <v>3.74</v>
      </c>
      <c r="G75" s="2">
        <v>3.75</v>
      </c>
      <c r="H75" s="17">
        <v>4.1583189999999997</v>
      </c>
      <c r="I75" s="17">
        <v>3.5211394999999999</v>
      </c>
      <c r="J75" s="17">
        <v>3.3365395000000002</v>
      </c>
      <c r="K75" s="17">
        <v>3.1897340999999999</v>
      </c>
      <c r="L75" s="17">
        <v>3.0491198000000002</v>
      </c>
      <c r="M75" s="17">
        <v>2.9571299999999998</v>
      </c>
    </row>
    <row r="76" spans="1:13" x14ac:dyDescent="0.25">
      <c r="A76" t="s">
        <v>81</v>
      </c>
      <c r="B76" s="2" t="e">
        <v>#N/A</v>
      </c>
      <c r="C76" s="2" t="e">
        <v>#N/A</v>
      </c>
      <c r="D76" s="2" t="e">
        <v>#N/A</v>
      </c>
      <c r="E76" s="2" t="e">
        <v>#N/A</v>
      </c>
      <c r="F76" s="2" t="e">
        <v>#N/A</v>
      </c>
      <c r="G76" s="2" t="e">
        <v>#N/A</v>
      </c>
      <c r="H76" s="17" t="e">
        <v>#N/A</v>
      </c>
      <c r="I76" s="17" t="e">
        <v>#N/A</v>
      </c>
      <c r="J76" s="17" t="e">
        <v>#N/A</v>
      </c>
      <c r="K76" s="17" t="e">
        <v>#N/A</v>
      </c>
      <c r="L76" s="17" t="e">
        <v>#N/A</v>
      </c>
      <c r="M76" s="17" t="e">
        <v>#N/A</v>
      </c>
    </row>
    <row r="77" spans="1:13" x14ac:dyDescent="0.25">
      <c r="A77" t="s">
        <v>82</v>
      </c>
      <c r="B77" s="2">
        <v>3.36</v>
      </c>
      <c r="C77" s="2">
        <v>3.26</v>
      </c>
      <c r="D77" s="2" t="e">
        <v>#N/A</v>
      </c>
      <c r="E77" s="2">
        <v>3.72</v>
      </c>
      <c r="F77" s="2" t="e">
        <v>#N/A</v>
      </c>
      <c r="G77" s="2">
        <v>3.77</v>
      </c>
      <c r="H77" s="17" t="e">
        <v>#N/A</v>
      </c>
      <c r="I77" s="17" t="e">
        <v>#N/A</v>
      </c>
      <c r="J77" s="17" t="e">
        <v>#N/A</v>
      </c>
      <c r="K77" s="17" t="e">
        <v>#N/A</v>
      </c>
      <c r="L77" s="17" t="e">
        <v>#N/A</v>
      </c>
      <c r="M77" s="17" t="e">
        <v>#N/A</v>
      </c>
    </row>
    <row r="78" spans="1:13" x14ac:dyDescent="0.25">
      <c r="A78" t="s">
        <v>83</v>
      </c>
      <c r="B78" s="2">
        <v>3.48</v>
      </c>
      <c r="C78" s="2">
        <v>3.38</v>
      </c>
      <c r="D78" s="2">
        <v>3.54</v>
      </c>
      <c r="E78" s="2">
        <v>3.82</v>
      </c>
      <c r="F78" s="2">
        <v>3.86</v>
      </c>
      <c r="G78" s="2">
        <v>3.85</v>
      </c>
      <c r="H78" s="17">
        <v>4.3065134</v>
      </c>
      <c r="I78" s="17">
        <v>3.6673912</v>
      </c>
      <c r="J78" s="17">
        <v>3.4384934</v>
      </c>
      <c r="K78" s="17">
        <v>3.2872515999999998</v>
      </c>
      <c r="L78" s="17">
        <v>3.1669497999999998</v>
      </c>
      <c r="M78" s="17">
        <v>3.0930363999999999</v>
      </c>
    </row>
    <row r="79" spans="1:13" x14ac:dyDescent="0.25">
      <c r="A79" t="s">
        <v>84</v>
      </c>
      <c r="B79" s="2">
        <v>3.52</v>
      </c>
      <c r="C79" s="2">
        <v>3.41</v>
      </c>
      <c r="D79" s="2">
        <v>3.57</v>
      </c>
      <c r="E79" s="2">
        <v>3.85</v>
      </c>
      <c r="F79" s="2">
        <v>3.9</v>
      </c>
      <c r="G79" s="2">
        <v>3.89</v>
      </c>
      <c r="H79" s="17">
        <v>4.3314896000000003</v>
      </c>
      <c r="I79" s="17">
        <v>3.6943975999999998</v>
      </c>
      <c r="J79" s="17">
        <v>3.4697311000000002</v>
      </c>
      <c r="K79" s="17">
        <v>3.3318164000000001</v>
      </c>
      <c r="L79" s="17">
        <v>3.2106007999999999</v>
      </c>
      <c r="M79" s="17">
        <v>3.1320329999999998</v>
      </c>
    </row>
    <row r="80" spans="1:13" x14ac:dyDescent="0.25">
      <c r="A80" t="s">
        <v>85</v>
      </c>
      <c r="B80" s="2">
        <v>3.5</v>
      </c>
      <c r="C80" s="2">
        <v>3.39</v>
      </c>
      <c r="D80" s="2">
        <v>3.56</v>
      </c>
      <c r="E80" s="2">
        <v>3.85</v>
      </c>
      <c r="F80" s="2">
        <v>3.92</v>
      </c>
      <c r="G80" s="2">
        <v>3.93</v>
      </c>
      <c r="H80" s="17">
        <v>4.3058687999999998</v>
      </c>
      <c r="I80" s="17">
        <v>3.6497701999999999</v>
      </c>
      <c r="J80" s="17">
        <v>3.4739347999999999</v>
      </c>
      <c r="K80" s="17">
        <v>3.3542760999999999</v>
      </c>
      <c r="L80" s="17">
        <v>3.2218246000000001</v>
      </c>
      <c r="M80" s="17">
        <v>3.1336309999999998</v>
      </c>
    </row>
    <row r="81" spans="1:13" x14ac:dyDescent="0.25">
      <c r="A81" t="s">
        <v>86</v>
      </c>
      <c r="B81" s="2">
        <v>3.6</v>
      </c>
      <c r="C81" s="2">
        <v>3.49</v>
      </c>
      <c r="D81" s="2">
        <v>3.65</v>
      </c>
      <c r="E81" s="2">
        <v>3.93</v>
      </c>
      <c r="F81" s="2">
        <v>4</v>
      </c>
      <c r="G81" s="2">
        <v>4.01</v>
      </c>
      <c r="H81" s="17">
        <v>4.3803025</v>
      </c>
      <c r="I81" s="17">
        <v>3.7827095000000002</v>
      </c>
      <c r="J81" s="17">
        <v>3.5514809999999999</v>
      </c>
      <c r="K81" s="17">
        <v>3.3722344999999998</v>
      </c>
      <c r="L81" s="17">
        <v>3.2280544999999998</v>
      </c>
      <c r="M81" s="17">
        <v>3.1483612000000001</v>
      </c>
    </row>
    <row r="82" spans="1:13" x14ac:dyDescent="0.25">
      <c r="A82" t="s">
        <v>87</v>
      </c>
      <c r="B82" s="2">
        <v>3.62</v>
      </c>
      <c r="C82" s="2">
        <v>3.51</v>
      </c>
      <c r="D82" s="2">
        <v>3.7</v>
      </c>
      <c r="E82" s="2">
        <v>3.97</v>
      </c>
      <c r="F82" s="2">
        <v>4.04</v>
      </c>
      <c r="G82" s="2">
        <v>4.05</v>
      </c>
      <c r="H82" s="17">
        <v>4.4128214999999997</v>
      </c>
      <c r="I82" s="17">
        <v>3.7984260999999999</v>
      </c>
      <c r="J82" s="17">
        <v>3.5516660999999998</v>
      </c>
      <c r="K82" s="17">
        <v>3.3793774000000001</v>
      </c>
      <c r="L82" s="17">
        <v>3.2660483999999999</v>
      </c>
      <c r="M82" s="17">
        <v>3.2154802999999998</v>
      </c>
    </row>
    <row r="83" spans="1:13" x14ac:dyDescent="0.25">
      <c r="A83" t="s">
        <v>88</v>
      </c>
      <c r="B83" s="2">
        <v>3.69</v>
      </c>
      <c r="C83" s="2">
        <v>3.58</v>
      </c>
      <c r="D83" s="2">
        <v>3.75</v>
      </c>
      <c r="E83" s="2">
        <v>4.0199999999999996</v>
      </c>
      <c r="F83" s="2">
        <v>4.08</v>
      </c>
      <c r="G83" s="2">
        <v>4.0999999999999996</v>
      </c>
      <c r="H83" s="17">
        <v>4.5153119000000004</v>
      </c>
      <c r="I83" s="17">
        <v>3.8540431000000002</v>
      </c>
      <c r="J83" s="17">
        <v>3.5681877000000002</v>
      </c>
      <c r="K83" s="17">
        <v>3.4200533000000002</v>
      </c>
      <c r="L83" s="17">
        <v>3.3183639</v>
      </c>
      <c r="M83" s="17">
        <v>3.2650511</v>
      </c>
    </row>
    <row r="84" spans="1:13" x14ac:dyDescent="0.25">
      <c r="A84" t="s">
        <v>89</v>
      </c>
      <c r="B84" s="2">
        <v>3.82</v>
      </c>
      <c r="C84" s="2">
        <v>3.71</v>
      </c>
      <c r="D84" s="2">
        <v>3.85</v>
      </c>
      <c r="E84" s="2">
        <v>4.12</v>
      </c>
      <c r="F84" s="2">
        <v>4.17</v>
      </c>
      <c r="G84" s="2">
        <v>4.18</v>
      </c>
      <c r="H84" s="17">
        <v>4.7060497999999997</v>
      </c>
      <c r="I84" s="17">
        <v>4.0208501999999999</v>
      </c>
      <c r="J84" s="17">
        <v>3.6986267000000002</v>
      </c>
      <c r="K84" s="17">
        <v>3.5281427000000001</v>
      </c>
      <c r="L84" s="17">
        <v>3.4031273</v>
      </c>
      <c r="M84" s="17">
        <v>3.3287483999999998</v>
      </c>
    </row>
    <row r="85" spans="1:13" x14ac:dyDescent="0.25">
      <c r="A85" t="s">
        <v>90</v>
      </c>
      <c r="B85" s="2">
        <v>3.71</v>
      </c>
      <c r="C85" s="2">
        <v>3.61</v>
      </c>
      <c r="D85" s="2">
        <v>3.75</v>
      </c>
      <c r="E85" s="2">
        <v>4.0199999999999996</v>
      </c>
      <c r="F85" s="2">
        <v>4.07</v>
      </c>
      <c r="G85" s="2">
        <v>4.09</v>
      </c>
      <c r="H85" s="17">
        <v>4.6234792999999996</v>
      </c>
      <c r="I85" s="17">
        <v>3.9015580000000001</v>
      </c>
      <c r="J85" s="17">
        <v>3.6169639</v>
      </c>
      <c r="K85" s="17">
        <v>3.433208</v>
      </c>
      <c r="L85" s="17">
        <v>3.2895766000000002</v>
      </c>
      <c r="M85" s="17">
        <v>3.2097178</v>
      </c>
    </row>
    <row r="86" spans="1:13" x14ac:dyDescent="0.25">
      <c r="A86" t="s">
        <v>91</v>
      </c>
      <c r="B86" s="2">
        <v>3.74</v>
      </c>
      <c r="C86" s="2">
        <v>3.61</v>
      </c>
      <c r="D86" s="2">
        <v>3.75</v>
      </c>
      <c r="E86" s="2">
        <v>4.0199999999999996</v>
      </c>
      <c r="F86" s="2">
        <v>4.07</v>
      </c>
      <c r="G86" s="2">
        <v>4.09</v>
      </c>
      <c r="H86" s="17">
        <v>4.5902956000000001</v>
      </c>
      <c r="I86" s="17">
        <v>3.9119530999999998</v>
      </c>
      <c r="J86" s="17">
        <v>3.6309767000000002</v>
      </c>
      <c r="K86" s="17">
        <v>3.4424543000000001</v>
      </c>
      <c r="L86" s="17">
        <v>3.3030200000000001</v>
      </c>
      <c r="M86" s="17">
        <v>3.2276620999999999</v>
      </c>
    </row>
    <row r="87" spans="1:13" x14ac:dyDescent="0.25">
      <c r="A87" t="s">
        <v>92</v>
      </c>
      <c r="B87" s="2">
        <v>3.81</v>
      </c>
      <c r="C87" s="2">
        <v>3.66</v>
      </c>
      <c r="D87" s="2">
        <v>3.78</v>
      </c>
      <c r="E87" s="2">
        <v>4.0599999999999996</v>
      </c>
      <c r="F87" s="2">
        <v>4.1100000000000003</v>
      </c>
      <c r="G87" s="2">
        <v>4.12</v>
      </c>
      <c r="H87" s="17">
        <v>4.6552072999999998</v>
      </c>
      <c r="I87" s="17">
        <v>3.9766732</v>
      </c>
      <c r="J87" s="17">
        <v>3.6810599000000002</v>
      </c>
      <c r="K87" s="17">
        <v>3.4826581999999999</v>
      </c>
      <c r="L87" s="17">
        <v>3.3436555000000001</v>
      </c>
      <c r="M87" s="17">
        <v>3.2782026000000002</v>
      </c>
    </row>
    <row r="88" spans="1:13" x14ac:dyDescent="0.25">
      <c r="A88" t="s">
        <v>93</v>
      </c>
      <c r="B88" s="2">
        <v>3.73</v>
      </c>
      <c r="C88" s="2">
        <v>3.55</v>
      </c>
      <c r="D88" s="2">
        <v>3.69</v>
      </c>
      <c r="E88" s="2">
        <v>3.96</v>
      </c>
      <c r="F88" s="2">
        <v>4.01</v>
      </c>
      <c r="G88" s="2">
        <v>4.04</v>
      </c>
      <c r="H88" s="17">
        <v>4.5693726999999997</v>
      </c>
      <c r="I88" s="17">
        <v>3.8898784000000002</v>
      </c>
      <c r="J88" s="17">
        <v>3.5795324000000002</v>
      </c>
      <c r="K88" s="17">
        <v>3.3871226000000001</v>
      </c>
      <c r="L88" s="17">
        <v>3.2624867000000002</v>
      </c>
      <c r="M88" s="17">
        <v>3.2031146000000001</v>
      </c>
    </row>
    <row r="89" spans="1:13" x14ac:dyDescent="0.25">
      <c r="A89" t="s">
        <v>94</v>
      </c>
      <c r="B89" s="2">
        <v>3.77</v>
      </c>
      <c r="C89" s="2">
        <v>3.61</v>
      </c>
      <c r="D89" s="2">
        <v>3.74</v>
      </c>
      <c r="E89" s="2">
        <v>4.0199999999999996</v>
      </c>
      <c r="F89" s="2">
        <v>4.08</v>
      </c>
      <c r="G89" s="2">
        <v>4.0999999999999996</v>
      </c>
      <c r="H89" s="17">
        <v>4.5760281000000003</v>
      </c>
      <c r="I89" s="17">
        <v>3.8704626000000002</v>
      </c>
      <c r="J89" s="17">
        <v>3.5882627999999999</v>
      </c>
      <c r="K89" s="17">
        <v>3.4396677000000002</v>
      </c>
      <c r="L89" s="17">
        <v>3.3302423999999999</v>
      </c>
      <c r="M89" s="17">
        <v>3.2688646000000001</v>
      </c>
    </row>
    <row r="90" spans="1:13" x14ac:dyDescent="0.25">
      <c r="A90" t="s">
        <v>95</v>
      </c>
      <c r="B90" s="2">
        <v>3.81</v>
      </c>
      <c r="C90" s="2">
        <v>3.66</v>
      </c>
      <c r="D90" s="2">
        <v>3.8</v>
      </c>
      <c r="E90" s="2">
        <v>4.07</v>
      </c>
      <c r="F90" s="2">
        <v>4.13</v>
      </c>
      <c r="G90" s="2">
        <v>4.1500000000000004</v>
      </c>
      <c r="H90" s="17">
        <v>4.6164668000000004</v>
      </c>
      <c r="I90" s="17">
        <v>3.923616</v>
      </c>
      <c r="J90" s="17">
        <v>3.6697688999999998</v>
      </c>
      <c r="K90" s="17">
        <v>3.5123397999999999</v>
      </c>
      <c r="L90" s="17">
        <v>3.3869729999999998</v>
      </c>
      <c r="M90" s="17">
        <v>3.3157380999999999</v>
      </c>
    </row>
    <row r="91" spans="1:13" x14ac:dyDescent="0.25">
      <c r="A91" t="s">
        <v>96</v>
      </c>
      <c r="B91" s="2">
        <v>3.78</v>
      </c>
      <c r="C91" s="2">
        <v>3.61</v>
      </c>
      <c r="D91" s="2">
        <v>3.72</v>
      </c>
      <c r="E91" s="2">
        <v>4</v>
      </c>
      <c r="F91" s="2">
        <v>4.07</v>
      </c>
      <c r="G91" s="2">
        <v>4.09</v>
      </c>
      <c r="H91" s="17">
        <v>4.5760379000000002</v>
      </c>
      <c r="I91" s="17">
        <v>3.9026073000000001</v>
      </c>
      <c r="J91" s="17">
        <v>3.6412626000000001</v>
      </c>
      <c r="K91" s="17">
        <v>3.4556032000000001</v>
      </c>
      <c r="L91" s="17">
        <v>3.3150556999999998</v>
      </c>
      <c r="M91" s="17">
        <v>3.2404901000000002</v>
      </c>
    </row>
    <row r="92" spans="1:13" x14ac:dyDescent="0.25">
      <c r="A92" t="s">
        <v>97</v>
      </c>
      <c r="B92" s="2">
        <v>3.78</v>
      </c>
      <c r="C92" s="2">
        <v>3.61</v>
      </c>
      <c r="D92" s="2" t="e">
        <v>#N/A</v>
      </c>
      <c r="E92" s="2">
        <v>4</v>
      </c>
      <c r="F92" s="2">
        <v>4.07</v>
      </c>
      <c r="G92" s="2">
        <v>4.09</v>
      </c>
      <c r="H92" s="17" t="e">
        <v>#N/A</v>
      </c>
      <c r="I92" s="17" t="e">
        <v>#N/A</v>
      </c>
      <c r="J92" s="17" t="e">
        <v>#N/A</v>
      </c>
      <c r="K92" s="17" t="e">
        <v>#N/A</v>
      </c>
      <c r="L92" s="17" t="e">
        <v>#N/A</v>
      </c>
      <c r="M92" s="17" t="e">
        <v>#N/A</v>
      </c>
    </row>
    <row r="93" spans="1:13" x14ac:dyDescent="0.25">
      <c r="A93" t="s">
        <v>98</v>
      </c>
      <c r="B93" s="2">
        <v>3.73</v>
      </c>
      <c r="C93" s="2">
        <v>3.54</v>
      </c>
      <c r="D93" s="2">
        <v>3.66</v>
      </c>
      <c r="E93" s="2">
        <v>3.94</v>
      </c>
      <c r="F93" s="2">
        <v>4.0199999999999996</v>
      </c>
      <c r="G93" s="2">
        <v>4.05</v>
      </c>
      <c r="H93" s="17">
        <v>4.5135791999999997</v>
      </c>
      <c r="I93" s="17">
        <v>3.8599019999999999</v>
      </c>
      <c r="J93" s="17">
        <v>3.5429317</v>
      </c>
      <c r="K93" s="17">
        <v>3.3629254</v>
      </c>
      <c r="L93" s="17">
        <v>3.2533834000000001</v>
      </c>
      <c r="M93" s="17">
        <v>3.2035776999999999</v>
      </c>
    </row>
    <row r="94" spans="1:13" x14ac:dyDescent="0.25">
      <c r="A94" t="s">
        <v>99</v>
      </c>
      <c r="B94" s="2">
        <v>3.76</v>
      </c>
      <c r="C94" s="2">
        <v>3.57</v>
      </c>
      <c r="D94" s="2">
        <v>3.69</v>
      </c>
      <c r="E94" s="2">
        <v>3.97</v>
      </c>
      <c r="F94" s="2">
        <v>4.05</v>
      </c>
      <c r="G94" s="2">
        <v>4.09</v>
      </c>
      <c r="H94" s="17">
        <v>4.5638912999999999</v>
      </c>
      <c r="I94" s="17">
        <v>3.8852997</v>
      </c>
      <c r="J94" s="17">
        <v>3.5623418999999998</v>
      </c>
      <c r="K94" s="17">
        <v>3.3931168999999999</v>
      </c>
      <c r="L94" s="17">
        <v>3.2826789999999999</v>
      </c>
      <c r="M94" s="17">
        <v>3.2256626000000002</v>
      </c>
    </row>
    <row r="95" spans="1:13" x14ac:dyDescent="0.25">
      <c r="A95" t="s">
        <v>100</v>
      </c>
      <c r="B95" s="2">
        <v>3.68</v>
      </c>
      <c r="C95" s="2">
        <v>3.48</v>
      </c>
      <c r="D95" s="2">
        <v>3.66</v>
      </c>
      <c r="E95" s="2">
        <v>3.93</v>
      </c>
      <c r="F95" s="2">
        <v>4.03</v>
      </c>
      <c r="G95" s="2">
        <v>4.08</v>
      </c>
      <c r="H95" s="17">
        <v>4.3394884999999999</v>
      </c>
      <c r="I95" s="17">
        <v>3.7166109000000001</v>
      </c>
      <c r="J95" s="17">
        <v>3.5325495999999998</v>
      </c>
      <c r="K95" s="17">
        <v>3.399807</v>
      </c>
      <c r="L95" s="17">
        <v>3.2973940000000002</v>
      </c>
      <c r="M95" s="17">
        <v>3.2467831</v>
      </c>
    </row>
    <row r="96" spans="1:13" x14ac:dyDescent="0.25">
      <c r="A96" t="s">
        <v>101</v>
      </c>
      <c r="B96" s="2">
        <v>3.77</v>
      </c>
      <c r="C96" s="2">
        <v>3.58</v>
      </c>
      <c r="D96" s="2">
        <v>3.77</v>
      </c>
      <c r="E96" s="2">
        <v>4.04</v>
      </c>
      <c r="F96" s="2">
        <v>4.13</v>
      </c>
      <c r="G96" s="2">
        <v>4.17</v>
      </c>
      <c r="H96" s="17">
        <v>4.5183825000000004</v>
      </c>
      <c r="I96" s="17">
        <v>3.8892196000000001</v>
      </c>
      <c r="J96" s="17">
        <v>3.6410288</v>
      </c>
      <c r="K96" s="17">
        <v>3.4875020999999999</v>
      </c>
      <c r="L96" s="17">
        <v>3.3792268999999999</v>
      </c>
      <c r="M96" s="17">
        <v>3.3266600999999998</v>
      </c>
    </row>
    <row r="97" spans="1:13" x14ac:dyDescent="0.25">
      <c r="A97" t="s">
        <v>102</v>
      </c>
      <c r="B97" s="2">
        <v>3.78</v>
      </c>
      <c r="C97" s="2">
        <v>3.59</v>
      </c>
      <c r="D97" s="2" t="e">
        <v>#N/A</v>
      </c>
      <c r="E97" s="2">
        <v>4.05</v>
      </c>
      <c r="F97" s="2">
        <v>4.13</v>
      </c>
      <c r="G97" s="2">
        <v>4.18</v>
      </c>
      <c r="H97" s="17" t="e">
        <v>#N/A</v>
      </c>
      <c r="I97" s="17" t="e">
        <v>#N/A</v>
      </c>
      <c r="J97" s="17" t="e">
        <v>#N/A</v>
      </c>
      <c r="K97" s="17" t="e">
        <v>#N/A</v>
      </c>
      <c r="L97" s="17" t="e">
        <v>#N/A</v>
      </c>
      <c r="M97" s="17" t="e">
        <v>#N/A</v>
      </c>
    </row>
    <row r="98" spans="1:13" x14ac:dyDescent="0.25">
      <c r="A98" t="s">
        <v>103</v>
      </c>
      <c r="B98" s="2">
        <v>3.87</v>
      </c>
      <c r="C98" s="2">
        <v>3.68</v>
      </c>
      <c r="D98" s="2">
        <v>3.86</v>
      </c>
      <c r="E98" s="2">
        <v>4.12</v>
      </c>
      <c r="F98" s="2">
        <v>4.2</v>
      </c>
      <c r="G98" s="2">
        <v>4.24</v>
      </c>
      <c r="H98" s="17">
        <v>4.5946064</v>
      </c>
      <c r="I98" s="17">
        <v>3.9952234</v>
      </c>
      <c r="J98" s="17">
        <v>3.6955483999999998</v>
      </c>
      <c r="K98" s="17">
        <v>3.5394296999999999</v>
      </c>
      <c r="L98" s="17">
        <v>3.4530753999999999</v>
      </c>
      <c r="M98" s="17">
        <v>3.4208425</v>
      </c>
    </row>
    <row r="99" spans="1:13" x14ac:dyDescent="0.25">
      <c r="A99" t="s">
        <v>104</v>
      </c>
      <c r="B99" s="2">
        <v>3.83</v>
      </c>
      <c r="C99" s="2">
        <v>3.63</v>
      </c>
      <c r="D99" s="2">
        <v>3.8</v>
      </c>
      <c r="E99" s="2">
        <v>4.07</v>
      </c>
      <c r="F99" s="2">
        <v>4.1500000000000004</v>
      </c>
      <c r="G99" s="2">
        <v>4.1900000000000004</v>
      </c>
      <c r="H99" s="17">
        <v>4.5229109999999997</v>
      </c>
      <c r="I99" s="17">
        <v>3.9083299</v>
      </c>
      <c r="J99" s="17">
        <v>3.6306262</v>
      </c>
      <c r="K99" s="17">
        <v>3.4949506000000001</v>
      </c>
      <c r="L99" s="17">
        <v>3.4084392999999999</v>
      </c>
      <c r="M99" s="17">
        <v>3.3692975999999999</v>
      </c>
    </row>
    <row r="100" spans="1:13" x14ac:dyDescent="0.25">
      <c r="A100" t="s">
        <v>105</v>
      </c>
      <c r="B100" s="2">
        <v>3.73</v>
      </c>
      <c r="C100" s="2">
        <v>3.54</v>
      </c>
      <c r="D100" s="2">
        <v>3.71</v>
      </c>
      <c r="E100" s="2">
        <v>4</v>
      </c>
      <c r="F100" s="2">
        <v>4.09</v>
      </c>
      <c r="G100" s="2">
        <v>4.1399999999999997</v>
      </c>
      <c r="H100" s="17">
        <v>4.4338141000000002</v>
      </c>
      <c r="I100" s="17">
        <v>3.7703180000000001</v>
      </c>
      <c r="J100" s="17">
        <v>3.5397911</v>
      </c>
      <c r="K100" s="17">
        <v>3.4121446999999998</v>
      </c>
      <c r="L100" s="17">
        <v>3.3229286</v>
      </c>
      <c r="M100" s="17">
        <v>3.2851298</v>
      </c>
    </row>
    <row r="101" spans="1:13" x14ac:dyDescent="0.25">
      <c r="A101" t="s">
        <v>106</v>
      </c>
      <c r="B101" s="2">
        <v>3.8</v>
      </c>
      <c r="C101" s="2">
        <v>3.6</v>
      </c>
      <c r="D101" s="2">
        <v>3.78</v>
      </c>
      <c r="E101" s="2">
        <v>4.08</v>
      </c>
      <c r="F101" s="2">
        <v>4.17</v>
      </c>
      <c r="G101" s="2">
        <v>4.21</v>
      </c>
      <c r="H101" s="17">
        <v>4.5270185999999999</v>
      </c>
      <c r="I101" s="17">
        <v>3.8812399000000002</v>
      </c>
      <c r="J101" s="17">
        <v>3.6114849000000002</v>
      </c>
      <c r="K101" s="17">
        <v>3.4586385000000002</v>
      </c>
      <c r="L101" s="17">
        <v>3.3624505999999998</v>
      </c>
      <c r="M101" s="17">
        <v>3.326638</v>
      </c>
    </row>
    <row r="102" spans="1:13" x14ac:dyDescent="0.25">
      <c r="A102" t="s">
        <v>107</v>
      </c>
      <c r="B102" s="2">
        <v>3.83</v>
      </c>
      <c r="C102" s="2">
        <v>3.63</v>
      </c>
      <c r="D102" s="2">
        <v>3.82</v>
      </c>
      <c r="E102" s="2">
        <v>4.12</v>
      </c>
      <c r="F102" s="2">
        <v>4.2</v>
      </c>
      <c r="G102" s="2">
        <v>4.25</v>
      </c>
      <c r="H102" s="17">
        <v>4.5353364000000003</v>
      </c>
      <c r="I102" s="17">
        <v>3.9048074000000002</v>
      </c>
      <c r="J102" s="17">
        <v>3.6110427999999999</v>
      </c>
      <c r="K102" s="17">
        <v>3.4642354000000002</v>
      </c>
      <c r="L102" s="17">
        <v>3.3918382999999999</v>
      </c>
      <c r="M102" s="17">
        <v>3.3734823</v>
      </c>
    </row>
    <row r="103" spans="1:13" x14ac:dyDescent="0.25">
      <c r="A103" t="s">
        <v>108</v>
      </c>
      <c r="B103" s="2">
        <v>3.8</v>
      </c>
      <c r="C103" s="2">
        <v>3.6</v>
      </c>
      <c r="D103" s="2">
        <v>3.8</v>
      </c>
      <c r="E103" s="2">
        <v>4.1100000000000003</v>
      </c>
      <c r="F103" s="2">
        <v>4.2</v>
      </c>
      <c r="G103" s="2">
        <v>4.25</v>
      </c>
      <c r="H103" s="17">
        <v>4.5174840999999999</v>
      </c>
      <c r="I103" s="17">
        <v>3.9128926000000002</v>
      </c>
      <c r="J103" s="17">
        <v>3.626163</v>
      </c>
      <c r="K103" s="17">
        <v>3.4685627999999999</v>
      </c>
      <c r="L103" s="17">
        <v>3.3739270000000001</v>
      </c>
      <c r="M103" s="17">
        <v>3.3432491</v>
      </c>
    </row>
    <row r="104" spans="1:13" x14ac:dyDescent="0.25">
      <c r="A104" t="s">
        <v>109</v>
      </c>
      <c r="B104" s="2">
        <v>3.87</v>
      </c>
      <c r="C104" s="2">
        <v>3.68</v>
      </c>
      <c r="D104" s="2">
        <v>3.84</v>
      </c>
      <c r="E104" s="2">
        <v>4.1399999999999997</v>
      </c>
      <c r="F104" s="2">
        <v>4.22</v>
      </c>
      <c r="G104" s="2">
        <v>4.2699999999999996</v>
      </c>
      <c r="H104" s="17">
        <v>4.5673363</v>
      </c>
      <c r="I104" s="17">
        <v>3.9473767999999998</v>
      </c>
      <c r="J104" s="17">
        <v>3.6443283000000002</v>
      </c>
      <c r="K104" s="17">
        <v>3.5106299000000001</v>
      </c>
      <c r="L104" s="17">
        <v>3.4332676000000002</v>
      </c>
      <c r="M104" s="17">
        <v>3.3955166999999999</v>
      </c>
    </row>
    <row r="105" spans="1:13" x14ac:dyDescent="0.25">
      <c r="A105" t="s">
        <v>110</v>
      </c>
      <c r="B105" s="2">
        <v>3.97</v>
      </c>
      <c r="C105" s="2">
        <v>3.8</v>
      </c>
      <c r="D105" s="2">
        <v>3.97</v>
      </c>
      <c r="E105" s="2">
        <v>4.2699999999999996</v>
      </c>
      <c r="F105" s="2">
        <v>4.34</v>
      </c>
      <c r="G105" s="2">
        <v>4.3899999999999997</v>
      </c>
      <c r="H105" s="17">
        <v>4.6497411</v>
      </c>
      <c r="I105" s="17">
        <v>4.0487713999999997</v>
      </c>
      <c r="J105" s="17">
        <v>3.7636571999999999</v>
      </c>
      <c r="K105" s="17">
        <v>3.6119387000000001</v>
      </c>
      <c r="L105" s="17">
        <v>3.5221426</v>
      </c>
      <c r="M105" s="17">
        <v>3.4901165000000001</v>
      </c>
    </row>
    <row r="106" spans="1:13" x14ac:dyDescent="0.25">
      <c r="A106" t="s">
        <v>111</v>
      </c>
      <c r="B106" s="2">
        <v>3.96</v>
      </c>
      <c r="C106" s="2">
        <v>3.83</v>
      </c>
      <c r="D106" s="2">
        <v>4.01</v>
      </c>
      <c r="E106" s="2">
        <v>4.3</v>
      </c>
      <c r="F106" s="2">
        <v>4.37</v>
      </c>
      <c r="G106" s="2">
        <v>4.42</v>
      </c>
      <c r="H106" s="17">
        <v>4.6826153000000001</v>
      </c>
      <c r="I106" s="17">
        <v>4.1248969999999998</v>
      </c>
      <c r="J106" s="17">
        <v>3.8251438000000002</v>
      </c>
      <c r="K106" s="17">
        <v>3.6561314</v>
      </c>
      <c r="L106" s="17">
        <v>3.5560651000000001</v>
      </c>
      <c r="M106" s="17">
        <v>3.5200303000000002</v>
      </c>
    </row>
    <row r="107" spans="1:13" x14ac:dyDescent="0.25">
      <c r="A107" t="s">
        <v>112</v>
      </c>
      <c r="B107" s="2">
        <v>4.04</v>
      </c>
      <c r="C107" s="2">
        <v>3.89</v>
      </c>
      <c r="D107" s="2">
        <v>4.05</v>
      </c>
      <c r="E107" s="2">
        <v>4.33</v>
      </c>
      <c r="F107" s="2">
        <v>4.3899999999999997</v>
      </c>
      <c r="G107" s="2">
        <v>4.4400000000000004</v>
      </c>
      <c r="H107" s="17">
        <v>4.7735364000000002</v>
      </c>
      <c r="I107" s="17">
        <v>4.2331399000000003</v>
      </c>
      <c r="J107" s="17">
        <v>3.8755177000000001</v>
      </c>
      <c r="K107" s="17">
        <v>3.6706257999999998</v>
      </c>
      <c r="L107" s="17">
        <v>3.5662862</v>
      </c>
      <c r="M107" s="17">
        <v>3.5370018999999999</v>
      </c>
    </row>
    <row r="108" spans="1:13" x14ac:dyDescent="0.25">
      <c r="A108" t="s">
        <v>113</v>
      </c>
      <c r="B108" s="2">
        <v>4.13</v>
      </c>
      <c r="C108" s="2">
        <v>3.99</v>
      </c>
      <c r="D108" s="2">
        <v>4.16</v>
      </c>
      <c r="E108" s="2">
        <v>4.4400000000000004</v>
      </c>
      <c r="F108" s="2">
        <v>4.49</v>
      </c>
      <c r="G108" s="2">
        <v>4.53</v>
      </c>
      <c r="H108" s="17">
        <v>4.8562105000000004</v>
      </c>
      <c r="I108" s="17">
        <v>4.3127449999999996</v>
      </c>
      <c r="J108" s="17">
        <v>3.9574775999999998</v>
      </c>
      <c r="K108" s="17">
        <v>3.7741902000000001</v>
      </c>
      <c r="L108" s="17">
        <v>3.681057</v>
      </c>
      <c r="M108" s="17">
        <v>3.6482820999999999</v>
      </c>
    </row>
    <row r="109" spans="1:13" x14ac:dyDescent="0.25">
      <c r="A109" t="s">
        <v>114</v>
      </c>
      <c r="B109" s="2">
        <v>4.38</v>
      </c>
      <c r="C109" s="2">
        <v>4.1399999999999997</v>
      </c>
      <c r="D109" s="2">
        <v>4.22</v>
      </c>
      <c r="E109" s="2">
        <v>4.4800000000000004</v>
      </c>
      <c r="F109" s="2">
        <v>4.5199999999999996</v>
      </c>
      <c r="G109" s="2">
        <v>4.54</v>
      </c>
      <c r="H109" s="17">
        <v>5.2414671999999998</v>
      </c>
      <c r="I109" s="17">
        <v>4.5354891000000004</v>
      </c>
      <c r="J109" s="17">
        <v>4.0321081000000003</v>
      </c>
      <c r="K109" s="17">
        <v>3.7892328000000002</v>
      </c>
      <c r="L109" s="17">
        <v>3.6667592</v>
      </c>
      <c r="M109" s="17">
        <v>3.6159159999999999</v>
      </c>
    </row>
    <row r="110" spans="1:13" x14ac:dyDescent="0.25">
      <c r="A110" t="s">
        <v>115</v>
      </c>
      <c r="B110" s="2">
        <v>4.55</v>
      </c>
      <c r="C110" s="2">
        <v>4.33</v>
      </c>
      <c r="D110" s="2">
        <v>4.38</v>
      </c>
      <c r="E110" s="2">
        <v>4.63</v>
      </c>
      <c r="F110" s="2">
        <v>4.6399999999999997</v>
      </c>
      <c r="G110" s="2">
        <v>4.6500000000000004</v>
      </c>
      <c r="H110" s="17">
        <v>5.4517829999999998</v>
      </c>
      <c r="I110" s="17">
        <v>4.7479874999999998</v>
      </c>
      <c r="J110" s="17">
        <v>4.2694175000000003</v>
      </c>
      <c r="K110" s="17">
        <v>3.9921853999999999</v>
      </c>
      <c r="L110" s="17">
        <v>3.8305104999999999</v>
      </c>
      <c r="M110" s="17">
        <v>3.7548130999999998</v>
      </c>
    </row>
    <row r="111" spans="1:13" x14ac:dyDescent="0.25">
      <c r="A111" t="s">
        <v>116</v>
      </c>
      <c r="B111" s="2">
        <v>4.4800000000000004</v>
      </c>
      <c r="C111" s="2">
        <v>4.2699999999999996</v>
      </c>
      <c r="D111" s="2">
        <v>4.33</v>
      </c>
      <c r="E111" s="2">
        <v>4.58</v>
      </c>
      <c r="F111" s="2">
        <v>4.62</v>
      </c>
      <c r="G111" s="2">
        <v>4.6399999999999997</v>
      </c>
      <c r="H111" s="17">
        <v>5.4063841999999998</v>
      </c>
      <c r="I111" s="17">
        <v>4.7099696</v>
      </c>
      <c r="J111" s="17">
        <v>4.2365225999999998</v>
      </c>
      <c r="K111" s="17">
        <v>3.9606423999999998</v>
      </c>
      <c r="L111" s="17">
        <v>3.7931963</v>
      </c>
      <c r="M111" s="17">
        <v>3.711878</v>
      </c>
    </row>
    <row r="112" spans="1:13" x14ac:dyDescent="0.25">
      <c r="A112" t="s">
        <v>117</v>
      </c>
      <c r="B112" s="2">
        <v>4.51</v>
      </c>
      <c r="C112" s="2">
        <v>4.3</v>
      </c>
      <c r="D112" s="2" t="e">
        <v>#N/A</v>
      </c>
      <c r="E112" s="2">
        <v>4.6100000000000003</v>
      </c>
      <c r="F112" s="2">
        <v>4.6500000000000004</v>
      </c>
      <c r="G112" s="2" t="e">
        <v>#N/A</v>
      </c>
      <c r="H112" s="17" t="e">
        <v>#N/A</v>
      </c>
      <c r="I112" s="17" t="e">
        <v>#N/A</v>
      </c>
      <c r="J112" s="17" t="e">
        <v>#N/A</v>
      </c>
      <c r="K112" s="17" t="e">
        <v>#N/A</v>
      </c>
      <c r="L112" s="17" t="e">
        <v>#N/A</v>
      </c>
      <c r="M112" s="17" t="e">
        <v>#N/A</v>
      </c>
    </row>
    <row r="113" spans="1:13" x14ac:dyDescent="0.25">
      <c r="A113" t="s">
        <v>118</v>
      </c>
      <c r="B113" s="2">
        <v>4.4400000000000004</v>
      </c>
      <c r="C113" s="2">
        <v>4.21</v>
      </c>
      <c r="D113" s="2">
        <v>4.24</v>
      </c>
      <c r="E113" s="2">
        <v>4.5</v>
      </c>
      <c r="F113" s="2">
        <v>4.5599999999999996</v>
      </c>
      <c r="G113" s="2">
        <v>4.58</v>
      </c>
      <c r="H113" s="17">
        <v>5.3864830000000001</v>
      </c>
      <c r="I113" s="17">
        <v>4.6259905000000003</v>
      </c>
      <c r="J113" s="17">
        <v>4.1694718999999996</v>
      </c>
      <c r="K113" s="17">
        <v>3.9210042000000001</v>
      </c>
      <c r="L113" s="17">
        <v>3.7500349000000002</v>
      </c>
      <c r="M113" s="17">
        <v>3.6494754</v>
      </c>
    </row>
    <row r="114" spans="1:13" x14ac:dyDescent="0.25">
      <c r="A114" t="s">
        <v>119</v>
      </c>
      <c r="B114" s="2">
        <v>4.32</v>
      </c>
      <c r="C114" s="2">
        <v>4.0999999999999996</v>
      </c>
      <c r="D114" s="2">
        <v>4.18</v>
      </c>
      <c r="E114" s="2">
        <v>4.4400000000000004</v>
      </c>
      <c r="F114" s="2">
        <v>4.4800000000000004</v>
      </c>
      <c r="G114" s="2">
        <v>4.51</v>
      </c>
      <c r="H114" s="17">
        <v>5.2091129</v>
      </c>
      <c r="I114" s="17">
        <v>4.4849553999999996</v>
      </c>
      <c r="J114" s="17">
        <v>4.0309973000000001</v>
      </c>
      <c r="K114" s="17">
        <v>3.7974953</v>
      </c>
      <c r="L114" s="17">
        <v>3.6610336999999999</v>
      </c>
      <c r="M114" s="17">
        <v>3.5942775999999999</v>
      </c>
    </row>
    <row r="115" spans="1:13" x14ac:dyDescent="0.25">
      <c r="A115" t="s">
        <v>120</v>
      </c>
      <c r="B115" s="2">
        <v>4.29</v>
      </c>
      <c r="C115" s="2">
        <v>4.0599999999999996</v>
      </c>
      <c r="D115" s="2">
        <v>4.13</v>
      </c>
      <c r="E115" s="2">
        <v>4.38</v>
      </c>
      <c r="F115" s="2">
        <v>4.43</v>
      </c>
      <c r="G115" s="2">
        <v>4.47</v>
      </c>
      <c r="H115" s="17">
        <v>5.1909581999999999</v>
      </c>
      <c r="I115" s="17">
        <v>4.4676735000000001</v>
      </c>
      <c r="J115" s="17">
        <v>4.0246924000000002</v>
      </c>
      <c r="K115" s="17">
        <v>3.7582531000000001</v>
      </c>
      <c r="L115" s="17">
        <v>3.5904924999999999</v>
      </c>
      <c r="M115" s="17">
        <v>3.5079275000000001</v>
      </c>
    </row>
    <row r="116" spans="1:13" x14ac:dyDescent="0.25">
      <c r="A116" t="s">
        <v>121</v>
      </c>
      <c r="B116" s="2">
        <v>4.3600000000000003</v>
      </c>
      <c r="C116" s="2">
        <v>4.0999999999999996</v>
      </c>
      <c r="D116" s="2">
        <v>4.1500000000000004</v>
      </c>
      <c r="E116" s="2">
        <v>4.4000000000000004</v>
      </c>
      <c r="F116" s="2">
        <v>4.4400000000000004</v>
      </c>
      <c r="G116" s="2">
        <v>4.47</v>
      </c>
      <c r="H116" s="17">
        <v>5.2337043999999997</v>
      </c>
      <c r="I116" s="17">
        <v>4.5496112000000002</v>
      </c>
      <c r="J116" s="17">
        <v>4.1029780000000002</v>
      </c>
      <c r="K116" s="17">
        <v>3.7975028000000002</v>
      </c>
      <c r="L116" s="17">
        <v>3.5939947000000001</v>
      </c>
      <c r="M116" s="17">
        <v>3.4984058999999998</v>
      </c>
    </row>
    <row r="117" spans="1:13" x14ac:dyDescent="0.25">
      <c r="A117" t="s">
        <v>122</v>
      </c>
      <c r="B117" s="2">
        <v>4.46</v>
      </c>
      <c r="C117" s="2">
        <v>4.18</v>
      </c>
      <c r="D117" s="2">
        <v>4.22</v>
      </c>
      <c r="E117" s="2">
        <v>4.46</v>
      </c>
      <c r="F117" s="2">
        <v>4.49</v>
      </c>
      <c r="G117" s="2">
        <v>4.5199999999999996</v>
      </c>
      <c r="H117" s="17">
        <v>5.3102871</v>
      </c>
      <c r="I117" s="17">
        <v>4.6923402999999997</v>
      </c>
      <c r="J117" s="17">
        <v>4.1769056000000004</v>
      </c>
      <c r="K117" s="17">
        <v>3.8429261000000001</v>
      </c>
      <c r="L117" s="17">
        <v>3.6559775000000001</v>
      </c>
      <c r="M117" s="17">
        <v>3.5796025</v>
      </c>
    </row>
    <row r="118" spans="1:13" x14ac:dyDescent="0.25">
      <c r="A118" t="s">
        <v>123</v>
      </c>
      <c r="B118" s="2">
        <v>4.46</v>
      </c>
      <c r="C118" s="2">
        <v>4.17</v>
      </c>
      <c r="D118" s="2">
        <v>4.1900000000000004</v>
      </c>
      <c r="E118" s="2">
        <v>4.42</v>
      </c>
      <c r="F118" s="2">
        <v>4.4400000000000004</v>
      </c>
      <c r="G118" s="2">
        <v>4.46</v>
      </c>
      <c r="H118" s="17">
        <v>5.3074165999999998</v>
      </c>
      <c r="I118" s="17">
        <v>4.6596846999999997</v>
      </c>
      <c r="J118" s="17">
        <v>4.1289911999999998</v>
      </c>
      <c r="K118" s="17">
        <v>3.8090042</v>
      </c>
      <c r="L118" s="17">
        <v>3.6327208</v>
      </c>
      <c r="M118" s="17">
        <v>3.5528236999999998</v>
      </c>
    </row>
    <row r="119" spans="1:13" x14ac:dyDescent="0.25">
      <c r="A119" t="s">
        <v>124</v>
      </c>
      <c r="B119" s="2">
        <v>4.58</v>
      </c>
      <c r="C119" s="2">
        <v>4.26</v>
      </c>
      <c r="D119" s="2">
        <v>4.26</v>
      </c>
      <c r="E119" s="2">
        <v>4.49</v>
      </c>
      <c r="F119" s="2">
        <v>4.5</v>
      </c>
      <c r="G119" s="2">
        <v>4.5</v>
      </c>
      <c r="H119" s="17">
        <v>5.4151055000000001</v>
      </c>
      <c r="I119" s="17">
        <v>4.7245384000000001</v>
      </c>
      <c r="J119" s="17">
        <v>4.1830673000000003</v>
      </c>
      <c r="K119" s="17">
        <v>3.8865175999999999</v>
      </c>
      <c r="L119" s="17">
        <v>3.7136600999999998</v>
      </c>
      <c r="M119" s="17">
        <v>3.6254428000000001</v>
      </c>
    </row>
    <row r="120" spans="1:13" x14ac:dyDescent="0.25">
      <c r="A120" t="s">
        <v>125</v>
      </c>
      <c r="B120" s="2">
        <v>4.51</v>
      </c>
      <c r="C120" s="2">
        <v>4.22</v>
      </c>
      <c r="D120" s="2">
        <v>4.25</v>
      </c>
      <c r="E120" s="2">
        <v>4.4800000000000004</v>
      </c>
      <c r="F120" s="2">
        <v>4.49</v>
      </c>
      <c r="G120" s="2">
        <v>4.5</v>
      </c>
      <c r="H120" s="17">
        <v>5.3251165</v>
      </c>
      <c r="I120" s="17">
        <v>4.6479397000000002</v>
      </c>
      <c r="J120" s="17">
        <v>4.1920966000000002</v>
      </c>
      <c r="K120" s="17">
        <v>3.9131029000000002</v>
      </c>
      <c r="L120" s="17">
        <v>3.7269789000000002</v>
      </c>
      <c r="M120" s="17">
        <v>3.6262308000000001</v>
      </c>
    </row>
    <row r="121" spans="1:13" x14ac:dyDescent="0.25">
      <c r="A121" t="s">
        <v>126</v>
      </c>
      <c r="B121" s="2">
        <v>4.5199999999999996</v>
      </c>
      <c r="C121" s="2">
        <v>4.25</v>
      </c>
      <c r="D121" s="2">
        <v>4.24</v>
      </c>
      <c r="E121" s="2">
        <v>4.47</v>
      </c>
      <c r="F121" s="2">
        <v>4.49</v>
      </c>
      <c r="G121" s="2">
        <v>4.4800000000000004</v>
      </c>
      <c r="H121" s="17">
        <v>5.3744136999999998</v>
      </c>
      <c r="I121" s="17">
        <v>4.7061926999999999</v>
      </c>
      <c r="J121" s="17">
        <v>4.2026966999999997</v>
      </c>
      <c r="K121" s="17">
        <v>3.8886843999999998</v>
      </c>
      <c r="L121" s="17">
        <v>3.6900835999999999</v>
      </c>
      <c r="M121" s="17">
        <v>3.5866481000000001</v>
      </c>
    </row>
    <row r="122" spans="1:13" x14ac:dyDescent="0.25">
      <c r="A122" t="s">
        <v>127</v>
      </c>
      <c r="B122" s="2">
        <v>4.6399999999999997</v>
      </c>
      <c r="C122" s="2">
        <v>4.34</v>
      </c>
      <c r="D122" s="2">
        <v>4.34</v>
      </c>
      <c r="E122" s="2">
        <v>4.5599999999999996</v>
      </c>
      <c r="F122" s="2">
        <v>4.58</v>
      </c>
      <c r="G122" s="2">
        <v>4.57</v>
      </c>
      <c r="H122" s="17">
        <v>5.4651259999999997</v>
      </c>
      <c r="I122" s="17">
        <v>4.8411834999999996</v>
      </c>
      <c r="J122" s="17">
        <v>4.2912996000000003</v>
      </c>
      <c r="K122" s="17">
        <v>3.9517400999999999</v>
      </c>
      <c r="L122" s="17">
        <v>3.7602025000000001</v>
      </c>
      <c r="M122" s="17">
        <v>3.6758565000000001</v>
      </c>
    </row>
    <row r="123" spans="1:13" x14ac:dyDescent="0.25">
      <c r="A123" t="s">
        <v>128</v>
      </c>
      <c r="B123" s="2">
        <v>4.88</v>
      </c>
      <c r="C123" s="2">
        <v>4.5199999999999996</v>
      </c>
      <c r="D123" s="2">
        <v>4.43</v>
      </c>
      <c r="E123" s="2">
        <v>4.63</v>
      </c>
      <c r="F123" s="2">
        <v>4.63</v>
      </c>
      <c r="G123" s="2">
        <v>4.6100000000000003</v>
      </c>
      <c r="H123" s="17">
        <v>5.8054702999999996</v>
      </c>
      <c r="I123" s="17">
        <v>5.1618599999999999</v>
      </c>
      <c r="J123" s="17">
        <v>4.456664</v>
      </c>
      <c r="K123" s="17">
        <v>4.0174300000000001</v>
      </c>
      <c r="L123" s="17">
        <v>3.7845463000000001</v>
      </c>
      <c r="M123" s="17">
        <v>3.6721841</v>
      </c>
    </row>
    <row r="124" spans="1:13" x14ac:dyDescent="0.25">
      <c r="A124" t="s">
        <v>129</v>
      </c>
      <c r="B124" s="2">
        <v>4.8</v>
      </c>
      <c r="C124" s="2">
        <v>4.45</v>
      </c>
      <c r="D124" s="2">
        <v>4.37</v>
      </c>
      <c r="E124" s="2">
        <v>4.57</v>
      </c>
      <c r="F124" s="2">
        <v>4.57</v>
      </c>
      <c r="G124" s="2">
        <v>4.54</v>
      </c>
      <c r="H124" s="17">
        <v>5.690747</v>
      </c>
      <c r="I124" s="17">
        <v>5.0011995000000002</v>
      </c>
      <c r="J124" s="17">
        <v>4.3708992999999996</v>
      </c>
      <c r="K124" s="17">
        <v>4.0101449999999996</v>
      </c>
      <c r="L124" s="17">
        <v>3.7864244999999999</v>
      </c>
      <c r="M124" s="17">
        <v>3.6553173000000001</v>
      </c>
    </row>
    <row r="125" spans="1:13" x14ac:dyDescent="0.25">
      <c r="A125" t="s">
        <v>130</v>
      </c>
      <c r="B125" s="2">
        <v>4.8899999999999997</v>
      </c>
      <c r="C125" s="2">
        <v>4.51</v>
      </c>
      <c r="D125" s="2">
        <v>4.37</v>
      </c>
      <c r="E125" s="2">
        <v>4.55</v>
      </c>
      <c r="F125" s="2">
        <v>4.53</v>
      </c>
      <c r="G125" s="2">
        <v>4.49</v>
      </c>
      <c r="H125" s="17">
        <v>5.7559858000000004</v>
      </c>
      <c r="I125" s="17">
        <v>5.0657861999999998</v>
      </c>
      <c r="J125" s="17">
        <v>4.4425121000000001</v>
      </c>
      <c r="K125" s="17">
        <v>4.0356337</v>
      </c>
      <c r="L125" s="17">
        <v>3.7603844</v>
      </c>
      <c r="M125" s="17">
        <v>3.5928772000000002</v>
      </c>
    </row>
    <row r="126" spans="1:13" x14ac:dyDescent="0.25">
      <c r="A126" t="s">
        <v>131</v>
      </c>
      <c r="B126" s="2">
        <v>4.92</v>
      </c>
      <c r="C126" s="2">
        <v>4.5599999999999996</v>
      </c>
      <c r="D126" s="2">
        <v>4.4000000000000004</v>
      </c>
      <c r="E126" s="2">
        <v>4.57</v>
      </c>
      <c r="F126" s="2">
        <v>4.55</v>
      </c>
      <c r="G126" s="2">
        <v>4.51</v>
      </c>
      <c r="H126" s="17">
        <v>5.7882603000000001</v>
      </c>
      <c r="I126" s="17">
        <v>5.1586436000000004</v>
      </c>
      <c r="J126" s="17">
        <v>4.5238183999999997</v>
      </c>
      <c r="K126" s="17">
        <v>4.0864396000000003</v>
      </c>
      <c r="L126" s="17">
        <v>3.7902480000000001</v>
      </c>
      <c r="M126" s="17">
        <v>3.6121455999999998</v>
      </c>
    </row>
    <row r="127" spans="1:13" x14ac:dyDescent="0.25">
      <c r="A127" t="s">
        <v>132</v>
      </c>
      <c r="B127" s="2">
        <v>5.08</v>
      </c>
      <c r="C127" s="2">
        <v>4.68</v>
      </c>
      <c r="D127" s="2">
        <v>4.49</v>
      </c>
      <c r="E127" s="2">
        <v>4.6399999999999997</v>
      </c>
      <c r="F127" s="2">
        <v>4.6100000000000003</v>
      </c>
      <c r="G127" s="2">
        <v>4.55</v>
      </c>
      <c r="H127" s="17">
        <v>5.9309282999999997</v>
      </c>
      <c r="I127" s="17">
        <v>5.3328777000000001</v>
      </c>
      <c r="J127" s="17">
        <v>4.6222744999999996</v>
      </c>
      <c r="K127" s="17">
        <v>4.1434265999999997</v>
      </c>
      <c r="L127" s="17">
        <v>3.8440702</v>
      </c>
      <c r="M127" s="17">
        <v>3.6774344999999999</v>
      </c>
    </row>
    <row r="128" spans="1:13" x14ac:dyDescent="0.25">
      <c r="A128" t="s">
        <v>133</v>
      </c>
      <c r="B128" s="2">
        <v>4.9400000000000004</v>
      </c>
      <c r="C128" s="2">
        <v>4.5</v>
      </c>
      <c r="D128" s="2">
        <v>4.33</v>
      </c>
      <c r="E128" s="2">
        <v>4.49</v>
      </c>
      <c r="F128" s="2">
        <v>4.49</v>
      </c>
      <c r="G128" s="2">
        <v>4.4400000000000004</v>
      </c>
      <c r="H128" s="17">
        <v>5.8194007000000001</v>
      </c>
      <c r="I128" s="17">
        <v>5.1136191000000002</v>
      </c>
      <c r="J128" s="17">
        <v>4.3983746999999997</v>
      </c>
      <c r="K128" s="17">
        <v>3.9663572</v>
      </c>
      <c r="L128" s="17">
        <v>3.7117897000000002</v>
      </c>
      <c r="M128" s="17">
        <v>3.5663507999999999</v>
      </c>
    </row>
    <row r="129" spans="1:13" x14ac:dyDescent="0.25">
      <c r="A129" t="s">
        <v>134</v>
      </c>
      <c r="B129" s="2">
        <v>5.05</v>
      </c>
      <c r="C129" s="2">
        <v>4.58</v>
      </c>
      <c r="D129" s="2">
        <v>4.4000000000000004</v>
      </c>
      <c r="E129" s="2">
        <v>4.57</v>
      </c>
      <c r="F129" s="2">
        <v>4.5599999999999996</v>
      </c>
      <c r="G129" s="2">
        <v>4.51</v>
      </c>
      <c r="H129" s="17">
        <v>5.9746489</v>
      </c>
      <c r="I129" s="17">
        <v>5.1791304</v>
      </c>
      <c r="J129" s="17">
        <v>4.4608822999999997</v>
      </c>
      <c r="K129" s="17">
        <v>4.0389159000000001</v>
      </c>
      <c r="L129" s="17">
        <v>3.7678151</v>
      </c>
      <c r="M129" s="17">
        <v>3.6013760000000001</v>
      </c>
    </row>
    <row r="130" spans="1:13" x14ac:dyDescent="0.25">
      <c r="A130" t="s">
        <v>135</v>
      </c>
      <c r="B130" s="2">
        <v>5.07</v>
      </c>
      <c r="C130" s="2">
        <v>4.55</v>
      </c>
      <c r="D130" s="2">
        <v>4.3600000000000003</v>
      </c>
      <c r="E130" s="2">
        <v>4.53</v>
      </c>
      <c r="F130" s="2">
        <v>4.53</v>
      </c>
      <c r="G130" s="2">
        <v>4.4800000000000004</v>
      </c>
      <c r="H130" s="17">
        <v>5.9995367000000002</v>
      </c>
      <c r="I130" s="17">
        <v>5.0904805</v>
      </c>
      <c r="J130" s="17">
        <v>4.3905842000000002</v>
      </c>
      <c r="K130" s="17">
        <v>3.9787552000000002</v>
      </c>
      <c r="L130" s="17">
        <v>3.7125178000000001</v>
      </c>
      <c r="M130" s="17">
        <v>3.5543814999999999</v>
      </c>
    </row>
    <row r="131" spans="1:13" x14ac:dyDescent="0.25">
      <c r="A131" t="s">
        <v>136</v>
      </c>
      <c r="B131" s="2">
        <v>5.18</v>
      </c>
      <c r="C131" s="2">
        <v>4.58</v>
      </c>
      <c r="D131" s="2">
        <v>4.33</v>
      </c>
      <c r="E131" s="2">
        <v>4.5</v>
      </c>
      <c r="F131" s="2">
        <v>4.5</v>
      </c>
      <c r="G131" s="2">
        <v>4.46</v>
      </c>
      <c r="H131" s="17">
        <v>6.0535540000000001</v>
      </c>
      <c r="I131" s="17">
        <v>5.1889381999999999</v>
      </c>
      <c r="J131" s="17">
        <v>4.4389628999999999</v>
      </c>
      <c r="K131" s="17">
        <v>3.9466481</v>
      </c>
      <c r="L131" s="17">
        <v>3.639926</v>
      </c>
      <c r="M131" s="17">
        <v>3.4718553999999999</v>
      </c>
    </row>
    <row r="132" spans="1:13" x14ac:dyDescent="0.25">
      <c r="A132" t="s">
        <v>137</v>
      </c>
      <c r="B132" s="2">
        <v>5.14</v>
      </c>
      <c r="C132" s="2">
        <v>4.54</v>
      </c>
      <c r="D132" s="2">
        <v>4.29</v>
      </c>
      <c r="E132" s="2">
        <v>4.45</v>
      </c>
      <c r="F132" s="2">
        <v>4.4400000000000004</v>
      </c>
      <c r="G132" s="2">
        <v>4.37</v>
      </c>
      <c r="H132" s="17">
        <v>6.0863386999999998</v>
      </c>
      <c r="I132" s="17">
        <v>5.1987366000000002</v>
      </c>
      <c r="J132" s="17">
        <v>4.3638979999999998</v>
      </c>
      <c r="K132" s="17">
        <v>3.8473666</v>
      </c>
      <c r="L132" s="17">
        <v>3.5453636999999998</v>
      </c>
      <c r="M132" s="17">
        <v>3.3866594000000001</v>
      </c>
    </row>
    <row r="133" spans="1:13" x14ac:dyDescent="0.25">
      <c r="A133" t="s">
        <v>138</v>
      </c>
      <c r="B133" s="2">
        <v>5.26</v>
      </c>
      <c r="C133" s="2">
        <v>4.67</v>
      </c>
      <c r="D133" s="2">
        <v>4.37</v>
      </c>
      <c r="E133" s="2">
        <v>4.5</v>
      </c>
      <c r="F133" s="2">
        <v>4.47</v>
      </c>
      <c r="G133" s="2">
        <v>4.37</v>
      </c>
      <c r="H133" s="17">
        <v>6.2034694000000004</v>
      </c>
      <c r="I133" s="17">
        <v>5.3945366000000003</v>
      </c>
      <c r="J133" s="17">
        <v>4.5186335</v>
      </c>
      <c r="K133" s="17">
        <v>3.9566473000000002</v>
      </c>
      <c r="L133" s="17">
        <v>3.6208585000000002</v>
      </c>
      <c r="M133" s="17">
        <v>3.4321416999999999</v>
      </c>
    </row>
    <row r="134" spans="1:13" x14ac:dyDescent="0.25">
      <c r="A134" t="s">
        <v>139</v>
      </c>
      <c r="B134" s="2">
        <v>5.13</v>
      </c>
      <c r="C134" s="2">
        <v>4.5599999999999996</v>
      </c>
      <c r="D134" s="2">
        <v>4.3099999999999996</v>
      </c>
      <c r="E134" s="2">
        <v>4.45</v>
      </c>
      <c r="F134" s="2">
        <v>4.4400000000000004</v>
      </c>
      <c r="G134" s="2">
        <v>4.37</v>
      </c>
      <c r="H134" s="17">
        <v>6.0657265000000002</v>
      </c>
      <c r="I134" s="17">
        <v>5.1630726999999998</v>
      </c>
      <c r="J134" s="17">
        <v>4.3854718999999998</v>
      </c>
      <c r="K134" s="17">
        <v>3.9446492000000002</v>
      </c>
      <c r="L134" s="17">
        <v>3.6506886000000001</v>
      </c>
      <c r="M134" s="17">
        <v>3.4635560999999999</v>
      </c>
    </row>
    <row r="135" spans="1:13" x14ac:dyDescent="0.25">
      <c r="A135" t="s">
        <v>140</v>
      </c>
      <c r="B135" s="2">
        <v>5.22</v>
      </c>
      <c r="C135" s="2">
        <v>4.63</v>
      </c>
      <c r="D135" s="2">
        <v>4.3899999999999997</v>
      </c>
      <c r="E135" s="2">
        <v>4.53</v>
      </c>
      <c r="F135" s="2">
        <v>4.5199999999999996</v>
      </c>
      <c r="G135" s="2">
        <v>4.4400000000000004</v>
      </c>
      <c r="H135" s="17">
        <v>6.1683577999999999</v>
      </c>
      <c r="I135" s="17">
        <v>5.3011939999999997</v>
      </c>
      <c r="J135" s="17">
        <v>4.5123788999999999</v>
      </c>
      <c r="K135" s="17">
        <v>4.0260847000000002</v>
      </c>
      <c r="L135" s="17">
        <v>3.7105467999999999</v>
      </c>
      <c r="M135" s="17">
        <v>3.519936</v>
      </c>
    </row>
    <row r="136" spans="1:13" x14ac:dyDescent="0.25">
      <c r="A136" t="s">
        <v>141</v>
      </c>
      <c r="B136" s="2">
        <v>5.27</v>
      </c>
      <c r="C136" s="2">
        <v>4.66</v>
      </c>
      <c r="D136" s="2">
        <v>4.3899999999999997</v>
      </c>
      <c r="E136" s="2">
        <v>4.53</v>
      </c>
      <c r="F136" s="2">
        <v>4.51</v>
      </c>
      <c r="G136" s="2">
        <v>4.42</v>
      </c>
      <c r="H136" s="17">
        <v>6.1652158000000004</v>
      </c>
      <c r="I136" s="17">
        <v>5.3759193999999999</v>
      </c>
      <c r="J136" s="17">
        <v>4.5832689999999996</v>
      </c>
      <c r="K136" s="17">
        <v>4.057328</v>
      </c>
      <c r="L136" s="17">
        <v>3.7060431</v>
      </c>
      <c r="M136" s="17">
        <v>3.4939065</v>
      </c>
    </row>
    <row r="137" spans="1:13" x14ac:dyDescent="0.25">
      <c r="A137" t="s">
        <v>142</v>
      </c>
      <c r="B137" s="2">
        <v>5.35</v>
      </c>
      <c r="C137" s="2">
        <v>4.7300000000000004</v>
      </c>
      <c r="D137" s="2">
        <v>4.45</v>
      </c>
      <c r="E137" s="2">
        <v>4.58</v>
      </c>
      <c r="F137" s="2">
        <v>4.5599999999999996</v>
      </c>
      <c r="G137" s="2">
        <v>4.45</v>
      </c>
      <c r="H137" s="17">
        <v>6.2526181999999997</v>
      </c>
      <c r="I137" s="17">
        <v>5.5040256999999997</v>
      </c>
      <c r="J137" s="17">
        <v>4.6405827000000004</v>
      </c>
      <c r="K137" s="17">
        <v>4.0867703000000004</v>
      </c>
      <c r="L137" s="17">
        <v>3.7474289000000001</v>
      </c>
      <c r="M137" s="17">
        <v>3.5525829</v>
      </c>
    </row>
    <row r="138" spans="1:13" x14ac:dyDescent="0.25">
      <c r="A138" t="s">
        <v>143</v>
      </c>
      <c r="B138" s="2">
        <v>5.31</v>
      </c>
      <c r="C138" s="2">
        <v>4.6900000000000004</v>
      </c>
      <c r="D138" s="2">
        <v>4.42</v>
      </c>
      <c r="E138" s="2">
        <v>4.63</v>
      </c>
      <c r="F138" s="2">
        <v>4.53</v>
      </c>
      <c r="G138" s="2">
        <v>4.42</v>
      </c>
      <c r="H138" s="17">
        <v>6.2551136999999999</v>
      </c>
      <c r="I138" s="17">
        <v>5.4782931000000001</v>
      </c>
      <c r="J138" s="17">
        <v>4.6143565999999998</v>
      </c>
      <c r="K138" s="17">
        <v>4.0726985000000004</v>
      </c>
      <c r="L138" s="17">
        <v>3.7340306000000001</v>
      </c>
      <c r="M138" s="17">
        <v>3.5287723</v>
      </c>
    </row>
    <row r="139" spans="1:13" x14ac:dyDescent="0.25">
      <c r="A139" t="s">
        <v>144</v>
      </c>
      <c r="B139" s="2">
        <v>5.38</v>
      </c>
      <c r="C139" s="2">
        <v>4.79</v>
      </c>
      <c r="D139" s="2">
        <v>4.51</v>
      </c>
      <c r="E139" s="2">
        <v>4.6399999999999997</v>
      </c>
      <c r="F139" s="2">
        <v>4.6100000000000003</v>
      </c>
      <c r="G139" s="2">
        <v>4.5</v>
      </c>
      <c r="H139" s="17">
        <v>6.4028561000000002</v>
      </c>
      <c r="I139" s="17">
        <v>5.6215697000000002</v>
      </c>
      <c r="J139" s="17">
        <v>4.7226108</v>
      </c>
      <c r="K139" s="17">
        <v>4.1595918000000003</v>
      </c>
      <c r="L139" s="17">
        <v>3.8067410000000002</v>
      </c>
      <c r="M139" s="17">
        <v>3.5946136000000002</v>
      </c>
    </row>
    <row r="140" spans="1:13" x14ac:dyDescent="0.25">
      <c r="A140" t="s">
        <v>145</v>
      </c>
      <c r="B140" s="2">
        <v>5.49</v>
      </c>
      <c r="C140" s="2">
        <v>4.9000000000000004</v>
      </c>
      <c r="D140" s="2">
        <v>4.6500000000000004</v>
      </c>
      <c r="E140" s="2">
        <v>4.79</v>
      </c>
      <c r="F140" s="2">
        <v>4.7699999999999996</v>
      </c>
      <c r="G140" s="2">
        <v>4.6500000000000004</v>
      </c>
      <c r="H140" s="17">
        <v>6.5123705000000003</v>
      </c>
      <c r="I140" s="17">
        <v>5.674811</v>
      </c>
      <c r="J140" s="17">
        <v>4.8446290999999997</v>
      </c>
      <c r="K140" s="17">
        <v>4.3104386000000003</v>
      </c>
      <c r="L140" s="17">
        <v>3.9618004</v>
      </c>
      <c r="M140" s="17">
        <v>3.7518286999999999</v>
      </c>
    </row>
    <row r="141" spans="1:13" x14ac:dyDescent="0.25">
      <c r="A141" t="s">
        <v>146</v>
      </c>
      <c r="B141" s="2">
        <v>5.38</v>
      </c>
      <c r="C141" s="2">
        <v>4.84</v>
      </c>
      <c r="D141" s="2">
        <v>4.6399999999999997</v>
      </c>
      <c r="E141" s="2">
        <v>4.8</v>
      </c>
      <c r="F141" s="2">
        <v>4.78</v>
      </c>
      <c r="G141" s="2">
        <v>4.68</v>
      </c>
      <c r="H141" s="17">
        <v>6.3755696999999998</v>
      </c>
      <c r="I141" s="17">
        <v>5.5842175000000003</v>
      </c>
      <c r="J141" s="17">
        <v>4.7946232999999996</v>
      </c>
      <c r="K141" s="17">
        <v>4.2867807999999998</v>
      </c>
      <c r="L141" s="17">
        <v>3.9558184000000001</v>
      </c>
      <c r="M141" s="17">
        <v>3.7581264000000001</v>
      </c>
    </row>
    <row r="142" spans="1:13" x14ac:dyDescent="0.25">
      <c r="A142" t="s">
        <v>147</v>
      </c>
      <c r="B142" s="2">
        <v>5.38</v>
      </c>
      <c r="C142" s="2">
        <v>4.8499999999999996</v>
      </c>
      <c r="D142" s="2">
        <v>4.6399999999999997</v>
      </c>
      <c r="E142" s="2">
        <v>4.8099999999999996</v>
      </c>
      <c r="F142" s="2">
        <v>4.78</v>
      </c>
      <c r="G142" s="2">
        <v>4.68</v>
      </c>
      <c r="H142" s="17">
        <v>6.4018185000000001</v>
      </c>
      <c r="I142" s="17">
        <v>5.6271509000000002</v>
      </c>
      <c r="J142" s="17">
        <v>4.8070658999999996</v>
      </c>
      <c r="K142" s="17">
        <v>4.2865755999999999</v>
      </c>
      <c r="L142" s="17">
        <v>3.9602065</v>
      </c>
      <c r="M142" s="17">
        <v>3.7687952</v>
      </c>
    </row>
    <row r="143" spans="1:13" x14ac:dyDescent="0.25">
      <c r="A143" t="s">
        <v>148</v>
      </c>
      <c r="B143" s="2">
        <v>5.41</v>
      </c>
      <c r="C143" s="2">
        <v>4.87</v>
      </c>
      <c r="D143" s="2">
        <v>4.6500000000000004</v>
      </c>
      <c r="E143" s="2">
        <v>4.8099999999999996</v>
      </c>
      <c r="F143" s="2">
        <v>4.78</v>
      </c>
      <c r="G143" s="2">
        <v>4.68</v>
      </c>
      <c r="H143" s="17">
        <v>6.4628185</v>
      </c>
      <c r="I143" s="17">
        <v>5.6607213999999999</v>
      </c>
      <c r="J143" s="17">
        <v>4.7878160000000003</v>
      </c>
      <c r="K143" s="17">
        <v>4.2770802000000003</v>
      </c>
      <c r="L143" s="17">
        <v>3.9681896000000001</v>
      </c>
      <c r="M143" s="17">
        <v>3.7841222000000001</v>
      </c>
    </row>
    <row r="144" spans="1:13" x14ac:dyDescent="0.25">
      <c r="A144" t="s">
        <v>149</v>
      </c>
      <c r="B144" s="2">
        <v>5.22</v>
      </c>
      <c r="C144" s="2">
        <v>4.6900000000000004</v>
      </c>
      <c r="D144" s="2">
        <v>4.51</v>
      </c>
      <c r="E144" s="2">
        <v>4.6900000000000004</v>
      </c>
      <c r="F144" s="2">
        <v>4.68</v>
      </c>
      <c r="G144" s="2">
        <v>4.5999999999999996</v>
      </c>
      <c r="H144" s="17">
        <v>6.1904250000000003</v>
      </c>
      <c r="I144" s="17">
        <v>5.3508760999999998</v>
      </c>
      <c r="J144" s="17">
        <v>4.5866327</v>
      </c>
      <c r="K144" s="17">
        <v>4.1700201999999997</v>
      </c>
      <c r="L144" s="17">
        <v>3.8950049</v>
      </c>
      <c r="M144" s="17">
        <v>3.7204470999999999</v>
      </c>
    </row>
    <row r="145" spans="1:13" x14ac:dyDescent="0.25">
      <c r="A145" t="s">
        <v>150</v>
      </c>
      <c r="B145" s="2">
        <v>5.1100000000000003</v>
      </c>
      <c r="C145" s="2">
        <v>4.54</v>
      </c>
      <c r="D145" s="2">
        <v>4.41</v>
      </c>
      <c r="E145" s="2">
        <v>4.58</v>
      </c>
      <c r="F145" s="2">
        <v>4.58</v>
      </c>
      <c r="G145" s="2">
        <v>4.5199999999999996</v>
      </c>
      <c r="H145" s="17">
        <v>6.0425877000000003</v>
      </c>
      <c r="I145" s="17">
        <v>5.1655414999999998</v>
      </c>
      <c r="J145" s="17">
        <v>4.4558457000000002</v>
      </c>
      <c r="K145" s="17">
        <v>4.0502538000000001</v>
      </c>
      <c r="L145" s="17">
        <v>3.7884384</v>
      </c>
      <c r="M145" s="17">
        <v>3.6311271999999999</v>
      </c>
    </row>
    <row r="146" spans="1:13" x14ac:dyDescent="0.25">
      <c r="A146" t="s">
        <v>151</v>
      </c>
      <c r="B146" s="2">
        <v>5.19</v>
      </c>
      <c r="C146" s="2">
        <v>4.59</v>
      </c>
      <c r="D146" s="2">
        <v>4.4400000000000004</v>
      </c>
      <c r="E146" s="2">
        <v>4.62</v>
      </c>
      <c r="F146" s="2">
        <v>4.6100000000000003</v>
      </c>
      <c r="G146" s="2">
        <v>4.55</v>
      </c>
      <c r="H146" s="17">
        <v>6.1758743000000003</v>
      </c>
      <c r="I146" s="17">
        <v>5.2900955999999999</v>
      </c>
      <c r="J146" s="17">
        <v>4.5430052999999999</v>
      </c>
      <c r="K146" s="17">
        <v>4.1010396</v>
      </c>
      <c r="L146" s="17">
        <v>3.8110403000000002</v>
      </c>
      <c r="M146" s="17">
        <v>3.6361956000000002</v>
      </c>
    </row>
    <row r="147" spans="1:13" x14ac:dyDescent="0.25">
      <c r="A147" t="s">
        <v>152</v>
      </c>
      <c r="B147" s="2">
        <v>5.15</v>
      </c>
      <c r="C147" s="2">
        <v>4.55</v>
      </c>
      <c r="D147" s="2">
        <v>4.43</v>
      </c>
      <c r="E147" s="2">
        <v>4.6100000000000003</v>
      </c>
      <c r="F147" s="2">
        <v>4.5999999999999996</v>
      </c>
      <c r="G147" s="2">
        <v>4.55</v>
      </c>
      <c r="H147" s="17">
        <v>6.0784741999999996</v>
      </c>
      <c r="I147" s="17">
        <v>5.2087098000000003</v>
      </c>
      <c r="J147" s="17">
        <v>4.4606621000000004</v>
      </c>
      <c r="K147" s="17">
        <v>4.0330895</v>
      </c>
      <c r="L147" s="17">
        <v>3.7794151999999999</v>
      </c>
      <c r="M147" s="17">
        <v>3.6383128999999998</v>
      </c>
    </row>
    <row r="148" spans="1:13" x14ac:dyDescent="0.25">
      <c r="A148" t="s">
        <v>153</v>
      </c>
      <c r="B148" s="2">
        <v>5.09</v>
      </c>
      <c r="C148" s="2">
        <v>4.4800000000000004</v>
      </c>
      <c r="D148" s="2">
        <v>4.3499999999999996</v>
      </c>
      <c r="E148" s="2">
        <v>4.54</v>
      </c>
      <c r="F148" s="2">
        <v>4.54</v>
      </c>
      <c r="G148" s="2">
        <v>4.49</v>
      </c>
      <c r="H148" s="17">
        <v>5.9826554999999999</v>
      </c>
      <c r="I148" s="17">
        <v>5.1123637000000004</v>
      </c>
      <c r="J148" s="17">
        <v>4.3857122999999998</v>
      </c>
      <c r="K148" s="17">
        <v>3.9813806999999999</v>
      </c>
      <c r="L148" s="17">
        <v>3.7346517000000001</v>
      </c>
      <c r="M148" s="17">
        <v>3.5884619999999998</v>
      </c>
    </row>
    <row r="149" spans="1:13" x14ac:dyDescent="0.25">
      <c r="A149" t="s">
        <v>154</v>
      </c>
      <c r="B149" s="2">
        <v>4.8499999999999996</v>
      </c>
      <c r="C149" s="2">
        <v>4.2699999999999996</v>
      </c>
      <c r="D149" s="2">
        <v>4.18</v>
      </c>
      <c r="E149" s="2">
        <v>4.38</v>
      </c>
      <c r="F149" s="2">
        <v>4.38</v>
      </c>
      <c r="G149" s="2">
        <v>4.34</v>
      </c>
      <c r="H149" s="17">
        <v>5.6908557999999996</v>
      </c>
      <c r="I149" s="17">
        <v>4.7934479999999997</v>
      </c>
      <c r="J149" s="17">
        <v>4.1451288000000002</v>
      </c>
      <c r="K149" s="17">
        <v>3.8172394000000001</v>
      </c>
      <c r="L149" s="17">
        <v>3.6007981999999998</v>
      </c>
      <c r="M149" s="17">
        <v>3.4630546</v>
      </c>
    </row>
    <row r="150" spans="1:13" x14ac:dyDescent="0.25">
      <c r="A150" t="s">
        <v>155</v>
      </c>
      <c r="B150" s="2">
        <v>4.9800000000000004</v>
      </c>
      <c r="C150" s="2">
        <v>4.3899999999999997</v>
      </c>
      <c r="D150" s="2">
        <v>4.28</v>
      </c>
      <c r="E150" s="2">
        <v>4.47</v>
      </c>
      <c r="F150" s="2">
        <v>4.47</v>
      </c>
      <c r="G150" s="2">
        <v>4.42</v>
      </c>
      <c r="H150" s="17">
        <v>5.7702</v>
      </c>
      <c r="I150" s="17">
        <v>4.9341302000000002</v>
      </c>
      <c r="J150" s="17">
        <v>4.2822031000000003</v>
      </c>
      <c r="K150" s="17">
        <v>3.9070860999999999</v>
      </c>
      <c r="L150" s="17">
        <v>3.6708216</v>
      </c>
      <c r="M150" s="17">
        <v>3.5318773000000001</v>
      </c>
    </row>
    <row r="151" spans="1:13" x14ac:dyDescent="0.25">
      <c r="A151" t="s">
        <v>156</v>
      </c>
      <c r="B151" s="2">
        <v>4.93</v>
      </c>
      <c r="C151" s="2">
        <v>4.3600000000000003</v>
      </c>
      <c r="D151" s="2">
        <v>4.2699999999999996</v>
      </c>
      <c r="E151" s="2">
        <v>4.46</v>
      </c>
      <c r="F151" s="2">
        <v>4.46</v>
      </c>
      <c r="G151" s="2">
        <v>4.42</v>
      </c>
      <c r="H151" s="17">
        <v>5.7543407999999996</v>
      </c>
      <c r="I151" s="17">
        <v>4.9232687000000004</v>
      </c>
      <c r="J151" s="17">
        <v>4.2723674999999997</v>
      </c>
      <c r="K151" s="17">
        <v>3.9085865000000002</v>
      </c>
      <c r="L151" s="17">
        <v>3.6708270000000001</v>
      </c>
      <c r="M151" s="17">
        <v>3.5252631000000001</v>
      </c>
    </row>
    <row r="152" spans="1:13" x14ac:dyDescent="0.25">
      <c r="A152" t="s">
        <v>157</v>
      </c>
      <c r="B152" s="2">
        <v>4.9400000000000004</v>
      </c>
      <c r="C152" s="2">
        <v>4.34</v>
      </c>
      <c r="D152" s="2">
        <v>4.26</v>
      </c>
      <c r="E152" s="2">
        <v>4.45</v>
      </c>
      <c r="F152" s="2">
        <v>4.46</v>
      </c>
      <c r="G152" s="2">
        <v>4.43</v>
      </c>
      <c r="H152" s="17">
        <v>5.7232051000000004</v>
      </c>
      <c r="I152" s="17">
        <v>4.9206567000000003</v>
      </c>
      <c r="J152" s="17">
        <v>4.2296754999999999</v>
      </c>
      <c r="K152" s="17">
        <v>3.8461889999999999</v>
      </c>
      <c r="L152" s="17">
        <v>3.6313944</v>
      </c>
      <c r="M152" s="17">
        <v>3.5198100000000001</v>
      </c>
    </row>
    <row r="153" spans="1:13" x14ac:dyDescent="0.25">
      <c r="A153" t="s">
        <v>158</v>
      </c>
      <c r="B153" s="2">
        <v>4.97</v>
      </c>
      <c r="C153" s="2">
        <v>4.3600000000000003</v>
      </c>
      <c r="D153" s="2">
        <v>4.2699999999999996</v>
      </c>
      <c r="E153" s="2">
        <v>4.46</v>
      </c>
      <c r="F153" s="2">
        <v>4.4800000000000004</v>
      </c>
      <c r="G153" s="2">
        <v>4.4400000000000004</v>
      </c>
      <c r="H153" s="17">
        <v>5.7649575999999998</v>
      </c>
      <c r="I153" s="17">
        <v>4.9287124000000002</v>
      </c>
      <c r="J153" s="17">
        <v>4.2243637999999999</v>
      </c>
      <c r="K153" s="17">
        <v>3.8562476999999999</v>
      </c>
      <c r="L153" s="17">
        <v>3.6403292</v>
      </c>
      <c r="M153" s="17">
        <v>3.5194698999999998</v>
      </c>
    </row>
    <row r="154" spans="1:13" x14ac:dyDescent="0.25">
      <c r="A154" t="s">
        <v>159</v>
      </c>
      <c r="B154" s="2">
        <v>5.03</v>
      </c>
      <c r="C154" s="2">
        <v>4.4400000000000004</v>
      </c>
      <c r="D154" s="2">
        <v>4.29</v>
      </c>
      <c r="E154" s="2">
        <v>4.46</v>
      </c>
      <c r="F154" s="2">
        <v>4.46</v>
      </c>
      <c r="G154" s="2">
        <v>4.42</v>
      </c>
      <c r="H154" s="17">
        <v>5.8657557999999996</v>
      </c>
      <c r="I154" s="17">
        <v>5.0748585999999998</v>
      </c>
      <c r="J154" s="17">
        <v>4.3202638000000002</v>
      </c>
      <c r="K154" s="17">
        <v>3.8897319000000001</v>
      </c>
      <c r="L154" s="17">
        <v>3.6426973</v>
      </c>
      <c r="M154" s="17">
        <v>3.5048954000000001</v>
      </c>
    </row>
    <row r="155" spans="1:13" x14ac:dyDescent="0.25">
      <c r="A155" t="s">
        <v>160</v>
      </c>
      <c r="B155" s="2">
        <v>5.0199999999999996</v>
      </c>
      <c r="C155" s="2">
        <v>4.42</v>
      </c>
      <c r="D155" s="2">
        <v>4.3099999999999996</v>
      </c>
      <c r="E155" s="2">
        <v>4.49</v>
      </c>
      <c r="F155" s="2">
        <v>4.5</v>
      </c>
      <c r="G155" s="2">
        <v>4.45</v>
      </c>
      <c r="H155" s="17">
        <v>5.7688950999999999</v>
      </c>
      <c r="I155" s="17">
        <v>4.9932685000000001</v>
      </c>
      <c r="J155" s="17">
        <v>4.3373457999999996</v>
      </c>
      <c r="K155" s="17">
        <v>3.9480477</v>
      </c>
      <c r="L155" s="17">
        <v>3.7037949000000001</v>
      </c>
      <c r="M155" s="17">
        <v>3.5625224000000002</v>
      </c>
    </row>
    <row r="156" spans="1:13" x14ac:dyDescent="0.25">
      <c r="A156" t="s">
        <v>161</v>
      </c>
      <c r="B156" s="2">
        <v>4.9800000000000004</v>
      </c>
      <c r="C156" s="2">
        <v>4.41</v>
      </c>
      <c r="D156" s="2">
        <v>4.33</v>
      </c>
      <c r="E156" s="2">
        <v>4.5199999999999996</v>
      </c>
      <c r="F156" s="2">
        <v>4.5199999999999996</v>
      </c>
      <c r="G156" s="2">
        <v>4.49</v>
      </c>
      <c r="H156" s="17">
        <v>5.7262063000000003</v>
      </c>
      <c r="I156" s="17">
        <v>4.9776541999999999</v>
      </c>
      <c r="J156" s="17">
        <v>4.3367294000000003</v>
      </c>
      <c r="K156" s="17">
        <v>3.9673894000000001</v>
      </c>
      <c r="L156" s="17">
        <v>3.7418879</v>
      </c>
      <c r="M156" s="17">
        <v>3.6128361</v>
      </c>
    </row>
    <row r="157" spans="1:13" x14ac:dyDescent="0.25">
      <c r="A157" t="s">
        <v>162</v>
      </c>
      <c r="B157" s="2">
        <v>4.97</v>
      </c>
      <c r="C157" s="2">
        <v>4.37</v>
      </c>
      <c r="D157" s="2">
        <v>4.3</v>
      </c>
      <c r="E157" s="2">
        <v>4.49</v>
      </c>
      <c r="F157" s="2">
        <v>4.49</v>
      </c>
      <c r="G157" s="2">
        <v>4.45</v>
      </c>
      <c r="H157" s="17">
        <v>5.7410024000000002</v>
      </c>
      <c r="I157" s="17">
        <v>4.9655737999999996</v>
      </c>
      <c r="J157" s="17">
        <v>4.2707541000000004</v>
      </c>
      <c r="K157" s="17">
        <v>3.8878111999999998</v>
      </c>
      <c r="L157" s="17">
        <v>3.6682744</v>
      </c>
      <c r="M157" s="17">
        <v>3.5511659999999998</v>
      </c>
    </row>
    <row r="158" spans="1:13" x14ac:dyDescent="0.25">
      <c r="A158" t="s">
        <v>163</v>
      </c>
      <c r="B158" s="2">
        <v>5.0599999999999996</v>
      </c>
      <c r="C158" s="2">
        <v>4.49</v>
      </c>
      <c r="D158" s="2">
        <v>4.41</v>
      </c>
      <c r="E158" s="2">
        <v>4.5999999999999996</v>
      </c>
      <c r="F158" s="2">
        <v>4.59</v>
      </c>
      <c r="G158" s="2">
        <v>4.54</v>
      </c>
      <c r="H158" s="17">
        <v>5.8073503999999998</v>
      </c>
      <c r="I158" s="17">
        <v>5.0868612000000004</v>
      </c>
      <c r="J158" s="17">
        <v>4.3915996000000002</v>
      </c>
      <c r="K158" s="17">
        <v>4.0125795999999996</v>
      </c>
      <c r="L158" s="17">
        <v>3.7964604</v>
      </c>
      <c r="M158" s="17">
        <v>3.6756597000000002</v>
      </c>
    </row>
    <row r="159" spans="1:13" x14ac:dyDescent="0.25">
      <c r="A159" t="s">
        <v>164</v>
      </c>
      <c r="B159" s="2">
        <v>4.99</v>
      </c>
      <c r="C159" s="2">
        <v>4.4400000000000004</v>
      </c>
      <c r="D159" s="2">
        <v>4.4000000000000004</v>
      </c>
      <c r="E159" s="2">
        <v>4.5999999999999996</v>
      </c>
      <c r="F159" s="2">
        <v>4.5999999999999996</v>
      </c>
      <c r="G159" s="2">
        <v>4.54</v>
      </c>
      <c r="H159" s="17">
        <v>5.6994856</v>
      </c>
      <c r="I159" s="17">
        <v>4.9632021999999996</v>
      </c>
      <c r="J159" s="17">
        <v>4.3362506999999999</v>
      </c>
      <c r="K159" s="17">
        <v>4.0136592000000002</v>
      </c>
      <c r="L159" s="17">
        <v>3.8149316999999998</v>
      </c>
      <c r="M159" s="17">
        <v>3.6969197</v>
      </c>
    </row>
    <row r="160" spans="1:13" x14ac:dyDescent="0.25">
      <c r="A160" t="s">
        <v>165</v>
      </c>
      <c r="B160" s="2">
        <v>4.95</v>
      </c>
      <c r="C160" s="2">
        <v>4.45</v>
      </c>
      <c r="D160" s="2">
        <v>4.46</v>
      </c>
      <c r="E160" s="2">
        <v>4.68</v>
      </c>
      <c r="F160" s="2">
        <v>4.6900000000000004</v>
      </c>
      <c r="G160" s="2">
        <v>4.6399999999999997</v>
      </c>
      <c r="H160" s="17">
        <v>5.6398124000000003</v>
      </c>
      <c r="I160" s="17">
        <v>4.9312239</v>
      </c>
      <c r="J160" s="17">
        <v>4.3867105999999998</v>
      </c>
      <c r="K160" s="17">
        <v>4.0877958000000003</v>
      </c>
      <c r="L160" s="17">
        <v>3.8988385999999999</v>
      </c>
      <c r="M160" s="17">
        <v>3.7915184000000002</v>
      </c>
    </row>
    <row r="161" spans="1:13" x14ac:dyDescent="0.25">
      <c r="A161" t="s">
        <v>166</v>
      </c>
      <c r="B161" s="2">
        <v>4.8899999999999997</v>
      </c>
      <c r="C161" s="2">
        <v>4.4000000000000004</v>
      </c>
      <c r="D161" s="2">
        <v>4.38</v>
      </c>
      <c r="E161" s="2">
        <v>4.6100000000000003</v>
      </c>
      <c r="F161" s="2">
        <v>4.6100000000000003</v>
      </c>
      <c r="G161" s="2">
        <v>4.57</v>
      </c>
      <c r="H161" s="17">
        <v>5.6756713999999997</v>
      </c>
      <c r="I161" s="17">
        <v>4.9447035000000001</v>
      </c>
      <c r="J161" s="17">
        <v>4.3403821999999996</v>
      </c>
      <c r="K161" s="17">
        <v>3.9994542000000002</v>
      </c>
      <c r="L161" s="17">
        <v>3.7890063999999999</v>
      </c>
      <c r="M161" s="17">
        <v>3.6724543000000001</v>
      </c>
    </row>
    <row r="162" spans="1:13" x14ac:dyDescent="0.25">
      <c r="A162" t="s">
        <v>167</v>
      </c>
      <c r="B162" s="2">
        <v>4.9400000000000004</v>
      </c>
      <c r="C162" s="2">
        <v>4.45</v>
      </c>
      <c r="D162" s="2">
        <v>4.45</v>
      </c>
      <c r="E162" s="2">
        <v>4.68</v>
      </c>
      <c r="F162" s="2">
        <v>4.6900000000000004</v>
      </c>
      <c r="G162" s="2">
        <v>4.6500000000000004</v>
      </c>
      <c r="H162" s="17">
        <v>5.6860815000000002</v>
      </c>
      <c r="I162" s="17">
        <v>4.9915102999999998</v>
      </c>
      <c r="J162" s="17">
        <v>4.3970387000000004</v>
      </c>
      <c r="K162" s="17">
        <v>4.0675651999999998</v>
      </c>
      <c r="L162" s="17">
        <v>3.8757302999999999</v>
      </c>
      <c r="M162" s="17">
        <v>3.7743253999999999</v>
      </c>
    </row>
    <row r="163" spans="1:13" x14ac:dyDescent="0.25">
      <c r="A163" t="s">
        <v>168</v>
      </c>
      <c r="B163" s="2">
        <v>4.8499999999999996</v>
      </c>
      <c r="C163" s="2">
        <v>4.42</v>
      </c>
      <c r="D163" s="2">
        <v>4.3899999999999997</v>
      </c>
      <c r="E163" s="2">
        <v>4.6100000000000003</v>
      </c>
      <c r="F163" s="2">
        <v>4.6100000000000003</v>
      </c>
      <c r="G163" s="2">
        <v>4.57</v>
      </c>
      <c r="H163" s="17">
        <v>5.6595975999999997</v>
      </c>
      <c r="I163" s="17">
        <v>4.9665875000000002</v>
      </c>
      <c r="J163" s="17">
        <v>4.3581772000000001</v>
      </c>
      <c r="K163" s="17">
        <v>4.0213074999999998</v>
      </c>
      <c r="L163" s="17">
        <v>3.8194897999999999</v>
      </c>
      <c r="M163" s="17">
        <v>3.7050923999999998</v>
      </c>
    </row>
    <row r="164" spans="1:13" x14ac:dyDescent="0.25">
      <c r="A164" t="s">
        <v>169</v>
      </c>
      <c r="B164" s="2">
        <v>4.92</v>
      </c>
      <c r="C164" s="2">
        <v>4.41</v>
      </c>
      <c r="D164" s="2">
        <v>4.37</v>
      </c>
      <c r="E164" s="2">
        <v>4.58</v>
      </c>
      <c r="F164" s="2">
        <v>4.5999999999999996</v>
      </c>
      <c r="G164" s="2">
        <v>4.57</v>
      </c>
      <c r="H164" s="17">
        <v>5.6200855000000001</v>
      </c>
      <c r="I164" s="17">
        <v>4.9138649000000001</v>
      </c>
      <c r="J164" s="17">
        <v>4.3428266999999998</v>
      </c>
      <c r="K164" s="17">
        <v>4.0239434000000003</v>
      </c>
      <c r="L164" s="17">
        <v>3.8157469000000002</v>
      </c>
      <c r="M164" s="17">
        <v>3.6925699000000001</v>
      </c>
    </row>
    <row r="165" spans="1:13" x14ac:dyDescent="0.25">
      <c r="A165" t="s">
        <v>170</v>
      </c>
      <c r="B165" s="2">
        <v>4.9000000000000004</v>
      </c>
      <c r="C165" s="2">
        <v>4.4000000000000004</v>
      </c>
      <c r="D165" s="2">
        <v>4.37</v>
      </c>
      <c r="E165" s="2">
        <v>4.59</v>
      </c>
      <c r="F165" s="2">
        <v>4.62</v>
      </c>
      <c r="G165" s="2">
        <v>4.58</v>
      </c>
      <c r="H165" s="17">
        <v>5.5575432999999999</v>
      </c>
      <c r="I165" s="17">
        <v>4.8613375000000003</v>
      </c>
      <c r="J165" s="17">
        <v>4.3383618999999998</v>
      </c>
      <c r="K165" s="17">
        <v>4.0221431000000001</v>
      </c>
      <c r="L165" s="17">
        <v>3.8150236999999998</v>
      </c>
      <c r="M165" s="17">
        <v>3.6961876</v>
      </c>
    </row>
    <row r="166" spans="1:13" x14ac:dyDescent="0.25">
      <c r="A166" t="s">
        <v>171</v>
      </c>
      <c r="B166" s="2">
        <v>5.03</v>
      </c>
      <c r="C166" s="2">
        <v>4.53</v>
      </c>
      <c r="D166" s="2">
        <v>4.53</v>
      </c>
      <c r="E166" s="2">
        <v>4.75</v>
      </c>
      <c r="F166" s="2">
        <v>4.7699999999999996</v>
      </c>
      <c r="G166" s="2">
        <v>4.7300000000000004</v>
      </c>
      <c r="H166" s="17">
        <v>5.7159215999999997</v>
      </c>
      <c r="I166" s="17">
        <v>5.0628055999999999</v>
      </c>
      <c r="J166" s="17">
        <v>4.4973767999999996</v>
      </c>
      <c r="K166" s="17">
        <v>4.1672412000000003</v>
      </c>
      <c r="L166" s="17">
        <v>3.9615909</v>
      </c>
      <c r="M166" s="17">
        <v>3.8470043999999999</v>
      </c>
    </row>
    <row r="167" spans="1:13" x14ac:dyDescent="0.25">
      <c r="A167" t="s">
        <v>172</v>
      </c>
      <c r="B167" s="2">
        <v>5.0599999999999996</v>
      </c>
      <c r="C167" s="2">
        <v>4.5599999999999996</v>
      </c>
      <c r="D167" s="2">
        <v>4.5599999999999996</v>
      </c>
      <c r="E167" s="2">
        <v>4.7699999999999996</v>
      </c>
      <c r="F167" s="2">
        <v>4.79</v>
      </c>
      <c r="G167" s="2">
        <v>4.75</v>
      </c>
      <c r="H167" s="17">
        <v>5.8098438000000003</v>
      </c>
      <c r="I167" s="17">
        <v>5.1294940000000002</v>
      </c>
      <c r="J167" s="17">
        <v>4.5042866999999998</v>
      </c>
      <c r="K167" s="17">
        <v>4.1579151999999997</v>
      </c>
      <c r="L167" s="17">
        <v>3.9589625000000002</v>
      </c>
      <c r="M167" s="17">
        <v>3.8546249000000001</v>
      </c>
    </row>
    <row r="168" spans="1:13" x14ac:dyDescent="0.25">
      <c r="A168" t="s">
        <v>173</v>
      </c>
      <c r="B168" s="2">
        <v>5.12</v>
      </c>
      <c r="C168" s="2">
        <v>4.6100000000000003</v>
      </c>
      <c r="D168" s="2">
        <v>4.5999999999999996</v>
      </c>
      <c r="E168" s="2">
        <v>4.82</v>
      </c>
      <c r="F168" s="2">
        <v>4.84</v>
      </c>
      <c r="G168" s="2">
        <v>4.79</v>
      </c>
      <c r="H168" s="17">
        <v>5.8841152000000001</v>
      </c>
      <c r="I168" s="17">
        <v>5.1495009999999999</v>
      </c>
      <c r="J168" s="17">
        <v>4.5053035000000001</v>
      </c>
      <c r="K168" s="17">
        <v>4.1738530999999996</v>
      </c>
      <c r="L168" s="17">
        <v>3.9859615000000002</v>
      </c>
      <c r="M168" s="17">
        <v>3.8822869999999998</v>
      </c>
    </row>
    <row r="169" spans="1:13" x14ac:dyDescent="0.25">
      <c r="A169" t="s">
        <v>174</v>
      </c>
      <c r="B169" s="2">
        <v>5.17</v>
      </c>
      <c r="C169" s="2">
        <v>4.6500000000000004</v>
      </c>
      <c r="D169" s="2">
        <v>4.6399999999999997</v>
      </c>
      <c r="E169" s="2">
        <v>4.8499999999999996</v>
      </c>
      <c r="F169" s="2">
        <v>4.88</v>
      </c>
      <c r="G169" s="2">
        <v>4.83</v>
      </c>
      <c r="H169" s="17">
        <v>5.9337514999999996</v>
      </c>
      <c r="I169" s="17">
        <v>5.1984323999999997</v>
      </c>
      <c r="J169" s="17">
        <v>4.5636964000000004</v>
      </c>
      <c r="K169" s="17">
        <v>4.2370045999999997</v>
      </c>
      <c r="L169" s="17">
        <v>4.0429487999999996</v>
      </c>
      <c r="M169" s="17">
        <v>3.9294500000000001</v>
      </c>
    </row>
    <row r="170" spans="1:13" x14ac:dyDescent="0.25">
      <c r="A170" t="s">
        <v>175</v>
      </c>
      <c r="B170" s="2">
        <v>5.27</v>
      </c>
      <c r="C170" s="2">
        <v>4.75</v>
      </c>
      <c r="D170" s="2">
        <v>4.75</v>
      </c>
      <c r="E170" s="2">
        <v>4.96</v>
      </c>
      <c r="F170" s="2">
        <v>4.9800000000000004</v>
      </c>
      <c r="G170" s="2">
        <v>4.93</v>
      </c>
      <c r="H170" s="17">
        <v>6.0219005000000001</v>
      </c>
      <c r="I170" s="17">
        <v>5.3206065999999996</v>
      </c>
      <c r="J170" s="17">
        <v>4.7246369000000001</v>
      </c>
      <c r="K170" s="17">
        <v>4.3715273000000003</v>
      </c>
      <c r="L170" s="17">
        <v>4.1453964000000001</v>
      </c>
      <c r="M170" s="17">
        <v>4.0139015000000002</v>
      </c>
    </row>
    <row r="171" spans="1:13" x14ac:dyDescent="0.25">
      <c r="A171" t="s">
        <v>176</v>
      </c>
      <c r="B171" s="2">
        <v>5.19</v>
      </c>
      <c r="C171" s="2">
        <v>4.6900000000000004</v>
      </c>
      <c r="D171" s="2">
        <v>4.67</v>
      </c>
      <c r="E171" s="2">
        <v>4.8899999999999997</v>
      </c>
      <c r="F171" s="2">
        <v>4.91</v>
      </c>
      <c r="G171" s="2">
        <v>4.8600000000000003</v>
      </c>
      <c r="H171" s="17">
        <v>5.9122396999999998</v>
      </c>
      <c r="I171" s="17">
        <v>5.2354816</v>
      </c>
      <c r="J171" s="17">
        <v>4.6580690999999996</v>
      </c>
      <c r="K171" s="17">
        <v>4.3148137000000002</v>
      </c>
      <c r="L171" s="17">
        <v>4.0913095999999998</v>
      </c>
      <c r="M171" s="17">
        <v>3.9620902</v>
      </c>
    </row>
    <row r="172" spans="1:13" x14ac:dyDescent="0.25">
      <c r="A172" t="s">
        <v>177</v>
      </c>
      <c r="B172" s="2">
        <v>5.23</v>
      </c>
      <c r="C172" s="2">
        <v>4.74</v>
      </c>
      <c r="D172" s="2">
        <v>4.7300000000000004</v>
      </c>
      <c r="E172" s="2">
        <v>4.95</v>
      </c>
      <c r="F172" s="2">
        <v>4.96</v>
      </c>
      <c r="G172" s="2">
        <v>4.92</v>
      </c>
      <c r="H172" s="17">
        <v>5.9930870000000001</v>
      </c>
      <c r="I172" s="17">
        <v>5.3348868999999999</v>
      </c>
      <c r="J172" s="17">
        <v>4.7033484000000003</v>
      </c>
      <c r="K172" s="17">
        <v>4.3367481000000003</v>
      </c>
      <c r="L172" s="17">
        <v>4.1215419000000004</v>
      </c>
      <c r="M172" s="17">
        <v>4.0055817999999999</v>
      </c>
    </row>
    <row r="173" spans="1:13" x14ac:dyDescent="0.25">
      <c r="A173" t="s">
        <v>178</v>
      </c>
      <c r="B173" s="2">
        <v>5.14</v>
      </c>
      <c r="C173" s="2">
        <v>4.68</v>
      </c>
      <c r="D173" s="2">
        <v>4.6500000000000004</v>
      </c>
      <c r="E173" s="2">
        <v>4.8600000000000003</v>
      </c>
      <c r="F173" s="2">
        <v>4.87</v>
      </c>
      <c r="G173" s="2">
        <v>4.84</v>
      </c>
      <c r="H173" s="17">
        <v>5.9197837</v>
      </c>
      <c r="I173" s="17">
        <v>5.2579728000000001</v>
      </c>
      <c r="J173" s="17">
        <v>4.6307038</v>
      </c>
      <c r="K173" s="17">
        <v>4.2708301000000004</v>
      </c>
      <c r="L173" s="17">
        <v>4.0572089</v>
      </c>
      <c r="M173" s="17">
        <v>3.9373613999999999</v>
      </c>
    </row>
    <row r="174" spans="1:13" x14ac:dyDescent="0.25">
      <c r="A174" t="s">
        <v>179</v>
      </c>
      <c r="B174" s="2">
        <v>4.95</v>
      </c>
      <c r="C174" s="2">
        <v>4.4800000000000004</v>
      </c>
      <c r="D174" s="2">
        <v>4.46</v>
      </c>
      <c r="E174" s="2">
        <v>4.6900000000000004</v>
      </c>
      <c r="F174" s="2">
        <v>4.71</v>
      </c>
      <c r="G174" s="2">
        <v>4.68</v>
      </c>
      <c r="H174" s="17">
        <v>5.7126738000000001</v>
      </c>
      <c r="I174" s="17">
        <v>4.9678490999999996</v>
      </c>
      <c r="J174" s="17">
        <v>4.4029467000000002</v>
      </c>
      <c r="K174" s="17">
        <v>4.0986719999999996</v>
      </c>
      <c r="L174" s="17">
        <v>3.9010066999999999</v>
      </c>
      <c r="M174" s="17">
        <v>3.7814958999999999</v>
      </c>
    </row>
    <row r="175" spans="1:13" x14ac:dyDescent="0.25">
      <c r="A175" t="s">
        <v>180</v>
      </c>
      <c r="B175" s="2">
        <v>4.97</v>
      </c>
      <c r="C175" s="2">
        <v>4.4800000000000004</v>
      </c>
      <c r="D175" s="2">
        <v>4.4400000000000004</v>
      </c>
      <c r="E175" s="2">
        <v>4.66</v>
      </c>
      <c r="F175" s="2">
        <v>4.68</v>
      </c>
      <c r="G175" s="2">
        <v>4.6500000000000004</v>
      </c>
      <c r="H175" s="17">
        <v>5.6714181999999997</v>
      </c>
      <c r="I175" s="17">
        <v>4.9250594000000003</v>
      </c>
      <c r="J175" s="17">
        <v>4.4097572999999999</v>
      </c>
      <c r="K175" s="17">
        <v>4.0974364000000003</v>
      </c>
      <c r="L175" s="17">
        <v>3.8783639000000001</v>
      </c>
      <c r="M175" s="17">
        <v>3.7446632000000002</v>
      </c>
    </row>
    <row r="176" spans="1:13" x14ac:dyDescent="0.25">
      <c r="A176" t="s">
        <v>181</v>
      </c>
      <c r="B176" s="2">
        <v>5.01</v>
      </c>
      <c r="C176" s="2">
        <v>4.78</v>
      </c>
      <c r="D176" s="2">
        <v>4.4400000000000004</v>
      </c>
      <c r="E176" s="2">
        <v>4.6500000000000004</v>
      </c>
      <c r="F176" s="2">
        <v>4.66</v>
      </c>
      <c r="G176" s="2">
        <v>4.63</v>
      </c>
      <c r="H176" s="17">
        <v>5.7424679000000003</v>
      </c>
      <c r="I176" s="17">
        <v>4.9701605000000004</v>
      </c>
      <c r="J176" s="17">
        <v>4.4045610000000002</v>
      </c>
      <c r="K176" s="17">
        <v>4.1007230000000003</v>
      </c>
      <c r="L176" s="17">
        <v>3.8850771000000002</v>
      </c>
      <c r="M176" s="17">
        <v>3.7451473000000002</v>
      </c>
    </row>
    <row r="177" spans="1:13" x14ac:dyDescent="0.25">
      <c r="A177" t="s">
        <v>182</v>
      </c>
      <c r="B177" s="2">
        <v>5.27</v>
      </c>
      <c r="C177" s="2" t="e">
        <v>#N/A</v>
      </c>
      <c r="D177" s="2">
        <v>4.4400000000000004</v>
      </c>
      <c r="E177" s="2">
        <v>4.66</v>
      </c>
      <c r="F177" s="2">
        <v>4.67</v>
      </c>
      <c r="G177" s="2" t="e">
        <v>#N/A</v>
      </c>
      <c r="H177" s="17" t="e">
        <v>#N/A</v>
      </c>
      <c r="I177" s="17" t="e">
        <v>#N/A</v>
      </c>
      <c r="J177" s="17" t="e">
        <v>#N/A</v>
      </c>
      <c r="K177" s="17" t="e">
        <v>#N/A</v>
      </c>
      <c r="L177" s="17" t="e">
        <v>#N/A</v>
      </c>
      <c r="M177" s="17" t="e">
        <v>#N/A</v>
      </c>
    </row>
    <row r="178" spans="1:13" x14ac:dyDescent="0.25">
      <c r="A178" t="s">
        <v>183</v>
      </c>
      <c r="B178" s="2">
        <v>5.22</v>
      </c>
      <c r="C178" s="2">
        <v>4.75</v>
      </c>
      <c r="D178" s="2">
        <v>4.42</v>
      </c>
      <c r="E178" s="2">
        <v>4.6399999999999997</v>
      </c>
      <c r="F178" s="2">
        <v>4.66</v>
      </c>
      <c r="G178" s="2">
        <v>4.63</v>
      </c>
      <c r="H178" s="17">
        <v>5.6076630999999999</v>
      </c>
      <c r="I178" s="17">
        <v>4.8876676999999997</v>
      </c>
      <c r="J178" s="17">
        <v>4.3556799000000002</v>
      </c>
      <c r="K178" s="17">
        <v>4.0488356999999997</v>
      </c>
      <c r="L178" s="17">
        <v>3.8639215999999998</v>
      </c>
      <c r="M178" s="17">
        <v>3.7611810000000001</v>
      </c>
    </row>
    <row r="179" spans="1:13" x14ac:dyDescent="0.25">
      <c r="A179" t="s">
        <v>184</v>
      </c>
      <c r="B179" s="2">
        <v>5.22</v>
      </c>
      <c r="C179" s="2">
        <v>4.74</v>
      </c>
      <c r="D179" s="2">
        <v>4.43</v>
      </c>
      <c r="E179" s="2">
        <v>4.6500000000000004</v>
      </c>
      <c r="F179" s="2">
        <v>4.68</v>
      </c>
      <c r="G179" s="2">
        <v>4.66</v>
      </c>
      <c r="H179" s="17">
        <v>5.6971778999999998</v>
      </c>
      <c r="I179" s="17">
        <v>4.8856830999999996</v>
      </c>
      <c r="J179" s="17">
        <v>4.3353606999999998</v>
      </c>
      <c r="K179" s="17">
        <v>4.0457583000000001</v>
      </c>
      <c r="L179" s="17">
        <v>3.8633533</v>
      </c>
      <c r="M179" s="17">
        <v>3.7587484</v>
      </c>
    </row>
    <row r="180" spans="1:13" x14ac:dyDescent="0.25">
      <c r="A180" t="s">
        <v>185</v>
      </c>
      <c r="B180" s="2">
        <v>5.14</v>
      </c>
      <c r="C180" s="2">
        <v>4.67</v>
      </c>
      <c r="D180" s="2">
        <v>4.3600000000000003</v>
      </c>
      <c r="E180" s="2">
        <v>4.58</v>
      </c>
      <c r="F180" s="2">
        <v>4.62</v>
      </c>
      <c r="G180" s="2">
        <v>4.6100000000000003</v>
      </c>
      <c r="H180" s="17">
        <v>5.5942670999999997</v>
      </c>
      <c r="I180" s="17">
        <v>4.8119056999999996</v>
      </c>
      <c r="J180" s="17">
        <v>4.2734098999999999</v>
      </c>
      <c r="K180" s="17">
        <v>3.9754311000000002</v>
      </c>
      <c r="L180" s="17">
        <v>3.7970394999999999</v>
      </c>
      <c r="M180" s="17">
        <v>3.7003180000000002</v>
      </c>
    </row>
    <row r="181" spans="1:13" x14ac:dyDescent="0.25">
      <c r="A181" t="s">
        <v>186</v>
      </c>
      <c r="B181" s="2">
        <v>5.14</v>
      </c>
      <c r="C181" s="2">
        <v>4.68</v>
      </c>
      <c r="D181" s="2">
        <v>4.4000000000000004</v>
      </c>
      <c r="E181" s="2">
        <v>4.63</v>
      </c>
      <c r="F181" s="2">
        <v>4.68</v>
      </c>
      <c r="G181" s="2">
        <v>4.67</v>
      </c>
      <c r="H181" s="17">
        <v>5.5274239999999999</v>
      </c>
      <c r="I181" s="17">
        <v>4.8202685000000001</v>
      </c>
      <c r="J181" s="17">
        <v>4.3437855000000001</v>
      </c>
      <c r="K181" s="17">
        <v>4.0493259999999998</v>
      </c>
      <c r="L181" s="17">
        <v>3.8608804000000001</v>
      </c>
      <c r="M181" s="17">
        <v>3.7588716</v>
      </c>
    </row>
    <row r="182" spans="1:13" x14ac:dyDescent="0.25">
      <c r="A182" t="s">
        <v>187</v>
      </c>
      <c r="B182" s="2">
        <v>5.2</v>
      </c>
      <c r="C182" s="2">
        <v>4.74</v>
      </c>
      <c r="D182" s="2">
        <v>4.47</v>
      </c>
      <c r="E182" s="2">
        <v>4.71</v>
      </c>
      <c r="F182" s="2">
        <v>4.76</v>
      </c>
      <c r="G182" s="2">
        <v>4.76</v>
      </c>
      <c r="H182" s="17">
        <v>5.5848461</v>
      </c>
      <c r="I182" s="17">
        <v>4.8827135000000004</v>
      </c>
      <c r="J182" s="17">
        <v>4.3783592000000002</v>
      </c>
      <c r="K182" s="17">
        <v>4.0830780999999998</v>
      </c>
      <c r="L182" s="17">
        <v>3.9015316000000002</v>
      </c>
      <c r="M182" s="17">
        <v>3.8130837</v>
      </c>
    </row>
    <row r="183" spans="1:13" x14ac:dyDescent="0.25">
      <c r="A183" t="s">
        <v>188</v>
      </c>
      <c r="B183" s="2">
        <v>5.26</v>
      </c>
      <c r="C183" s="2">
        <v>4.8</v>
      </c>
      <c r="D183" s="2">
        <v>4.5199999999999996</v>
      </c>
      <c r="E183" s="2">
        <v>4.76</v>
      </c>
      <c r="F183" s="2">
        <v>4.8</v>
      </c>
      <c r="G183" s="2">
        <v>4.79</v>
      </c>
      <c r="H183" s="17">
        <v>5.6458062</v>
      </c>
      <c r="I183" s="17">
        <v>4.9633351000000001</v>
      </c>
      <c r="J183" s="17">
        <v>4.4281698</v>
      </c>
      <c r="K183" s="17">
        <v>4.1204571000000003</v>
      </c>
      <c r="L183" s="17">
        <v>3.9409171999999999</v>
      </c>
      <c r="M183" s="17">
        <v>3.8517665999999999</v>
      </c>
    </row>
    <row r="184" spans="1:13" x14ac:dyDescent="0.25">
      <c r="A184" t="s">
        <v>189</v>
      </c>
      <c r="B184" s="2">
        <v>5.22</v>
      </c>
      <c r="C184" s="2">
        <v>4.8</v>
      </c>
      <c r="D184" s="2">
        <v>4.53</v>
      </c>
      <c r="E184" s="2">
        <v>4.75</v>
      </c>
      <c r="F184" s="2">
        <v>4.79</v>
      </c>
      <c r="G184" s="2">
        <v>4.78</v>
      </c>
      <c r="H184" s="17">
        <v>5.6324828</v>
      </c>
      <c r="I184" s="17">
        <v>4.9591339999999997</v>
      </c>
      <c r="J184" s="17">
        <v>4.4414787000000002</v>
      </c>
      <c r="K184" s="17">
        <v>4.1452426999999998</v>
      </c>
      <c r="L184" s="17">
        <v>3.9633419999999999</v>
      </c>
      <c r="M184" s="17">
        <v>3.8672819999999999</v>
      </c>
    </row>
    <row r="185" spans="1:13" x14ac:dyDescent="0.25">
      <c r="A185" t="s">
        <v>190</v>
      </c>
      <c r="B185" s="2">
        <v>5.14</v>
      </c>
      <c r="C185" s="2">
        <v>4.72</v>
      </c>
      <c r="D185" s="2">
        <v>4.46</v>
      </c>
      <c r="E185" s="2">
        <v>4.6900000000000004</v>
      </c>
      <c r="F185" s="2">
        <v>4.7300000000000004</v>
      </c>
      <c r="G185" s="2">
        <v>4.71</v>
      </c>
      <c r="H185" s="17">
        <v>5.5037675999999998</v>
      </c>
      <c r="I185" s="17">
        <v>4.7982363000000001</v>
      </c>
      <c r="J185" s="17">
        <v>4.3436627999999997</v>
      </c>
      <c r="K185" s="17">
        <v>4.0855893999999999</v>
      </c>
      <c r="L185" s="17">
        <v>3.9198601000000002</v>
      </c>
      <c r="M185" s="17">
        <v>3.8307259</v>
      </c>
    </row>
    <row r="186" spans="1:13" x14ac:dyDescent="0.25">
      <c r="A186" t="s">
        <v>191</v>
      </c>
      <c r="B186" s="2">
        <v>5.08</v>
      </c>
      <c r="C186" s="2">
        <v>4.66</v>
      </c>
      <c r="D186" s="2">
        <v>4.42</v>
      </c>
      <c r="E186" s="2">
        <v>4.66</v>
      </c>
      <c r="F186" s="2">
        <v>4.71</v>
      </c>
      <c r="G186" s="2">
        <v>4.7</v>
      </c>
      <c r="H186" s="17">
        <v>5.4251103000000001</v>
      </c>
      <c r="I186" s="17">
        <v>4.7470501000000001</v>
      </c>
      <c r="J186" s="17">
        <v>4.3092744999999999</v>
      </c>
      <c r="K186" s="17">
        <v>4.0524678999999999</v>
      </c>
      <c r="L186" s="17">
        <v>3.8801825000000001</v>
      </c>
      <c r="M186" s="17">
        <v>3.7849308000000002</v>
      </c>
    </row>
    <row r="187" spans="1:13" x14ac:dyDescent="0.25">
      <c r="A187" t="s">
        <v>192</v>
      </c>
      <c r="B187" s="2">
        <v>5.08</v>
      </c>
      <c r="C187" s="2">
        <v>4.7</v>
      </c>
      <c r="D187" s="2">
        <v>4.47</v>
      </c>
      <c r="E187" s="2">
        <v>4.7</v>
      </c>
      <c r="F187" s="2">
        <v>4.7699999999999996</v>
      </c>
      <c r="G187" s="2">
        <v>4.7699999999999996</v>
      </c>
      <c r="H187" s="17">
        <v>5.4492228999999996</v>
      </c>
      <c r="I187" s="17">
        <v>4.7580713000000001</v>
      </c>
      <c r="J187" s="17">
        <v>4.3209378999999997</v>
      </c>
      <c r="K187" s="17">
        <v>4.0749048999999999</v>
      </c>
      <c r="L187" s="17">
        <v>3.9126530000000002</v>
      </c>
      <c r="M187" s="17">
        <v>3.8304524</v>
      </c>
    </row>
    <row r="188" spans="1:13" x14ac:dyDescent="0.25">
      <c r="A188" t="s">
        <v>193</v>
      </c>
      <c r="B188" s="2">
        <v>5.04</v>
      </c>
      <c r="C188" s="2">
        <v>4.6500000000000004</v>
      </c>
      <c r="D188" s="2">
        <v>4.42</v>
      </c>
      <c r="E188" s="2">
        <v>4.66</v>
      </c>
      <c r="F188" s="2">
        <v>4.7300000000000004</v>
      </c>
      <c r="G188" s="2">
        <v>4.74</v>
      </c>
      <c r="H188" s="17">
        <v>5.4300347000000002</v>
      </c>
      <c r="I188" s="17">
        <v>4.7073600999999998</v>
      </c>
      <c r="J188" s="17">
        <v>4.2642483000000002</v>
      </c>
      <c r="K188" s="17">
        <v>4.0263970000000002</v>
      </c>
      <c r="L188" s="17">
        <v>3.8734196999999999</v>
      </c>
      <c r="M188" s="17">
        <v>3.7934619000000001</v>
      </c>
    </row>
    <row r="189" spans="1:13" x14ac:dyDescent="0.25">
      <c r="A189" t="s">
        <v>194</v>
      </c>
      <c r="B189" s="2">
        <v>4.97</v>
      </c>
      <c r="C189" s="2">
        <v>4.55</v>
      </c>
      <c r="D189" s="2">
        <v>4.34</v>
      </c>
      <c r="E189" s="2">
        <v>4.58</v>
      </c>
      <c r="F189" s="2">
        <v>4.6399999999999997</v>
      </c>
      <c r="G189" s="2">
        <v>4.6500000000000004</v>
      </c>
      <c r="H189" s="17">
        <v>5.3638699000000001</v>
      </c>
      <c r="I189" s="17">
        <v>4.5642858999999998</v>
      </c>
      <c r="J189" s="17">
        <v>4.1354953999999999</v>
      </c>
      <c r="K189" s="17">
        <v>3.9296327</v>
      </c>
      <c r="L189" s="17">
        <v>3.7966204000000001</v>
      </c>
      <c r="M189" s="17">
        <v>3.7245694</v>
      </c>
    </row>
    <row r="190" spans="1:13" x14ac:dyDescent="0.25">
      <c r="A190" t="s">
        <v>195</v>
      </c>
      <c r="B190" s="2">
        <v>4.95</v>
      </c>
      <c r="C190" s="2">
        <v>4.5</v>
      </c>
      <c r="D190" s="2">
        <v>4.3</v>
      </c>
      <c r="E190" s="2">
        <v>4.54</v>
      </c>
      <c r="F190" s="2">
        <v>4.6100000000000003</v>
      </c>
      <c r="G190" s="2">
        <v>4.62</v>
      </c>
      <c r="H190" s="17">
        <v>5.3271138999999996</v>
      </c>
      <c r="I190" s="17">
        <v>4.4912631000000003</v>
      </c>
      <c r="J190" s="17">
        <v>4.0630332999999998</v>
      </c>
      <c r="K190" s="17">
        <v>3.8612918000000001</v>
      </c>
      <c r="L190" s="17">
        <v>3.7401206999999999</v>
      </c>
      <c r="M190" s="17">
        <v>3.6800356000000001</v>
      </c>
    </row>
    <row r="191" spans="1:13" x14ac:dyDescent="0.25">
      <c r="A191" t="s">
        <v>196</v>
      </c>
      <c r="B191" s="2">
        <v>5.03</v>
      </c>
      <c r="C191" s="2">
        <v>4.54</v>
      </c>
      <c r="D191" s="2">
        <v>4.37</v>
      </c>
      <c r="E191" s="2">
        <v>4.62</v>
      </c>
      <c r="F191" s="2">
        <v>4.6900000000000004</v>
      </c>
      <c r="G191" s="2">
        <v>4.7</v>
      </c>
      <c r="H191" s="17">
        <v>5.3634392999999996</v>
      </c>
      <c r="I191" s="17">
        <v>4.5171830000000002</v>
      </c>
      <c r="J191" s="17">
        <v>4.0987333000000001</v>
      </c>
      <c r="K191" s="17">
        <v>3.9245926</v>
      </c>
      <c r="L191" s="17">
        <v>3.8196728000000002</v>
      </c>
      <c r="M191" s="17">
        <v>3.7683599000000001</v>
      </c>
    </row>
    <row r="192" spans="1:13" x14ac:dyDescent="0.25">
      <c r="A192" t="s">
        <v>197</v>
      </c>
      <c r="B192" s="2">
        <v>5.0199999999999996</v>
      </c>
      <c r="C192" s="2">
        <v>4.5599999999999996</v>
      </c>
      <c r="D192" s="2">
        <v>4.38</v>
      </c>
      <c r="E192" s="2">
        <v>4.63</v>
      </c>
      <c r="F192" s="2">
        <v>4.71</v>
      </c>
      <c r="G192" s="2">
        <v>4.72</v>
      </c>
      <c r="H192" s="17">
        <v>5.3841041000000001</v>
      </c>
      <c r="I192" s="17">
        <v>4.6183969999999999</v>
      </c>
      <c r="J192" s="17">
        <v>4.1806497</v>
      </c>
      <c r="K192" s="17">
        <v>3.9548904999999999</v>
      </c>
      <c r="L192" s="17">
        <v>3.8196146999999998</v>
      </c>
      <c r="M192" s="17">
        <v>3.7594110000000001</v>
      </c>
    </row>
    <row r="193" spans="1:13" x14ac:dyDescent="0.25">
      <c r="A193" t="s">
        <v>198</v>
      </c>
      <c r="B193" s="2">
        <v>5.01</v>
      </c>
      <c r="C193" s="2">
        <v>4.55</v>
      </c>
      <c r="D193" s="2">
        <v>4.3600000000000003</v>
      </c>
      <c r="E193" s="2">
        <v>4.62</v>
      </c>
      <c r="F193" s="2">
        <v>4.71</v>
      </c>
      <c r="G193" s="2">
        <v>4.7300000000000004</v>
      </c>
      <c r="H193" s="17">
        <v>5.3507309999999997</v>
      </c>
      <c r="I193" s="17">
        <v>4.5846836</v>
      </c>
      <c r="J193" s="17">
        <v>4.146185</v>
      </c>
      <c r="K193" s="17">
        <v>3.9342831999999999</v>
      </c>
      <c r="L193" s="17">
        <v>3.8138312000000001</v>
      </c>
      <c r="M193" s="17">
        <v>3.7614087999999999</v>
      </c>
    </row>
    <row r="194" spans="1:13" x14ac:dyDescent="0.25">
      <c r="A194" t="s">
        <v>199</v>
      </c>
      <c r="B194" s="2">
        <v>4.84</v>
      </c>
      <c r="C194" s="2">
        <v>4.38</v>
      </c>
      <c r="D194" s="2">
        <v>4.21</v>
      </c>
      <c r="E194" s="2">
        <v>4.5</v>
      </c>
      <c r="F194" s="2">
        <v>4.59</v>
      </c>
      <c r="G194" s="2">
        <v>4.63</v>
      </c>
      <c r="H194" s="17">
        <v>5.1851466000000004</v>
      </c>
      <c r="I194" s="17">
        <v>4.383432</v>
      </c>
      <c r="J194" s="17">
        <v>3.9488523</v>
      </c>
      <c r="K194" s="17">
        <v>3.7642506</v>
      </c>
      <c r="L194" s="17">
        <v>3.67238</v>
      </c>
      <c r="M194" s="17">
        <v>3.6411074999999999</v>
      </c>
    </row>
    <row r="195" spans="1:13" x14ac:dyDescent="0.25">
      <c r="A195" t="s">
        <v>200</v>
      </c>
      <c r="B195" s="2">
        <v>4.8499999999999996</v>
      </c>
      <c r="C195" s="2">
        <v>4.42</v>
      </c>
      <c r="D195" s="2">
        <v>4.3</v>
      </c>
      <c r="E195" s="2">
        <v>4.59</v>
      </c>
      <c r="F195" s="2">
        <v>4.67</v>
      </c>
      <c r="G195" s="2">
        <v>4.7</v>
      </c>
      <c r="H195" s="17">
        <v>5.2004261999999999</v>
      </c>
      <c r="I195" s="17">
        <v>4.4077121999999997</v>
      </c>
      <c r="J195" s="17">
        <v>4.0097047000000003</v>
      </c>
      <c r="K195" s="17">
        <v>3.8368321999999999</v>
      </c>
      <c r="L195" s="17">
        <v>3.7509899999999998</v>
      </c>
      <c r="M195" s="17">
        <v>3.7250219000000002</v>
      </c>
    </row>
    <row r="196" spans="1:13" x14ac:dyDescent="0.25">
      <c r="A196" t="s">
        <v>201</v>
      </c>
      <c r="B196" s="2">
        <v>4.79</v>
      </c>
      <c r="C196" s="2">
        <v>4.3600000000000003</v>
      </c>
      <c r="D196" s="2">
        <v>4.25</v>
      </c>
      <c r="E196" s="2">
        <v>4.54</v>
      </c>
      <c r="F196" s="2">
        <v>4.6399999999999997</v>
      </c>
      <c r="G196" s="2">
        <v>4.68</v>
      </c>
      <c r="H196" s="17">
        <v>5.1267164999999997</v>
      </c>
      <c r="I196" s="17">
        <v>4.3202182000000002</v>
      </c>
      <c r="J196" s="17">
        <v>3.9496671000000001</v>
      </c>
      <c r="K196" s="17">
        <v>3.8174047999999998</v>
      </c>
      <c r="L196" s="17">
        <v>3.7447092</v>
      </c>
      <c r="M196" s="17">
        <v>3.7166921999999998</v>
      </c>
    </row>
    <row r="197" spans="1:13" x14ac:dyDescent="0.25">
      <c r="A197" t="s">
        <v>202</v>
      </c>
      <c r="B197" s="2">
        <v>4.8099999999999996</v>
      </c>
      <c r="C197" s="2">
        <v>4.4000000000000004</v>
      </c>
      <c r="D197" s="2">
        <v>4.33</v>
      </c>
      <c r="E197" s="2">
        <v>4.6399999999999997</v>
      </c>
      <c r="F197" s="2">
        <v>4.75</v>
      </c>
      <c r="G197" s="2">
        <v>4.8</v>
      </c>
      <c r="H197" s="17">
        <v>5.0987552999999997</v>
      </c>
      <c r="I197" s="17">
        <v>4.4001975</v>
      </c>
      <c r="J197" s="17">
        <v>4.0444348000000003</v>
      </c>
      <c r="K197" s="17">
        <v>3.8786881000000002</v>
      </c>
      <c r="L197" s="17">
        <v>3.8044554000000002</v>
      </c>
      <c r="M197" s="17">
        <v>3.7975210000000001</v>
      </c>
    </row>
    <row r="198" spans="1:13" x14ac:dyDescent="0.25">
      <c r="A198" t="s">
        <v>203</v>
      </c>
      <c r="B198" s="2">
        <v>4.8099999999999996</v>
      </c>
      <c r="C198" s="2">
        <v>4.41</v>
      </c>
      <c r="D198" s="2">
        <v>4.33</v>
      </c>
      <c r="E198" s="2">
        <v>4.6500000000000004</v>
      </c>
      <c r="F198" s="2">
        <v>4.75</v>
      </c>
      <c r="G198" s="2">
        <v>4.8099999999999996</v>
      </c>
      <c r="H198" s="17">
        <v>5.1629825</v>
      </c>
      <c r="I198" s="17">
        <v>4.4193337000000001</v>
      </c>
      <c r="J198" s="17">
        <v>4.0154813999999996</v>
      </c>
      <c r="K198" s="17">
        <v>3.8484140999999998</v>
      </c>
      <c r="L198" s="17">
        <v>3.7898635000000001</v>
      </c>
      <c r="M198" s="17">
        <v>3.8014009999999998</v>
      </c>
    </row>
    <row r="199" spans="1:13" x14ac:dyDescent="0.25">
      <c r="A199" t="s">
        <v>204</v>
      </c>
      <c r="B199" s="2">
        <v>4.88</v>
      </c>
      <c r="C199" s="2">
        <v>4.4800000000000004</v>
      </c>
      <c r="D199" s="2">
        <v>4.38</v>
      </c>
      <c r="E199" s="2">
        <v>4.68</v>
      </c>
      <c r="F199" s="2">
        <v>4.76</v>
      </c>
      <c r="G199" s="2">
        <v>4.8099999999999996</v>
      </c>
      <c r="H199" s="17">
        <v>5.2276809999999996</v>
      </c>
      <c r="I199" s="17">
        <v>4.5124157</v>
      </c>
      <c r="J199" s="17">
        <v>4.1024944000000003</v>
      </c>
      <c r="K199" s="17">
        <v>3.9253643999999999</v>
      </c>
      <c r="L199" s="17">
        <v>3.8503664</v>
      </c>
      <c r="M199" s="17">
        <v>3.8398694</v>
      </c>
    </row>
    <row r="200" spans="1:13" x14ac:dyDescent="0.25">
      <c r="A200" t="s">
        <v>205</v>
      </c>
      <c r="B200" s="2">
        <v>4.93</v>
      </c>
      <c r="C200" s="2">
        <v>4.58</v>
      </c>
      <c r="D200" s="2">
        <v>4.49</v>
      </c>
      <c r="E200" s="2">
        <v>4.78</v>
      </c>
      <c r="F200" s="2">
        <v>4.8600000000000003</v>
      </c>
      <c r="G200" s="2">
        <v>4.9000000000000004</v>
      </c>
      <c r="H200" s="17">
        <v>5.2496622000000004</v>
      </c>
      <c r="I200" s="17">
        <v>4.6400002999999996</v>
      </c>
      <c r="J200" s="17">
        <v>4.2529687000000003</v>
      </c>
      <c r="K200" s="17">
        <v>4.0495308000000003</v>
      </c>
      <c r="L200" s="17">
        <v>3.9471314999999998</v>
      </c>
      <c r="M200" s="17">
        <v>3.9169651000000001</v>
      </c>
    </row>
    <row r="201" spans="1:13" x14ac:dyDescent="0.25">
      <c r="A201" t="s">
        <v>206</v>
      </c>
      <c r="B201" s="2">
        <v>4.91</v>
      </c>
      <c r="C201" s="2">
        <v>4.53</v>
      </c>
      <c r="D201" s="2">
        <v>4.46</v>
      </c>
      <c r="E201" s="2">
        <v>4.76</v>
      </c>
      <c r="F201" s="2">
        <v>4.8600000000000003</v>
      </c>
      <c r="G201" s="2">
        <v>4.92</v>
      </c>
      <c r="H201" s="17">
        <v>5.1569861000000001</v>
      </c>
      <c r="I201" s="17">
        <v>4.5061014999999998</v>
      </c>
      <c r="J201" s="17">
        <v>4.1760261999999999</v>
      </c>
      <c r="K201" s="17">
        <v>4.0272492</v>
      </c>
      <c r="L201" s="17">
        <v>3.9513503000000001</v>
      </c>
      <c r="M201" s="17">
        <v>3.9318871999999998</v>
      </c>
    </row>
    <row r="202" spans="1:13" x14ac:dyDescent="0.25">
      <c r="A202" t="s">
        <v>207</v>
      </c>
      <c r="B202" s="2">
        <v>4.97</v>
      </c>
      <c r="C202" s="2">
        <v>4.6100000000000003</v>
      </c>
      <c r="D202" s="2">
        <v>4.5599999999999996</v>
      </c>
      <c r="E202" s="2">
        <v>4.87</v>
      </c>
      <c r="F202" s="2">
        <v>4.95</v>
      </c>
      <c r="G202" s="2">
        <v>5.01</v>
      </c>
      <c r="H202" s="17">
        <v>5.2300027</v>
      </c>
      <c r="I202" s="17">
        <v>4.6270876000000003</v>
      </c>
      <c r="J202" s="17">
        <v>4.2707563000000004</v>
      </c>
      <c r="K202" s="17">
        <v>4.1136511999999996</v>
      </c>
      <c r="L202" s="17">
        <v>4.0390480999999996</v>
      </c>
      <c r="M202" s="17">
        <v>4.0262795000000002</v>
      </c>
    </row>
    <row r="203" spans="1:13" x14ac:dyDescent="0.25">
      <c r="A203" t="s">
        <v>208</v>
      </c>
      <c r="B203" s="2">
        <v>4.99</v>
      </c>
      <c r="C203" s="2">
        <v>4.6399999999999997</v>
      </c>
      <c r="D203" s="2">
        <v>4.5999999999999996</v>
      </c>
      <c r="E203" s="2">
        <v>4.92</v>
      </c>
      <c r="F203" s="2">
        <v>5</v>
      </c>
      <c r="G203" s="2">
        <v>5.05</v>
      </c>
      <c r="H203" s="17">
        <v>5.2494854999999996</v>
      </c>
      <c r="I203" s="17">
        <v>4.6893028000000001</v>
      </c>
      <c r="J203" s="17">
        <v>4.2908279</v>
      </c>
      <c r="K203" s="17">
        <v>4.1202934999999998</v>
      </c>
      <c r="L203" s="17">
        <v>4.0743236999999999</v>
      </c>
      <c r="M203" s="17">
        <v>4.0926045000000002</v>
      </c>
    </row>
    <row r="204" spans="1:13" x14ac:dyDescent="0.25">
      <c r="A204" t="s">
        <v>209</v>
      </c>
      <c r="B204" s="2">
        <v>4.92</v>
      </c>
      <c r="C204" s="2">
        <v>4.6100000000000003</v>
      </c>
      <c r="D204" s="2">
        <v>4.58</v>
      </c>
      <c r="E204" s="2">
        <v>4.88</v>
      </c>
      <c r="F204" s="2">
        <v>4.96</v>
      </c>
      <c r="G204" s="2">
        <v>5</v>
      </c>
      <c r="H204" s="17">
        <v>5.2112803000000003</v>
      </c>
      <c r="I204" s="17">
        <v>4.6228819000000003</v>
      </c>
      <c r="J204" s="17">
        <v>4.2778684</v>
      </c>
      <c r="K204" s="17">
        <v>4.1377952000000002</v>
      </c>
      <c r="L204" s="17">
        <v>4.0789209</v>
      </c>
      <c r="M204" s="17">
        <v>4.0742158999999996</v>
      </c>
    </row>
    <row r="205" spans="1:13" x14ac:dyDescent="0.25">
      <c r="A205" t="s">
        <v>210</v>
      </c>
      <c r="B205" s="2">
        <v>4.8600000000000003</v>
      </c>
      <c r="C205" s="2">
        <v>4.54</v>
      </c>
      <c r="D205" s="2">
        <v>4.53</v>
      </c>
      <c r="E205" s="2">
        <v>4.84</v>
      </c>
      <c r="F205" s="2">
        <v>4.93</v>
      </c>
      <c r="G205" s="2">
        <v>4.9800000000000004</v>
      </c>
      <c r="H205" s="17">
        <v>5.1558656999999997</v>
      </c>
      <c r="I205" s="17">
        <v>4.5359211999999998</v>
      </c>
      <c r="J205" s="17">
        <v>4.2166607000000003</v>
      </c>
      <c r="K205" s="17">
        <v>4.0913462999999997</v>
      </c>
      <c r="L205" s="17">
        <v>4.0374401999999998</v>
      </c>
      <c r="M205" s="17">
        <v>4.0334484000000002</v>
      </c>
    </row>
    <row r="206" spans="1:13" x14ac:dyDescent="0.25">
      <c r="A206" t="s">
        <v>211</v>
      </c>
      <c r="B206" s="2">
        <v>4.8899999999999997</v>
      </c>
      <c r="C206" s="2">
        <v>4.58</v>
      </c>
      <c r="D206" s="2">
        <v>4.59</v>
      </c>
      <c r="E206" s="2">
        <v>4.9000000000000004</v>
      </c>
      <c r="F206" s="2">
        <v>5.01</v>
      </c>
      <c r="G206" s="2">
        <v>5.05</v>
      </c>
      <c r="H206" s="17">
        <v>5.1672247000000002</v>
      </c>
      <c r="I206" s="17">
        <v>4.6082216000000003</v>
      </c>
      <c r="J206" s="17">
        <v>4.2943702999999998</v>
      </c>
      <c r="K206" s="17">
        <v>4.1529341999999998</v>
      </c>
      <c r="L206" s="17">
        <v>4.0935604999999997</v>
      </c>
      <c r="M206" s="17">
        <v>4.0925294000000001</v>
      </c>
    </row>
    <row r="207" spans="1:13" x14ac:dyDescent="0.25">
      <c r="A207" t="s">
        <v>212</v>
      </c>
      <c r="B207" s="2">
        <v>4.83</v>
      </c>
      <c r="C207" s="2">
        <v>4.47</v>
      </c>
      <c r="D207" s="2">
        <v>4.4800000000000004</v>
      </c>
      <c r="E207" s="2">
        <v>4.8099999999999996</v>
      </c>
      <c r="F207" s="2">
        <v>4.92</v>
      </c>
      <c r="G207" s="2">
        <v>4.97</v>
      </c>
      <c r="H207" s="17">
        <v>5.1144448999999996</v>
      </c>
      <c r="I207" s="17">
        <v>4.5044044000000003</v>
      </c>
      <c r="J207" s="17">
        <v>4.1753363999999999</v>
      </c>
      <c r="K207" s="17">
        <v>4.035666</v>
      </c>
      <c r="L207" s="17">
        <v>3.9836075000000002</v>
      </c>
      <c r="M207" s="17">
        <v>3.9949808999999998</v>
      </c>
    </row>
    <row r="208" spans="1:13" x14ac:dyDescent="0.25">
      <c r="A208" t="s">
        <v>213</v>
      </c>
      <c r="B208" s="2">
        <v>4.79</v>
      </c>
      <c r="C208" s="2">
        <v>4.42</v>
      </c>
      <c r="D208" s="2">
        <v>4.42</v>
      </c>
      <c r="E208" s="2">
        <v>4.75</v>
      </c>
      <c r="F208" s="2">
        <v>4.8600000000000003</v>
      </c>
      <c r="G208" s="2">
        <v>4.91</v>
      </c>
      <c r="H208" s="17">
        <v>5.0951348999999997</v>
      </c>
      <c r="I208" s="17">
        <v>4.4605652999999998</v>
      </c>
      <c r="J208" s="17">
        <v>4.1036755999999999</v>
      </c>
      <c r="K208" s="17">
        <v>3.9508502000000001</v>
      </c>
      <c r="L208" s="17">
        <v>3.9049076</v>
      </c>
      <c r="M208" s="17">
        <v>3.9260910999999998</v>
      </c>
    </row>
    <row r="209" spans="1:13" x14ac:dyDescent="0.25">
      <c r="A209" t="s">
        <v>214</v>
      </c>
      <c r="B209" s="2">
        <v>4.78</v>
      </c>
      <c r="C209" s="2">
        <v>4.38</v>
      </c>
      <c r="D209" s="2">
        <v>4.33</v>
      </c>
      <c r="E209" s="2">
        <v>4.6399999999999997</v>
      </c>
      <c r="F209" s="2">
        <v>4.7300000000000004</v>
      </c>
      <c r="G209" s="2">
        <v>4.76</v>
      </c>
      <c r="H209" s="17">
        <v>5.0942322999999998</v>
      </c>
      <c r="I209" s="17">
        <v>4.4439149000000002</v>
      </c>
      <c r="J209" s="17">
        <v>4.0447994999999999</v>
      </c>
      <c r="K209" s="17">
        <v>3.8728446999999999</v>
      </c>
      <c r="L209" s="17">
        <v>3.8024955</v>
      </c>
      <c r="M209" s="17">
        <v>3.793774</v>
      </c>
    </row>
    <row r="210" spans="1:13" x14ac:dyDescent="0.25">
      <c r="A210" t="s">
        <v>215</v>
      </c>
      <c r="B210" s="2">
        <v>4.8499999999999996</v>
      </c>
      <c r="C210" s="2">
        <v>4.47</v>
      </c>
      <c r="D210" s="2">
        <v>4.43</v>
      </c>
      <c r="E210" s="2">
        <v>4.7300000000000004</v>
      </c>
      <c r="F210" s="2">
        <v>4.83</v>
      </c>
      <c r="G210" s="2">
        <v>4.87</v>
      </c>
      <c r="H210" s="17">
        <v>5.1331102</v>
      </c>
      <c r="I210" s="17">
        <v>4.473179</v>
      </c>
      <c r="J210" s="17">
        <v>4.1355903999999999</v>
      </c>
      <c r="K210" s="17">
        <v>4.0027194000000001</v>
      </c>
      <c r="L210" s="17">
        <v>3.9332262999999998</v>
      </c>
      <c r="M210" s="17">
        <v>3.9184961</v>
      </c>
    </row>
    <row r="211" spans="1:13" x14ac:dyDescent="0.25">
      <c r="A211" t="s">
        <v>216</v>
      </c>
      <c r="B211" s="2">
        <v>4.84</v>
      </c>
      <c r="C211" s="2">
        <v>4.45</v>
      </c>
      <c r="D211" s="2">
        <v>4.38</v>
      </c>
      <c r="E211" s="2">
        <v>4.6900000000000004</v>
      </c>
      <c r="F211" s="2">
        <v>4.78</v>
      </c>
      <c r="G211" s="2">
        <v>4.82</v>
      </c>
      <c r="H211" s="17">
        <v>5.0925162000000004</v>
      </c>
      <c r="I211" s="17">
        <v>4.4627904000000003</v>
      </c>
      <c r="J211" s="17">
        <v>4.1082463999999996</v>
      </c>
      <c r="K211" s="17">
        <v>3.9416820000000001</v>
      </c>
      <c r="L211" s="17">
        <v>3.86137</v>
      </c>
      <c r="M211" s="17">
        <v>3.8457322999999999</v>
      </c>
    </row>
    <row r="212" spans="1:13" x14ac:dyDescent="0.25">
      <c r="A212" t="s">
        <v>217</v>
      </c>
      <c r="B212" s="2">
        <v>4.91</v>
      </c>
      <c r="C212" s="2">
        <v>4.54</v>
      </c>
      <c r="D212" s="2">
        <v>4.49</v>
      </c>
      <c r="E212" s="2">
        <v>4.8</v>
      </c>
      <c r="F212" s="2">
        <v>4.9000000000000004</v>
      </c>
      <c r="G212" s="2">
        <v>4.93</v>
      </c>
      <c r="H212" s="17">
        <v>5.1731192000000004</v>
      </c>
      <c r="I212" s="17">
        <v>4.5807117999999996</v>
      </c>
      <c r="J212" s="17">
        <v>4.1929409</v>
      </c>
      <c r="K212" s="17">
        <v>4.0088404000000004</v>
      </c>
      <c r="L212" s="17">
        <v>3.9376470000000001</v>
      </c>
      <c r="M212" s="17">
        <v>3.9440892999999999</v>
      </c>
    </row>
    <row r="213" spans="1:13" x14ac:dyDescent="0.25">
      <c r="A213" t="s">
        <v>218</v>
      </c>
      <c r="B213" s="2">
        <v>4.87</v>
      </c>
      <c r="C213" s="2">
        <v>4.55</v>
      </c>
      <c r="D213" s="2">
        <v>4.5199999999999996</v>
      </c>
      <c r="E213" s="2">
        <v>4.83</v>
      </c>
      <c r="F213" s="2">
        <v>4.91</v>
      </c>
      <c r="G213" s="2">
        <v>4.9400000000000004</v>
      </c>
      <c r="H213" s="17">
        <v>5.1588867</v>
      </c>
      <c r="I213" s="17">
        <v>4.6125303000000004</v>
      </c>
      <c r="J213" s="17">
        <v>4.2206663000000004</v>
      </c>
      <c r="K213" s="17">
        <v>4.0276719999999999</v>
      </c>
      <c r="L213" s="17">
        <v>3.9559619000000001</v>
      </c>
      <c r="M213" s="17">
        <v>3.9634024000000001</v>
      </c>
    </row>
    <row r="214" spans="1:13" x14ac:dyDescent="0.25">
      <c r="A214" t="s">
        <v>219</v>
      </c>
      <c r="B214" s="2">
        <v>5.01</v>
      </c>
      <c r="C214" s="2">
        <v>4.7</v>
      </c>
      <c r="D214" s="2">
        <v>4.66</v>
      </c>
      <c r="E214" s="2">
        <v>4.95</v>
      </c>
      <c r="F214" s="2">
        <v>5.03</v>
      </c>
      <c r="G214" s="2">
        <v>5.04</v>
      </c>
      <c r="H214" s="17">
        <v>5.2574888</v>
      </c>
      <c r="I214" s="17">
        <v>4.7276607999999998</v>
      </c>
      <c r="J214" s="17">
        <v>4.3491480999999999</v>
      </c>
      <c r="K214" s="17">
        <v>4.1936970999999996</v>
      </c>
      <c r="L214" s="17">
        <v>4.1275801000000003</v>
      </c>
      <c r="M214" s="17">
        <v>4.1164543</v>
      </c>
    </row>
    <row r="215" spans="1:13" x14ac:dyDescent="0.25">
      <c r="A215" t="s">
        <v>220</v>
      </c>
      <c r="B215" s="2">
        <v>4.99</v>
      </c>
      <c r="C215" s="2">
        <v>4.7300000000000004</v>
      </c>
      <c r="D215" s="2">
        <v>4.7</v>
      </c>
      <c r="E215" s="2">
        <v>5</v>
      </c>
      <c r="F215" s="2">
        <v>5.08</v>
      </c>
      <c r="G215" s="2">
        <v>5.0999999999999996</v>
      </c>
      <c r="H215" s="17">
        <v>5.2475610000000001</v>
      </c>
      <c r="I215" s="17">
        <v>4.7693181999999998</v>
      </c>
      <c r="J215" s="17">
        <v>4.4475724000000003</v>
      </c>
      <c r="K215" s="17">
        <v>4.2962452999999998</v>
      </c>
      <c r="L215" s="17">
        <v>4.2103910999999998</v>
      </c>
      <c r="M215" s="17">
        <v>4.1767702</v>
      </c>
    </row>
    <row r="216" spans="1:13" x14ac:dyDescent="0.25">
      <c r="A216" t="s">
        <v>221</v>
      </c>
      <c r="B216" s="2">
        <v>4.87</v>
      </c>
      <c r="C216" s="2">
        <v>4.63</v>
      </c>
      <c r="D216" s="2">
        <v>4.6500000000000004</v>
      </c>
      <c r="E216" s="2">
        <v>4.97</v>
      </c>
      <c r="F216" s="2">
        <v>5.08</v>
      </c>
      <c r="G216" s="2">
        <v>5.1100000000000003</v>
      </c>
      <c r="H216" s="17">
        <v>5.1022854000000004</v>
      </c>
      <c r="I216" s="17">
        <v>4.6547026000000002</v>
      </c>
      <c r="J216" s="17">
        <v>4.3844253999999996</v>
      </c>
      <c r="K216" s="17">
        <v>4.2311173000000002</v>
      </c>
      <c r="L216" s="17">
        <v>4.1479986999999996</v>
      </c>
      <c r="M216" s="17">
        <v>4.1262487999999999</v>
      </c>
    </row>
    <row r="217" spans="1:13" x14ac:dyDescent="0.25">
      <c r="A217" t="s">
        <v>222</v>
      </c>
      <c r="B217" s="2">
        <v>4.8099999999999996</v>
      </c>
      <c r="C217" s="2">
        <v>4.5599999999999996</v>
      </c>
      <c r="D217" s="2">
        <v>4.58</v>
      </c>
      <c r="E217" s="2">
        <v>4.91</v>
      </c>
      <c r="F217" s="2">
        <v>5.01</v>
      </c>
      <c r="G217" s="2">
        <v>5.03</v>
      </c>
      <c r="H217" s="17">
        <v>5.0796473999999998</v>
      </c>
      <c r="I217" s="17">
        <v>4.5941121000000003</v>
      </c>
      <c r="J217" s="17">
        <v>4.3145582999999998</v>
      </c>
      <c r="K217" s="17">
        <v>4.1759674999999996</v>
      </c>
      <c r="L217" s="17">
        <v>4.1103117999999998</v>
      </c>
      <c r="M217" s="17">
        <v>4.1051333999999997</v>
      </c>
    </row>
    <row r="218" spans="1:13" x14ac:dyDescent="0.25">
      <c r="A218" t="s">
        <v>223</v>
      </c>
      <c r="B218" s="2">
        <v>4.78</v>
      </c>
      <c r="C218" s="2">
        <v>4.51</v>
      </c>
      <c r="D218" s="2">
        <v>4.54</v>
      </c>
      <c r="E218" s="2">
        <v>4.8600000000000003</v>
      </c>
      <c r="F218" s="2">
        <v>4.97</v>
      </c>
      <c r="G218" s="2">
        <v>4.99</v>
      </c>
      <c r="H218" s="17">
        <v>5.0230458999999996</v>
      </c>
      <c r="I218" s="17">
        <v>4.4869563000000001</v>
      </c>
      <c r="J218" s="17">
        <v>4.1968603</v>
      </c>
      <c r="K218" s="17">
        <v>4.0775430000000004</v>
      </c>
      <c r="L218" s="17">
        <v>4.0400257999999996</v>
      </c>
      <c r="M218" s="17">
        <v>4.0591577000000001</v>
      </c>
    </row>
    <row r="219" spans="1:13" x14ac:dyDescent="0.25">
      <c r="A219" t="s">
        <v>224</v>
      </c>
      <c r="B219" s="2">
        <v>4.8600000000000003</v>
      </c>
      <c r="C219" s="2">
        <v>4.59</v>
      </c>
      <c r="D219" s="2">
        <v>4.63</v>
      </c>
      <c r="E219" s="2">
        <v>4.95</v>
      </c>
      <c r="F219" s="2">
        <v>5.05</v>
      </c>
      <c r="G219" s="2">
        <v>5.07</v>
      </c>
      <c r="H219" s="17">
        <v>5.0546315999999996</v>
      </c>
      <c r="I219" s="17">
        <v>4.5413094000000003</v>
      </c>
      <c r="J219" s="17">
        <v>4.2543395000000004</v>
      </c>
      <c r="K219" s="17">
        <v>4.1595694999999999</v>
      </c>
      <c r="L219" s="17">
        <v>4.1313620999999996</v>
      </c>
      <c r="M219" s="17">
        <v>4.1462342000000003</v>
      </c>
    </row>
    <row r="220" spans="1:13" x14ac:dyDescent="0.25">
      <c r="A220" t="s">
        <v>225</v>
      </c>
      <c r="B220" s="2">
        <v>4.8</v>
      </c>
      <c r="C220" s="2">
        <v>4.53</v>
      </c>
      <c r="D220" s="2">
        <v>4.58</v>
      </c>
      <c r="E220" s="2">
        <v>4.91</v>
      </c>
      <c r="F220" s="2">
        <v>5.0199999999999996</v>
      </c>
      <c r="G220" s="2">
        <v>5.05</v>
      </c>
      <c r="H220" s="17">
        <v>4.9832638999999999</v>
      </c>
      <c r="I220" s="17">
        <v>4.4461906999999998</v>
      </c>
      <c r="J220" s="17">
        <v>4.2096606999999997</v>
      </c>
      <c r="K220" s="17">
        <v>4.1268782000000002</v>
      </c>
      <c r="L220" s="17">
        <v>4.1013104</v>
      </c>
      <c r="M220" s="17">
        <v>4.1189726999999996</v>
      </c>
    </row>
    <row r="221" spans="1:13" x14ac:dyDescent="0.25">
      <c r="A221" t="s">
        <v>226</v>
      </c>
      <c r="B221" s="2">
        <v>4.7699999999999996</v>
      </c>
      <c r="C221" s="2">
        <v>4.49</v>
      </c>
      <c r="D221" s="2">
        <v>4.5599999999999996</v>
      </c>
      <c r="E221" s="2">
        <v>4.8899999999999997</v>
      </c>
      <c r="F221" s="2">
        <v>5.01</v>
      </c>
      <c r="G221" s="2">
        <v>5.04</v>
      </c>
      <c r="H221" s="17">
        <v>4.9415838000000001</v>
      </c>
      <c r="I221" s="17">
        <v>4.4116790000000004</v>
      </c>
      <c r="J221" s="17">
        <v>4.1762239000000001</v>
      </c>
      <c r="K221" s="17">
        <v>4.0927752999999996</v>
      </c>
      <c r="L221" s="17">
        <v>4.0765427000000001</v>
      </c>
      <c r="M221" s="17">
        <v>4.1047682999999999</v>
      </c>
    </row>
    <row r="222" spans="1:13" x14ac:dyDescent="0.25">
      <c r="A222" t="s">
        <v>227</v>
      </c>
      <c r="B222" s="2">
        <v>4.7699999999999996</v>
      </c>
      <c r="C222" s="2">
        <v>4.5</v>
      </c>
      <c r="D222" s="2">
        <v>4.5599999999999996</v>
      </c>
      <c r="E222" s="2">
        <v>4.88</v>
      </c>
      <c r="F222" s="2">
        <v>4.99</v>
      </c>
      <c r="G222" s="2">
        <v>5.03</v>
      </c>
      <c r="H222" s="17">
        <v>4.9375365000000002</v>
      </c>
      <c r="I222" s="17">
        <v>4.4188802999999997</v>
      </c>
      <c r="J222" s="17">
        <v>4.1646932000000003</v>
      </c>
      <c r="K222" s="17">
        <v>4.0722984999999996</v>
      </c>
      <c r="L222" s="17">
        <v>4.0566009000000003</v>
      </c>
      <c r="M222" s="17">
        <v>4.0926558000000002</v>
      </c>
    </row>
    <row r="223" spans="1:13" x14ac:dyDescent="0.25">
      <c r="A223" t="s">
        <v>228</v>
      </c>
      <c r="B223" s="2">
        <v>4.78</v>
      </c>
      <c r="C223" s="2">
        <v>4.47</v>
      </c>
      <c r="D223" s="2">
        <v>4.5199999999999996</v>
      </c>
      <c r="E223" s="2">
        <v>4.84</v>
      </c>
      <c r="F223" s="2">
        <v>4.95</v>
      </c>
      <c r="G223" s="2">
        <v>4.9800000000000004</v>
      </c>
      <c r="H223" s="17">
        <v>4.9410103000000003</v>
      </c>
      <c r="I223" s="17">
        <v>4.3831961000000002</v>
      </c>
      <c r="J223" s="17">
        <v>4.1247875000000001</v>
      </c>
      <c r="K223" s="17">
        <v>4.0278232999999997</v>
      </c>
      <c r="L223" s="17">
        <v>4.0099891999999997</v>
      </c>
      <c r="M223" s="17">
        <v>4.0454752999999997</v>
      </c>
    </row>
    <row r="224" spans="1:13" x14ac:dyDescent="0.25">
      <c r="A224" t="s">
        <v>229</v>
      </c>
      <c r="B224" s="2">
        <v>4.78</v>
      </c>
      <c r="C224" s="2">
        <v>4.45</v>
      </c>
      <c r="D224" s="2">
        <v>4.49</v>
      </c>
      <c r="E224" s="2">
        <v>4.8099999999999996</v>
      </c>
      <c r="F224" s="2">
        <v>4.92</v>
      </c>
      <c r="G224" s="2">
        <v>4.96</v>
      </c>
      <c r="H224" s="17">
        <v>4.9344292999999997</v>
      </c>
      <c r="I224" s="17">
        <v>4.3294997000000004</v>
      </c>
      <c r="J224" s="17">
        <v>4.0746472000000002</v>
      </c>
      <c r="K224" s="17">
        <v>3.9933386999999998</v>
      </c>
      <c r="L224" s="17">
        <v>3.9836714999999998</v>
      </c>
      <c r="M224" s="17">
        <v>4.0209821000000003</v>
      </c>
    </row>
    <row r="225" spans="1:13" x14ac:dyDescent="0.25">
      <c r="A225" t="s">
        <v>230</v>
      </c>
      <c r="B225" s="2">
        <v>4.72</v>
      </c>
      <c r="C225" s="2">
        <v>4.33</v>
      </c>
      <c r="D225" s="2">
        <v>4.37</v>
      </c>
      <c r="E225" s="2">
        <v>4.7</v>
      </c>
      <c r="F225" s="2">
        <v>4.82</v>
      </c>
      <c r="G225" s="2">
        <v>4.8600000000000003</v>
      </c>
      <c r="H225" s="17">
        <v>4.8787165000000003</v>
      </c>
      <c r="I225" s="17">
        <v>4.1962647000000004</v>
      </c>
      <c r="J225" s="17">
        <v>3.9373700999999999</v>
      </c>
      <c r="K225" s="17">
        <v>3.8629856</v>
      </c>
      <c r="L225" s="17">
        <v>3.8621259999999999</v>
      </c>
      <c r="M225" s="17">
        <v>3.9048604999999998</v>
      </c>
    </row>
    <row r="226" spans="1:13" x14ac:dyDescent="0.25">
      <c r="A226" t="s">
        <v>231</v>
      </c>
      <c r="B226" s="2">
        <v>4.67</v>
      </c>
      <c r="C226" s="2">
        <v>4.26</v>
      </c>
      <c r="D226" s="2">
        <v>4.29</v>
      </c>
      <c r="E226" s="2">
        <v>4.6100000000000003</v>
      </c>
      <c r="F226" s="2">
        <v>4.74</v>
      </c>
      <c r="G226" s="2">
        <v>4.7699999999999996</v>
      </c>
      <c r="H226" s="17">
        <v>4.8134598999999998</v>
      </c>
      <c r="I226" s="17">
        <v>4.0608447999999999</v>
      </c>
      <c r="J226" s="17">
        <v>3.8129780000000002</v>
      </c>
      <c r="K226" s="17">
        <v>3.7736255999999999</v>
      </c>
      <c r="L226" s="17">
        <v>3.7865742</v>
      </c>
      <c r="M226" s="17">
        <v>3.8301786</v>
      </c>
    </row>
    <row r="227" spans="1:13" x14ac:dyDescent="0.25">
      <c r="A227" t="s">
        <v>232</v>
      </c>
      <c r="B227" s="2">
        <v>4.7300000000000004</v>
      </c>
      <c r="C227" s="2">
        <v>4.33</v>
      </c>
      <c r="D227" s="2">
        <v>4.38</v>
      </c>
      <c r="E227" s="2">
        <v>4.7</v>
      </c>
      <c r="F227" s="2">
        <v>4.82</v>
      </c>
      <c r="G227" s="2">
        <v>4.8499999999999996</v>
      </c>
      <c r="H227" s="17">
        <v>4.7904559000000004</v>
      </c>
      <c r="I227" s="17">
        <v>4.1494149</v>
      </c>
      <c r="J227" s="17">
        <v>3.9143384000000001</v>
      </c>
      <c r="K227" s="17">
        <v>3.8549243</v>
      </c>
      <c r="L227" s="17">
        <v>3.8532666999999998</v>
      </c>
      <c r="M227" s="17">
        <v>3.8965340999999998</v>
      </c>
    </row>
    <row r="228" spans="1:13" x14ac:dyDescent="0.25">
      <c r="A228" t="s">
        <v>233</v>
      </c>
      <c r="B228" s="2">
        <v>4.6399999999999997</v>
      </c>
      <c r="C228" s="2">
        <v>4.25</v>
      </c>
      <c r="D228" s="2">
        <v>4.28</v>
      </c>
      <c r="E228" s="2">
        <v>4.5999999999999996</v>
      </c>
      <c r="F228" s="2">
        <v>4.71</v>
      </c>
      <c r="G228" s="2">
        <v>4.75</v>
      </c>
      <c r="H228" s="17">
        <v>4.7382198999999998</v>
      </c>
      <c r="I228" s="17">
        <v>4.0975029999999997</v>
      </c>
      <c r="J228" s="17">
        <v>3.8430393</v>
      </c>
      <c r="K228" s="17">
        <v>3.7562769</v>
      </c>
      <c r="L228" s="17">
        <v>3.7421747999999999</v>
      </c>
      <c r="M228" s="17">
        <v>3.7778075000000002</v>
      </c>
    </row>
    <row r="229" spans="1:13" x14ac:dyDescent="0.25">
      <c r="A229" t="s">
        <v>234</v>
      </c>
      <c r="B229" s="2">
        <v>4.63</v>
      </c>
      <c r="C229" s="2">
        <v>4.24</v>
      </c>
      <c r="D229" s="2">
        <v>4.24</v>
      </c>
      <c r="E229" s="2">
        <v>4.55</v>
      </c>
      <c r="F229" s="2">
        <v>4.6500000000000004</v>
      </c>
      <c r="G229" s="2">
        <v>4.68</v>
      </c>
      <c r="H229" s="17">
        <v>4.7627680999999997</v>
      </c>
      <c r="I229" s="17">
        <v>4.0809734999999998</v>
      </c>
      <c r="J229" s="17">
        <v>3.8125855999999998</v>
      </c>
      <c r="K229" s="17">
        <v>3.7237458000000001</v>
      </c>
      <c r="L229" s="17">
        <v>3.6947823999999998</v>
      </c>
      <c r="M229" s="17">
        <v>3.7113906000000001</v>
      </c>
    </row>
    <row r="230" spans="1:13" x14ac:dyDescent="0.25">
      <c r="A230" t="s">
        <v>235</v>
      </c>
      <c r="B230" s="2">
        <v>4.62</v>
      </c>
      <c r="C230" s="2">
        <v>4.26</v>
      </c>
      <c r="D230" s="2">
        <v>4.28</v>
      </c>
      <c r="E230" s="2">
        <v>4.5999999999999996</v>
      </c>
      <c r="F230" s="2">
        <v>4.71</v>
      </c>
      <c r="G230" s="2">
        <v>4.74</v>
      </c>
      <c r="H230" s="17">
        <v>4.7606278</v>
      </c>
      <c r="I230" s="17">
        <v>4.0750082000000001</v>
      </c>
      <c r="J230" s="17">
        <v>3.8239485000000002</v>
      </c>
      <c r="K230" s="17">
        <v>3.7554694999999998</v>
      </c>
      <c r="L230" s="17">
        <v>3.7489151000000001</v>
      </c>
      <c r="M230" s="17">
        <v>3.7811281999999999</v>
      </c>
    </row>
    <row r="231" spans="1:13" x14ac:dyDescent="0.25">
      <c r="A231" t="s">
        <v>236</v>
      </c>
      <c r="B231" s="2">
        <v>4.66</v>
      </c>
      <c r="C231" s="2">
        <v>4.33</v>
      </c>
      <c r="D231" s="2">
        <v>4.33</v>
      </c>
      <c r="E231" s="2">
        <v>4.6399999999999997</v>
      </c>
      <c r="F231" s="2">
        <v>4.74</v>
      </c>
      <c r="G231" s="2">
        <v>4.7699999999999996</v>
      </c>
      <c r="H231" s="17">
        <v>4.8030727000000004</v>
      </c>
      <c r="I231" s="17">
        <v>4.1813482000000004</v>
      </c>
      <c r="J231" s="17">
        <v>3.9254484999999999</v>
      </c>
      <c r="K231" s="17">
        <v>3.8330999000000001</v>
      </c>
      <c r="L231" s="17">
        <v>3.7987331000000002</v>
      </c>
      <c r="M231" s="17">
        <v>3.8106768999999998</v>
      </c>
    </row>
    <row r="232" spans="1:13" x14ac:dyDescent="0.25">
      <c r="A232" t="s">
        <v>237</v>
      </c>
      <c r="B232" s="2">
        <v>4.66</v>
      </c>
      <c r="C232" s="2">
        <v>4.32</v>
      </c>
      <c r="D232" s="2">
        <v>4.32</v>
      </c>
      <c r="E232" s="2">
        <v>4.63</v>
      </c>
      <c r="F232" s="2">
        <v>4.71</v>
      </c>
      <c r="G232" s="2">
        <v>4.74</v>
      </c>
      <c r="H232" s="17">
        <v>4.7892900999999997</v>
      </c>
      <c r="I232" s="17">
        <v>4.2150401000000004</v>
      </c>
      <c r="J232" s="17">
        <v>3.9392681000000001</v>
      </c>
      <c r="K232" s="17">
        <v>3.8075736</v>
      </c>
      <c r="L232" s="17">
        <v>3.7554026</v>
      </c>
      <c r="M232" s="17">
        <v>3.7679421</v>
      </c>
    </row>
    <row r="233" spans="1:13" x14ac:dyDescent="0.25">
      <c r="A233" t="s">
        <v>238</v>
      </c>
      <c r="B233" s="2">
        <v>4.5599999999999996</v>
      </c>
      <c r="C233" s="2">
        <v>4.18</v>
      </c>
      <c r="D233" s="2">
        <v>4.16</v>
      </c>
      <c r="E233" s="2">
        <v>4.46</v>
      </c>
      <c r="F233" s="2">
        <v>4.55</v>
      </c>
      <c r="G233" s="2">
        <v>4.58</v>
      </c>
      <c r="H233" s="17">
        <v>4.6610369</v>
      </c>
      <c r="I233" s="17">
        <v>4.0232048000000002</v>
      </c>
      <c r="J233" s="17">
        <v>3.7622477999999999</v>
      </c>
      <c r="K233" s="17">
        <v>3.6493193000000002</v>
      </c>
      <c r="L233" s="17">
        <v>3.607351</v>
      </c>
      <c r="M233" s="17">
        <v>3.6236288999999999</v>
      </c>
    </row>
    <row r="234" spans="1:13" x14ac:dyDescent="0.25">
      <c r="A234" t="s">
        <v>239</v>
      </c>
      <c r="B234" s="2">
        <v>4.6100000000000003</v>
      </c>
      <c r="C234" s="2">
        <v>4.2300000000000004</v>
      </c>
      <c r="D234" s="2">
        <v>4.2300000000000004</v>
      </c>
      <c r="E234" s="2">
        <v>4.54</v>
      </c>
      <c r="F234" s="2">
        <v>4.62</v>
      </c>
      <c r="G234" s="2">
        <v>4.6500000000000004</v>
      </c>
      <c r="H234" s="17">
        <v>4.6868654000000003</v>
      </c>
      <c r="I234" s="17">
        <v>4.0777538</v>
      </c>
      <c r="J234" s="17">
        <v>3.8153915999999999</v>
      </c>
      <c r="K234" s="17">
        <v>3.7238687000000001</v>
      </c>
      <c r="L234" s="17">
        <v>3.6966511</v>
      </c>
      <c r="M234" s="17">
        <v>3.7154303999999998</v>
      </c>
    </row>
    <row r="235" spans="1:13" x14ac:dyDescent="0.25">
      <c r="A235" t="s">
        <v>240</v>
      </c>
      <c r="B235" s="2">
        <v>4.5199999999999996</v>
      </c>
      <c r="C235" s="2">
        <v>4.13</v>
      </c>
      <c r="D235" s="2">
        <v>4.13</v>
      </c>
      <c r="E235" s="2">
        <v>4.45</v>
      </c>
      <c r="F235" s="2">
        <v>4.55</v>
      </c>
      <c r="G235" s="2">
        <v>4.57</v>
      </c>
      <c r="H235" s="17">
        <v>4.6295425999999997</v>
      </c>
      <c r="I235" s="17">
        <v>3.9434524</v>
      </c>
      <c r="J235" s="17">
        <v>3.7024298999999998</v>
      </c>
      <c r="K235" s="17">
        <v>3.6204767000000002</v>
      </c>
      <c r="L235" s="17">
        <v>3.5960169999999998</v>
      </c>
      <c r="M235" s="17">
        <v>3.6170553999999999</v>
      </c>
    </row>
    <row r="236" spans="1:13" x14ac:dyDescent="0.25">
      <c r="A236" t="s">
        <v>241</v>
      </c>
      <c r="B236" s="2">
        <v>4.5199999999999996</v>
      </c>
      <c r="C236" s="2">
        <v>4.1100000000000003</v>
      </c>
      <c r="D236" s="2">
        <v>4.0999999999999996</v>
      </c>
      <c r="E236" s="2">
        <v>4.42</v>
      </c>
      <c r="F236" s="2">
        <v>4.51</v>
      </c>
      <c r="G236" s="2">
        <v>4.53</v>
      </c>
      <c r="H236" s="17">
        <v>4.6214515</v>
      </c>
      <c r="I236" s="17">
        <v>3.9487133000000001</v>
      </c>
      <c r="J236" s="17">
        <v>3.6692569000000002</v>
      </c>
      <c r="K236" s="17">
        <v>3.5596858999999998</v>
      </c>
      <c r="L236" s="17">
        <v>3.5308948999999998</v>
      </c>
      <c r="M236" s="17">
        <v>3.5569823999999999</v>
      </c>
    </row>
    <row r="237" spans="1:13" x14ac:dyDescent="0.25">
      <c r="A237" t="s">
        <v>242</v>
      </c>
      <c r="B237" s="2">
        <v>4.53</v>
      </c>
      <c r="C237" s="2">
        <v>4.13</v>
      </c>
      <c r="D237" s="2">
        <v>4.13</v>
      </c>
      <c r="E237" s="2">
        <v>4.45</v>
      </c>
      <c r="F237" s="2">
        <v>4.54</v>
      </c>
      <c r="G237" s="2">
        <v>4.5599999999999996</v>
      </c>
      <c r="H237" s="17">
        <v>4.6355421000000003</v>
      </c>
      <c r="I237" s="17">
        <v>4.0055396999999999</v>
      </c>
      <c r="J237" s="17">
        <v>3.7201555000000002</v>
      </c>
      <c r="K237" s="17">
        <v>3.5958087999999999</v>
      </c>
      <c r="L237" s="17">
        <v>3.5574207000000002</v>
      </c>
      <c r="M237" s="17">
        <v>3.5863499999999999</v>
      </c>
    </row>
    <row r="238" spans="1:13" x14ac:dyDescent="0.25">
      <c r="A238" t="s">
        <v>243</v>
      </c>
      <c r="B238" s="2">
        <v>4.58</v>
      </c>
      <c r="C238" s="2">
        <v>4.16</v>
      </c>
      <c r="D238" s="2">
        <v>4.1399999999999997</v>
      </c>
      <c r="E238" s="2">
        <v>4.45</v>
      </c>
      <c r="F238" s="2">
        <v>4.55</v>
      </c>
      <c r="G238" s="2">
        <v>4.57</v>
      </c>
      <c r="H238" s="17">
        <v>4.6635508000000003</v>
      </c>
      <c r="I238" s="17">
        <v>4.0347502000000004</v>
      </c>
      <c r="J238" s="17">
        <v>3.7422851000000001</v>
      </c>
      <c r="K238" s="17">
        <v>3.5989591999999999</v>
      </c>
      <c r="L238" s="17">
        <v>3.5508209000000002</v>
      </c>
      <c r="M238" s="17">
        <v>3.5737681000000001</v>
      </c>
    </row>
    <row r="239" spans="1:13" x14ac:dyDescent="0.25">
      <c r="A239" t="s">
        <v>244</v>
      </c>
      <c r="B239" s="2">
        <v>4.6100000000000003</v>
      </c>
      <c r="C239" s="2">
        <v>4.21</v>
      </c>
      <c r="D239" s="2">
        <v>4.17</v>
      </c>
      <c r="E239" s="2">
        <v>4.49</v>
      </c>
      <c r="F239" s="2">
        <v>4.6100000000000003</v>
      </c>
      <c r="G239" s="2">
        <v>4.6399999999999997</v>
      </c>
      <c r="H239" s="17">
        <v>4.7581251</v>
      </c>
      <c r="I239" s="17">
        <v>4.0863763000000004</v>
      </c>
      <c r="J239" s="17">
        <v>3.7753852999999999</v>
      </c>
      <c r="K239" s="17">
        <v>3.6482522999999998</v>
      </c>
      <c r="L239" s="17">
        <v>3.5991572000000001</v>
      </c>
      <c r="M239" s="17">
        <v>3.6097462</v>
      </c>
    </row>
    <row r="240" spans="1:13" x14ac:dyDescent="0.25">
      <c r="A240" t="s">
        <v>245</v>
      </c>
      <c r="B240" s="2">
        <v>4.7</v>
      </c>
      <c r="C240" s="2">
        <v>4.3</v>
      </c>
      <c r="D240" s="2">
        <v>4.25</v>
      </c>
      <c r="E240" s="2">
        <v>4.5599999999999996</v>
      </c>
      <c r="F240" s="2">
        <v>4.6900000000000004</v>
      </c>
      <c r="G240" s="2">
        <v>4.71</v>
      </c>
      <c r="H240" s="17">
        <v>4.8256671000000004</v>
      </c>
      <c r="I240" s="17">
        <v>4.1764032000000002</v>
      </c>
      <c r="J240" s="17">
        <v>3.8702478999999999</v>
      </c>
      <c r="K240" s="17">
        <v>3.7275372999999998</v>
      </c>
      <c r="L240" s="17">
        <v>3.6706406999999999</v>
      </c>
      <c r="M240" s="17">
        <v>3.6754522999999999</v>
      </c>
    </row>
    <row r="241" spans="1:13" x14ac:dyDescent="0.25">
      <c r="A241" t="s">
        <v>246</v>
      </c>
      <c r="B241" s="2">
        <v>4.7</v>
      </c>
      <c r="C241" s="2">
        <v>4.32</v>
      </c>
      <c r="D241" s="2">
        <v>4.28</v>
      </c>
      <c r="E241" s="2">
        <v>4.59</v>
      </c>
      <c r="F241" s="2">
        <v>4.71</v>
      </c>
      <c r="G241" s="2">
        <v>4.74</v>
      </c>
      <c r="H241" s="17">
        <v>4.8564534000000004</v>
      </c>
      <c r="I241" s="17">
        <v>4.2047670000000004</v>
      </c>
      <c r="J241" s="17">
        <v>3.8877359999999999</v>
      </c>
      <c r="K241" s="17">
        <v>3.7503625999999999</v>
      </c>
      <c r="L241" s="17">
        <v>3.6936553000000001</v>
      </c>
      <c r="M241" s="17">
        <v>3.6944007999999999</v>
      </c>
    </row>
    <row r="242" spans="1:13" x14ac:dyDescent="0.25">
      <c r="A242" t="s">
        <v>247</v>
      </c>
      <c r="B242" s="2">
        <v>4.63</v>
      </c>
      <c r="C242" s="2">
        <v>4.24</v>
      </c>
      <c r="D242" s="2">
        <v>4.21</v>
      </c>
      <c r="E242" s="2">
        <v>4.5199999999999996</v>
      </c>
      <c r="F242" s="2">
        <v>4.63</v>
      </c>
      <c r="G242" s="2">
        <v>4.66</v>
      </c>
      <c r="H242" s="17">
        <v>4.7574465999999997</v>
      </c>
      <c r="I242" s="17">
        <v>4.1151628999999996</v>
      </c>
      <c r="J242" s="17">
        <v>3.8145194</v>
      </c>
      <c r="K242" s="17">
        <v>3.6668333</v>
      </c>
      <c r="L242" s="17">
        <v>3.6063963000000001</v>
      </c>
      <c r="M242" s="17">
        <v>3.6173223000000001</v>
      </c>
    </row>
    <row r="243" spans="1:13" x14ac:dyDescent="0.25">
      <c r="A243" t="s">
        <v>248</v>
      </c>
      <c r="B243" s="2">
        <v>4.62</v>
      </c>
      <c r="C243" s="2">
        <v>4.22</v>
      </c>
      <c r="D243" s="2">
        <v>4.18</v>
      </c>
      <c r="E243" s="2">
        <v>4.5</v>
      </c>
      <c r="F243" s="2">
        <v>4.62</v>
      </c>
      <c r="G243" s="2">
        <v>4.6500000000000004</v>
      </c>
      <c r="H243" s="17">
        <v>4.6965782999999997</v>
      </c>
      <c r="I243" s="17">
        <v>4.0415868000000001</v>
      </c>
      <c r="J243" s="17">
        <v>3.7591389999999998</v>
      </c>
      <c r="K243" s="17">
        <v>3.6305347000000001</v>
      </c>
      <c r="L243" s="17">
        <v>3.5875400000000002</v>
      </c>
      <c r="M243" s="17">
        <v>3.6101101999999998</v>
      </c>
    </row>
    <row r="244" spans="1:13" x14ac:dyDescent="0.25">
      <c r="A244" t="s">
        <v>249</v>
      </c>
      <c r="B244" s="2">
        <v>4.54</v>
      </c>
      <c r="C244" s="2">
        <v>4.0999999999999996</v>
      </c>
      <c r="D244" s="2">
        <v>4.09</v>
      </c>
      <c r="E244" s="2">
        <v>4.42</v>
      </c>
      <c r="F244" s="2">
        <v>4.55</v>
      </c>
      <c r="G244" s="2">
        <v>4.59</v>
      </c>
      <c r="H244" s="17">
        <v>4.6234111000000002</v>
      </c>
      <c r="I244" s="17">
        <v>3.9132506</v>
      </c>
      <c r="J244" s="17">
        <v>3.6200722999999999</v>
      </c>
      <c r="K244" s="17">
        <v>3.5074822999999999</v>
      </c>
      <c r="L244" s="17">
        <v>3.4810922999999998</v>
      </c>
      <c r="M244" s="17">
        <v>3.5150087000000001</v>
      </c>
    </row>
    <row r="245" spans="1:13" x14ac:dyDescent="0.25">
      <c r="A245" t="s">
        <v>250</v>
      </c>
      <c r="B245" s="2">
        <v>4.63</v>
      </c>
      <c r="C245" s="2">
        <v>4.22</v>
      </c>
      <c r="D245" s="2">
        <v>4.22</v>
      </c>
      <c r="E245" s="2">
        <v>4.55</v>
      </c>
      <c r="F245" s="2">
        <v>4.68</v>
      </c>
      <c r="G245" s="2">
        <v>4.74</v>
      </c>
      <c r="H245" s="17">
        <v>4.7052079999999998</v>
      </c>
      <c r="I245" s="17">
        <v>3.9961864999999999</v>
      </c>
      <c r="J245" s="17">
        <v>3.7336412999999999</v>
      </c>
      <c r="K245" s="17">
        <v>3.6603845000000002</v>
      </c>
      <c r="L245" s="17">
        <v>3.6469657</v>
      </c>
      <c r="M245" s="17">
        <v>3.6797137000000002</v>
      </c>
    </row>
    <row r="246" spans="1:13" x14ac:dyDescent="0.25">
      <c r="A246" t="s">
        <v>251</v>
      </c>
      <c r="B246" s="2">
        <v>4.51</v>
      </c>
      <c r="C246" s="2">
        <v>4.0999999999999996</v>
      </c>
      <c r="D246" s="2">
        <v>4.1399999999999997</v>
      </c>
      <c r="E246" s="2">
        <v>4.47</v>
      </c>
      <c r="F246" s="2">
        <v>4.6100000000000003</v>
      </c>
      <c r="G246" s="2">
        <v>4.67</v>
      </c>
      <c r="H246" s="17">
        <v>4.5714785999999998</v>
      </c>
      <c r="I246" s="17">
        <v>3.8942021000000002</v>
      </c>
      <c r="J246" s="17">
        <v>3.651322</v>
      </c>
      <c r="K246" s="17">
        <v>3.5729663</v>
      </c>
      <c r="L246" s="17">
        <v>3.5576428</v>
      </c>
      <c r="M246" s="17">
        <v>3.5918022999999999</v>
      </c>
    </row>
    <row r="247" spans="1:13" x14ac:dyDescent="0.25">
      <c r="A247" t="s">
        <v>252</v>
      </c>
      <c r="B247" s="2">
        <v>4.59</v>
      </c>
      <c r="C247" s="2">
        <v>4.18</v>
      </c>
      <c r="D247" s="2">
        <v>4.1900000000000004</v>
      </c>
      <c r="E247" s="2">
        <v>4.53</v>
      </c>
      <c r="F247" s="2">
        <v>4.66</v>
      </c>
      <c r="G247" s="2">
        <v>4.72</v>
      </c>
      <c r="H247" s="17">
        <v>4.6486014000000004</v>
      </c>
      <c r="I247" s="17">
        <v>4.0336211000000004</v>
      </c>
      <c r="J247" s="17">
        <v>3.7391600999999999</v>
      </c>
      <c r="K247" s="17">
        <v>3.6194731999999998</v>
      </c>
      <c r="L247" s="17">
        <v>3.5979844000000001</v>
      </c>
      <c r="M247" s="17">
        <v>3.6424946999999999</v>
      </c>
    </row>
    <row r="248" spans="1:13" x14ac:dyDescent="0.25">
      <c r="A248" t="s">
        <v>253</v>
      </c>
      <c r="B248" s="2">
        <v>4.49</v>
      </c>
      <c r="C248" s="2">
        <v>4.0599999999999996</v>
      </c>
      <c r="D248" s="2">
        <v>4.03</v>
      </c>
      <c r="E248" s="2">
        <v>4.37</v>
      </c>
      <c r="F248" s="2">
        <v>4.51</v>
      </c>
      <c r="G248" s="2">
        <v>4.57</v>
      </c>
      <c r="H248" s="17">
        <v>4.5273738000000003</v>
      </c>
      <c r="I248" s="17">
        <v>3.8903818000000001</v>
      </c>
      <c r="J248" s="17">
        <v>3.5870894999999998</v>
      </c>
      <c r="K248" s="17">
        <v>3.4609629000000002</v>
      </c>
      <c r="L248" s="17">
        <v>3.432194</v>
      </c>
      <c r="M248" s="17">
        <v>3.4684045999999999</v>
      </c>
    </row>
    <row r="249" spans="1:13" x14ac:dyDescent="0.25">
      <c r="A249" t="s">
        <v>254</v>
      </c>
      <c r="B249" s="2">
        <v>4.47</v>
      </c>
      <c r="C249" s="2">
        <v>4.01</v>
      </c>
      <c r="D249" s="2">
        <v>3.95</v>
      </c>
      <c r="E249" s="2">
        <v>4.28</v>
      </c>
      <c r="F249" s="2">
        <v>4.41</v>
      </c>
      <c r="G249" s="2">
        <v>4.45</v>
      </c>
      <c r="H249" s="17">
        <v>4.5070663</v>
      </c>
      <c r="I249" s="17">
        <v>3.8066428999999999</v>
      </c>
      <c r="J249" s="17">
        <v>3.5150606</v>
      </c>
      <c r="K249" s="17">
        <v>3.4001136000000001</v>
      </c>
      <c r="L249" s="17">
        <v>3.3640780000000001</v>
      </c>
      <c r="M249" s="17">
        <v>3.3840705999999998</v>
      </c>
    </row>
    <row r="250" spans="1:13" x14ac:dyDescent="0.25">
      <c r="A250" t="s">
        <v>298</v>
      </c>
      <c r="B250" s="2">
        <v>4.5</v>
      </c>
      <c r="C250" s="2">
        <v>4.0199999999999996</v>
      </c>
      <c r="D250" s="2">
        <v>3.97</v>
      </c>
      <c r="E250" s="2">
        <v>4.29</v>
      </c>
      <c r="F250" s="2">
        <v>4.41</v>
      </c>
      <c r="G250" s="2">
        <v>4.46</v>
      </c>
      <c r="H250" s="17">
        <v>4.5123918999999999</v>
      </c>
      <c r="I250" s="17">
        <v>3.7815759</v>
      </c>
      <c r="J250" s="17">
        <v>3.5194177999999998</v>
      </c>
      <c r="K250" s="17">
        <v>3.4251737000000002</v>
      </c>
      <c r="L250" s="17">
        <v>3.3862136999999999</v>
      </c>
      <c r="M250" s="17">
        <v>3.3976259</v>
      </c>
    </row>
    <row r="251" spans="1:13" x14ac:dyDescent="0.25">
      <c r="A251" t="s">
        <v>299</v>
      </c>
      <c r="B251" s="2">
        <v>4.57</v>
      </c>
      <c r="C251" s="2">
        <v>4.09</v>
      </c>
      <c r="D251" s="2">
        <v>4.0199999999999996</v>
      </c>
      <c r="E251" s="2">
        <v>4.3600000000000003</v>
      </c>
      <c r="F251" s="2">
        <v>4.47</v>
      </c>
      <c r="G251" s="2">
        <v>4.5199999999999996</v>
      </c>
      <c r="H251" s="17">
        <v>4.5281437999999996</v>
      </c>
      <c r="I251" s="17">
        <v>3.8656437000000001</v>
      </c>
      <c r="J251" s="17">
        <v>3.5981367</v>
      </c>
      <c r="K251" s="17">
        <v>3.4776530999999999</v>
      </c>
      <c r="L251" s="17">
        <v>3.4315427999999999</v>
      </c>
      <c r="M251" s="17">
        <v>3.4466462</v>
      </c>
    </row>
    <row r="252" spans="1:13" x14ac:dyDescent="0.25">
      <c r="A252" t="s">
        <v>300</v>
      </c>
      <c r="B252" s="2">
        <v>4.5999999999999996</v>
      </c>
      <c r="C252" s="2">
        <v>4.1399999999999997</v>
      </c>
      <c r="D252" s="2">
        <v>4.08</v>
      </c>
      <c r="E252" s="2">
        <v>4.4000000000000004</v>
      </c>
      <c r="F252" s="2">
        <v>4.5199999999999996</v>
      </c>
      <c r="G252" s="2">
        <v>4.55</v>
      </c>
      <c r="H252" s="17">
        <v>4.5877283999999996</v>
      </c>
      <c r="I252" s="17">
        <v>3.938177</v>
      </c>
      <c r="J252" s="17">
        <v>3.6488117999999998</v>
      </c>
      <c r="K252" s="17">
        <v>3.5227553</v>
      </c>
      <c r="L252" s="17">
        <v>3.4820025000000001</v>
      </c>
      <c r="M252" s="17">
        <v>3.5073484000000001</v>
      </c>
    </row>
    <row r="253" spans="1:13" x14ac:dyDescent="0.25">
      <c r="A253" t="s">
        <v>301</v>
      </c>
      <c r="B253" s="2">
        <v>4.51</v>
      </c>
      <c r="C253" s="2">
        <v>4.07</v>
      </c>
      <c r="D253" s="2">
        <v>3.99</v>
      </c>
      <c r="E253" s="2">
        <v>4.3099999999999996</v>
      </c>
      <c r="F253" s="2">
        <v>4.45</v>
      </c>
      <c r="G253" s="2">
        <v>4.49</v>
      </c>
      <c r="H253" s="17">
        <v>4.4446076999999997</v>
      </c>
      <c r="I253" s="17">
        <v>3.7875467</v>
      </c>
      <c r="J253" s="17">
        <v>3.5385738</v>
      </c>
      <c r="K253" s="17">
        <v>3.4360852</v>
      </c>
      <c r="L253" s="17">
        <v>3.4066283999999998</v>
      </c>
      <c r="M253" s="17">
        <v>3.4346599000000002</v>
      </c>
    </row>
    <row r="254" spans="1:13" x14ac:dyDescent="0.25">
      <c r="A254" t="s">
        <v>302</v>
      </c>
      <c r="B254" s="2">
        <v>4.3600000000000003</v>
      </c>
      <c r="C254" s="2">
        <v>3.88</v>
      </c>
      <c r="D254" s="2">
        <v>3.83</v>
      </c>
      <c r="E254" s="2">
        <v>4.1500000000000004</v>
      </c>
      <c r="F254" s="2">
        <v>4.28</v>
      </c>
      <c r="G254" s="2">
        <v>4.33</v>
      </c>
      <c r="H254" s="17">
        <v>4.3120944000000003</v>
      </c>
      <c r="I254" s="17">
        <v>3.6098905000000001</v>
      </c>
      <c r="J254" s="17">
        <v>3.3397242</v>
      </c>
      <c r="K254" s="17">
        <v>3.2442962999999998</v>
      </c>
      <c r="L254" s="17">
        <v>3.2263104999999999</v>
      </c>
      <c r="M254" s="17">
        <v>3.2601711999999998</v>
      </c>
    </row>
    <row r="255" spans="1:13" x14ac:dyDescent="0.25">
      <c r="A255" t="s">
        <v>303</v>
      </c>
      <c r="B255" s="2">
        <v>4.34</v>
      </c>
      <c r="C255" s="2">
        <v>3.81</v>
      </c>
      <c r="D255" s="2">
        <v>3.79</v>
      </c>
      <c r="E255" s="2">
        <v>4.12</v>
      </c>
      <c r="F255" s="2">
        <v>4.25</v>
      </c>
      <c r="G255" s="2">
        <v>4.29</v>
      </c>
      <c r="H255" s="17">
        <v>4.2421042</v>
      </c>
      <c r="I255" s="17">
        <v>3.4801103000000002</v>
      </c>
      <c r="J255" s="17">
        <v>3.2544976000000001</v>
      </c>
      <c r="K255" s="17">
        <v>3.1941248999999998</v>
      </c>
      <c r="L255" s="17">
        <v>3.1952923000000002</v>
      </c>
      <c r="M255" s="17">
        <v>3.2438356000000002</v>
      </c>
    </row>
    <row r="256" spans="1:13" x14ac:dyDescent="0.25">
      <c r="A256" t="s">
        <v>304</v>
      </c>
      <c r="B256" s="2">
        <v>4.29</v>
      </c>
      <c r="C256" s="2">
        <v>3.74</v>
      </c>
      <c r="D256" s="2">
        <v>3.7</v>
      </c>
      <c r="E256" s="2">
        <v>4.0199999999999996</v>
      </c>
      <c r="F256" s="2">
        <v>4.13</v>
      </c>
      <c r="G256" s="2">
        <v>4.17</v>
      </c>
      <c r="H256" s="17">
        <v>4.1672197000000004</v>
      </c>
      <c r="I256" s="17">
        <v>3.4072117999999998</v>
      </c>
      <c r="J256" s="17">
        <v>3.1745977999999999</v>
      </c>
      <c r="K256" s="17">
        <v>3.0847715</v>
      </c>
      <c r="L256" s="17">
        <v>3.0729931000000001</v>
      </c>
      <c r="M256" s="17">
        <v>3.1170843000000001</v>
      </c>
    </row>
    <row r="257" spans="1:13" x14ac:dyDescent="0.25">
      <c r="A257" t="s">
        <v>305</v>
      </c>
      <c r="B257" s="2">
        <v>4.33</v>
      </c>
      <c r="C257" s="2">
        <v>3.76</v>
      </c>
      <c r="D257" s="2">
        <v>3.71</v>
      </c>
      <c r="E257" s="2">
        <v>4.03</v>
      </c>
      <c r="F257" s="2">
        <v>4.16</v>
      </c>
      <c r="G257" s="2">
        <v>4.18</v>
      </c>
      <c r="H257" s="17">
        <v>4.1843611000000003</v>
      </c>
      <c r="I257" s="17">
        <v>3.3946979000000002</v>
      </c>
      <c r="J257" s="17">
        <v>3.1467887000000001</v>
      </c>
      <c r="K257" s="17">
        <v>3.0714947000000001</v>
      </c>
      <c r="L257" s="17">
        <v>3.0630828000000001</v>
      </c>
      <c r="M257" s="17">
        <v>3.1081718999999999</v>
      </c>
    </row>
    <row r="258" spans="1:13" x14ac:dyDescent="0.25">
      <c r="A258" t="s">
        <v>306</v>
      </c>
      <c r="B258" s="2">
        <v>4.3099999999999996</v>
      </c>
      <c r="C258" s="2">
        <v>3.7</v>
      </c>
      <c r="D258" s="2">
        <v>3.68</v>
      </c>
      <c r="E258" s="2">
        <v>4</v>
      </c>
      <c r="F258" s="2">
        <v>4.1399999999999997</v>
      </c>
      <c r="G258" s="2">
        <v>4.17</v>
      </c>
      <c r="H258" s="17">
        <v>4.1088531000000001</v>
      </c>
      <c r="I258" s="17">
        <v>3.3259281999999999</v>
      </c>
      <c r="J258" s="17">
        <v>3.0741554999999998</v>
      </c>
      <c r="K258" s="17">
        <v>2.9896851</v>
      </c>
      <c r="L258" s="17">
        <v>2.9967706999999999</v>
      </c>
      <c r="M258" s="17">
        <v>3.0597460999999999</v>
      </c>
    </row>
    <row r="259" spans="1:13" x14ac:dyDescent="0.25">
      <c r="A259" t="s">
        <v>307</v>
      </c>
      <c r="B259" s="2">
        <v>4.09</v>
      </c>
      <c r="C259" s="2">
        <v>3.5</v>
      </c>
      <c r="D259" s="2">
        <v>3.52</v>
      </c>
      <c r="E259" s="2">
        <v>3.86</v>
      </c>
      <c r="F259" s="2">
        <v>4.01</v>
      </c>
      <c r="G259" s="2">
        <v>4.0599999999999996</v>
      </c>
      <c r="H259" s="17">
        <v>3.9085144000000001</v>
      </c>
      <c r="I259" s="17">
        <v>3.1292886000000002</v>
      </c>
      <c r="J259" s="17">
        <v>2.9030300000000002</v>
      </c>
      <c r="K259" s="17">
        <v>2.8575900999999999</v>
      </c>
      <c r="L259" s="17">
        <v>2.8805073000000001</v>
      </c>
      <c r="M259" s="17">
        <v>2.9484119999999998</v>
      </c>
    </row>
    <row r="260" spans="1:13" x14ac:dyDescent="0.25">
      <c r="A260" t="s">
        <v>308</v>
      </c>
      <c r="B260" s="2">
        <v>4.07</v>
      </c>
      <c r="C260" s="2">
        <v>3.5</v>
      </c>
      <c r="D260" s="2">
        <v>3.54</v>
      </c>
      <c r="E260" s="2">
        <v>3.88</v>
      </c>
      <c r="F260" s="2">
        <v>4.05</v>
      </c>
      <c r="G260" s="2">
        <v>4.0999999999999996</v>
      </c>
      <c r="H260" s="17">
        <v>3.9011111999999999</v>
      </c>
      <c r="I260" s="17">
        <v>3.0500425999999998</v>
      </c>
      <c r="J260" s="17">
        <v>2.8929071999999998</v>
      </c>
      <c r="K260" s="17">
        <v>2.8807214000000001</v>
      </c>
      <c r="L260" s="17">
        <v>2.9047201999999999</v>
      </c>
      <c r="M260" s="17">
        <v>2.9699466999999999</v>
      </c>
    </row>
    <row r="261" spans="1:13" x14ac:dyDescent="0.25">
      <c r="A261" t="s">
        <v>309</v>
      </c>
      <c r="B261" s="2">
        <v>4.03</v>
      </c>
      <c r="C261" s="2">
        <v>3.46</v>
      </c>
      <c r="D261" s="2">
        <v>3.51</v>
      </c>
      <c r="E261" s="2">
        <v>3.86</v>
      </c>
      <c r="F261" s="2">
        <v>4.0199999999999996</v>
      </c>
      <c r="G261" s="2">
        <v>4.07</v>
      </c>
      <c r="H261" s="17">
        <v>3.8305880999999999</v>
      </c>
      <c r="I261" s="17">
        <v>3.0408284000000001</v>
      </c>
      <c r="J261" s="17">
        <v>2.8657268</v>
      </c>
      <c r="K261" s="17">
        <v>2.8184912</v>
      </c>
      <c r="L261" s="17">
        <v>2.8310146</v>
      </c>
      <c r="M261" s="17">
        <v>2.9072496000000001</v>
      </c>
    </row>
    <row r="262" spans="1:13" x14ac:dyDescent="0.25">
      <c r="A262" t="s">
        <v>310</v>
      </c>
      <c r="B262" s="2" t="e">
        <v>#N/A</v>
      </c>
      <c r="C262" s="2" t="e">
        <v>#N/A</v>
      </c>
      <c r="D262" s="2">
        <v>3.5</v>
      </c>
      <c r="E262" s="2">
        <v>3.85</v>
      </c>
      <c r="F262" s="2">
        <v>4.01</v>
      </c>
      <c r="G262" s="2">
        <v>4.07</v>
      </c>
      <c r="H262" s="17" t="e">
        <v>#N/A</v>
      </c>
      <c r="I262" s="17" t="e">
        <v>#N/A</v>
      </c>
      <c r="J262" s="17" t="e">
        <v>#N/A</v>
      </c>
      <c r="K262" s="17" t="e">
        <v>#N/A</v>
      </c>
      <c r="L262" s="17" t="e">
        <v>#N/A</v>
      </c>
      <c r="M262" s="17" t="e">
        <v>#N/A</v>
      </c>
    </row>
    <row r="263" spans="1:13" x14ac:dyDescent="0.25">
      <c r="A263" t="s">
        <v>311</v>
      </c>
      <c r="B263" s="2" t="e">
        <v>#N/A</v>
      </c>
      <c r="C263" s="2" t="e">
        <v>#N/A</v>
      </c>
      <c r="D263" s="2" t="e">
        <v>#N/A</v>
      </c>
      <c r="E263" s="2" t="e">
        <v>#N/A</v>
      </c>
      <c r="F263" s="2" t="e">
        <v>#N/A</v>
      </c>
      <c r="G263" s="2" t="e">
        <v>#N/A</v>
      </c>
      <c r="H263" s="17" t="e">
        <v>#N/A</v>
      </c>
      <c r="I263" s="17" t="e">
        <v>#N/A</v>
      </c>
      <c r="J263" s="17" t="e">
        <v>#N/A</v>
      </c>
      <c r="K263" s="17" t="e">
        <v>#N/A</v>
      </c>
      <c r="L263" s="17" t="e">
        <v>#N/A</v>
      </c>
      <c r="M263" s="17" t="e">
        <v>#N/A</v>
      </c>
    </row>
    <row r="264" spans="1:13" x14ac:dyDescent="0.25">
      <c r="A264" t="s">
        <v>312</v>
      </c>
      <c r="B264" s="2">
        <v>3.98</v>
      </c>
      <c r="C264" s="2">
        <v>3.4</v>
      </c>
      <c r="D264" s="2">
        <v>3.45</v>
      </c>
      <c r="E264" s="2">
        <v>3.78</v>
      </c>
      <c r="F264" s="2">
        <v>3.97</v>
      </c>
      <c r="G264" s="2">
        <v>4.03</v>
      </c>
      <c r="H264" s="17">
        <v>3.7896519999999998</v>
      </c>
      <c r="I264" s="17">
        <v>2.9998963999999999</v>
      </c>
      <c r="J264" s="17">
        <v>2.7642487</v>
      </c>
      <c r="K264" s="17">
        <v>2.7172193</v>
      </c>
      <c r="L264" s="17">
        <v>2.7553030000000001</v>
      </c>
      <c r="M264" s="17">
        <v>2.8427077999999999</v>
      </c>
    </row>
    <row r="265" spans="1:13" x14ac:dyDescent="0.25">
      <c r="A265" t="s">
        <v>313</v>
      </c>
      <c r="B265" s="2">
        <v>4</v>
      </c>
      <c r="C265" s="2">
        <v>3.45</v>
      </c>
      <c r="D265" s="2">
        <v>3.5</v>
      </c>
      <c r="E265" s="2">
        <v>3.87</v>
      </c>
      <c r="F265" s="2">
        <v>4.05</v>
      </c>
      <c r="G265" s="2">
        <v>4.13</v>
      </c>
      <c r="H265" s="17">
        <v>3.7600845000000001</v>
      </c>
      <c r="I265" s="17">
        <v>3.0043413000000001</v>
      </c>
      <c r="J265" s="17">
        <v>2.8192727</v>
      </c>
      <c r="K265" s="17">
        <v>2.7968103000000002</v>
      </c>
      <c r="L265" s="17">
        <v>2.8361326</v>
      </c>
      <c r="M265" s="17">
        <v>2.9188304999999999</v>
      </c>
    </row>
    <row r="266" spans="1:13" x14ac:dyDescent="0.25">
      <c r="A266" t="s">
        <v>314</v>
      </c>
      <c r="B266" s="2">
        <v>3.98</v>
      </c>
      <c r="C266" s="2">
        <v>3.46</v>
      </c>
      <c r="D266" s="2">
        <v>3.54</v>
      </c>
      <c r="E266" s="2">
        <v>3.92</v>
      </c>
      <c r="F266" s="2">
        <v>4.09</v>
      </c>
      <c r="G266" s="2">
        <v>4.1399999999999997</v>
      </c>
      <c r="H266" s="17">
        <v>3.7439483999999998</v>
      </c>
      <c r="I266" s="17">
        <v>3.0335242999999998</v>
      </c>
      <c r="J266" s="17">
        <v>2.8890318000000001</v>
      </c>
      <c r="K266" s="17">
        <v>2.8459767999999999</v>
      </c>
      <c r="L266" s="17">
        <v>2.8717766999999998</v>
      </c>
      <c r="M266" s="17">
        <v>2.9648184</v>
      </c>
    </row>
    <row r="267" spans="1:13" x14ac:dyDescent="0.25">
      <c r="A267" t="s">
        <v>315</v>
      </c>
      <c r="B267" s="2" t="e">
        <v>#N/A</v>
      </c>
      <c r="C267" s="2">
        <v>3.46</v>
      </c>
      <c r="D267" s="2" t="e">
        <v>#N/A</v>
      </c>
      <c r="E267" s="2">
        <v>3.92</v>
      </c>
      <c r="F267" s="2">
        <v>4.09</v>
      </c>
      <c r="G267" s="2" t="e">
        <v>#N/A</v>
      </c>
      <c r="H267" s="17" t="e">
        <v>#N/A</v>
      </c>
      <c r="I267" s="17" t="e">
        <v>#N/A</v>
      </c>
      <c r="J267" s="17" t="e">
        <v>#N/A</v>
      </c>
      <c r="K267" s="17" t="e">
        <v>#N/A</v>
      </c>
      <c r="L267" s="17" t="e">
        <v>#N/A</v>
      </c>
      <c r="M267" s="17" t="e">
        <v>#N/A</v>
      </c>
    </row>
    <row r="268" spans="1:13" x14ac:dyDescent="0.25">
      <c r="A268" t="s">
        <v>316</v>
      </c>
      <c r="B268" s="2">
        <v>4.0599999999999996</v>
      </c>
      <c r="C268" s="2">
        <v>3.55</v>
      </c>
      <c r="D268" s="2">
        <v>3.65</v>
      </c>
      <c r="E268" s="2">
        <v>4.04</v>
      </c>
      <c r="F268" s="2">
        <v>4.22</v>
      </c>
      <c r="G268" s="2">
        <v>4.28</v>
      </c>
      <c r="H268" s="17">
        <v>3.8133507999999998</v>
      </c>
      <c r="I268" s="17">
        <v>3.1224959999999999</v>
      </c>
      <c r="J268" s="17">
        <v>2.9397964999999999</v>
      </c>
      <c r="K268" s="17">
        <v>2.9139371999999999</v>
      </c>
      <c r="L268" s="17">
        <v>2.9766149999999998</v>
      </c>
      <c r="M268" s="17">
        <v>3.0953135999999999</v>
      </c>
    </row>
    <row r="269" spans="1:13" x14ac:dyDescent="0.25">
      <c r="A269" t="s">
        <v>317</v>
      </c>
      <c r="B269" s="2">
        <v>4.07</v>
      </c>
      <c r="C269" s="2">
        <v>3.55</v>
      </c>
      <c r="D269" s="2">
        <v>3.61</v>
      </c>
      <c r="E269" s="2">
        <v>3.99</v>
      </c>
      <c r="F269" s="2">
        <v>4.1900000000000004</v>
      </c>
      <c r="G269" s="2">
        <v>4.26</v>
      </c>
      <c r="H269" s="17">
        <v>3.8103908999999998</v>
      </c>
      <c r="I269" s="17">
        <v>3.0582151999999998</v>
      </c>
      <c r="J269" s="17">
        <v>2.9010167</v>
      </c>
      <c r="K269" s="17">
        <v>2.8980372000000001</v>
      </c>
      <c r="L269" s="17">
        <v>2.9573434999999999</v>
      </c>
      <c r="M269" s="17">
        <v>3.0660859999999999</v>
      </c>
    </row>
    <row r="270" spans="1:13" x14ac:dyDescent="0.25">
      <c r="A270" t="s">
        <v>318</v>
      </c>
      <c r="B270" s="2">
        <v>4.22</v>
      </c>
      <c r="C270" s="2">
        <v>3.7</v>
      </c>
      <c r="D270" s="2">
        <v>3.74</v>
      </c>
      <c r="E270" s="2">
        <v>4.12</v>
      </c>
      <c r="F270" s="2">
        <v>4.3</v>
      </c>
      <c r="G270" s="2">
        <v>4.38</v>
      </c>
      <c r="H270" s="17">
        <v>3.9458215999999999</v>
      </c>
      <c r="I270" s="17">
        <v>3.2268181999999999</v>
      </c>
      <c r="J270" s="17">
        <v>3.0787962000000002</v>
      </c>
      <c r="K270" s="17">
        <v>3.0719349999999999</v>
      </c>
      <c r="L270" s="17">
        <v>3.1227581999999998</v>
      </c>
      <c r="M270" s="17">
        <v>3.2155847999999998</v>
      </c>
    </row>
    <row r="271" spans="1:13" x14ac:dyDescent="0.25">
      <c r="A271" t="s">
        <v>319</v>
      </c>
      <c r="B271" s="2">
        <v>4.24</v>
      </c>
      <c r="C271" s="2">
        <v>3.78</v>
      </c>
      <c r="D271" s="2">
        <v>3.81</v>
      </c>
      <c r="E271" s="2">
        <v>4.17</v>
      </c>
      <c r="F271" s="2">
        <v>4.3499999999999996</v>
      </c>
      <c r="G271" s="2">
        <v>4.42</v>
      </c>
      <c r="H271" s="17">
        <v>4.0318584</v>
      </c>
      <c r="I271" s="17">
        <v>3.3301964000000002</v>
      </c>
      <c r="J271" s="17">
        <v>3.1663868000000002</v>
      </c>
      <c r="K271" s="17">
        <v>3.1551931999999998</v>
      </c>
      <c r="L271" s="17">
        <v>3.1965007000000001</v>
      </c>
      <c r="M271" s="17">
        <v>3.2772655999999998</v>
      </c>
    </row>
    <row r="272" spans="1:13" x14ac:dyDescent="0.25">
      <c r="A272" t="s">
        <v>320</v>
      </c>
      <c r="B272" s="2">
        <v>4.1900000000000004</v>
      </c>
      <c r="C272" s="2">
        <v>3.72</v>
      </c>
      <c r="D272" s="2">
        <v>3.77</v>
      </c>
      <c r="E272" s="2">
        <v>4.12</v>
      </c>
      <c r="F272" s="2">
        <v>4.3099999999999996</v>
      </c>
      <c r="G272" s="2">
        <v>4.38</v>
      </c>
      <c r="H272" s="17">
        <v>3.9915986000000001</v>
      </c>
      <c r="I272" s="17">
        <v>3.3028127999999999</v>
      </c>
      <c r="J272" s="17">
        <v>3.1397409000000001</v>
      </c>
      <c r="K272" s="17">
        <v>3.1224812000000002</v>
      </c>
      <c r="L272" s="17">
        <v>3.1630677999999999</v>
      </c>
      <c r="M272" s="17">
        <v>3.2511538999999998</v>
      </c>
    </row>
    <row r="273" spans="1:13" x14ac:dyDescent="0.25">
      <c r="A273" t="s">
        <v>321</v>
      </c>
      <c r="B273" s="2">
        <v>4.21</v>
      </c>
      <c r="C273" s="2">
        <v>3.73</v>
      </c>
      <c r="D273" s="2">
        <v>3.79</v>
      </c>
      <c r="E273" s="2">
        <v>4.1500000000000004</v>
      </c>
      <c r="F273" s="2">
        <v>4.32</v>
      </c>
      <c r="G273" s="2">
        <v>4.4000000000000004</v>
      </c>
      <c r="H273" s="17">
        <v>4.0132623000000001</v>
      </c>
      <c r="I273" s="17">
        <v>3.3161052999999998</v>
      </c>
      <c r="J273" s="17">
        <v>3.1342281999999999</v>
      </c>
      <c r="K273" s="17">
        <v>3.1158538999999998</v>
      </c>
      <c r="L273" s="17">
        <v>3.1673711999999998</v>
      </c>
      <c r="M273" s="17">
        <v>3.2636286999999999</v>
      </c>
    </row>
    <row r="274" spans="1:13" x14ac:dyDescent="0.25">
      <c r="A274" t="s">
        <v>322</v>
      </c>
      <c r="B274" s="2">
        <v>4.22</v>
      </c>
      <c r="C274" s="2">
        <v>3.75</v>
      </c>
      <c r="D274" s="2">
        <v>3.82</v>
      </c>
      <c r="E274" s="2">
        <v>4.18</v>
      </c>
      <c r="F274" s="2">
        <v>4.34</v>
      </c>
      <c r="G274" s="2">
        <v>4.42</v>
      </c>
      <c r="H274" s="17">
        <v>4.0516977000000001</v>
      </c>
      <c r="I274" s="17">
        <v>3.367845</v>
      </c>
      <c r="J274" s="17">
        <v>3.1564854000000002</v>
      </c>
      <c r="K274" s="17">
        <v>3.1247780999999999</v>
      </c>
      <c r="L274" s="17">
        <v>3.1751377000000001</v>
      </c>
      <c r="M274" s="17">
        <v>3.2731349000000001</v>
      </c>
    </row>
    <row r="275" spans="1:13" x14ac:dyDescent="0.25">
      <c r="A275" t="s">
        <v>323</v>
      </c>
      <c r="B275" s="2">
        <v>4.25</v>
      </c>
      <c r="C275" s="2">
        <v>3.76</v>
      </c>
      <c r="D275" s="2">
        <v>3.85</v>
      </c>
      <c r="E275" s="2">
        <v>4.2</v>
      </c>
      <c r="F275" s="2">
        <v>4.3600000000000003</v>
      </c>
      <c r="G275" s="2">
        <v>4.4400000000000004</v>
      </c>
      <c r="H275" s="17">
        <v>4.0309257000000001</v>
      </c>
      <c r="I275" s="17">
        <v>3.3363711999999999</v>
      </c>
      <c r="J275" s="17">
        <v>3.180615</v>
      </c>
      <c r="K275" s="17">
        <v>3.1794606999999999</v>
      </c>
      <c r="L275" s="17">
        <v>3.2379587999999999</v>
      </c>
      <c r="M275" s="17">
        <v>3.3335096000000002</v>
      </c>
    </row>
    <row r="276" spans="1:13" x14ac:dyDescent="0.25">
      <c r="A276" t="s">
        <v>324</v>
      </c>
      <c r="B276" s="2">
        <v>4.18</v>
      </c>
      <c r="C276" s="2">
        <v>3.67</v>
      </c>
      <c r="D276" s="2">
        <v>3.8</v>
      </c>
      <c r="E276" s="2">
        <v>4.16</v>
      </c>
      <c r="F276" s="2">
        <v>4.34</v>
      </c>
      <c r="G276" s="2">
        <v>4.43</v>
      </c>
      <c r="H276" s="17">
        <v>3.9063379999999999</v>
      </c>
      <c r="I276" s="17">
        <v>3.2413816</v>
      </c>
      <c r="J276" s="17">
        <v>3.0985542000000001</v>
      </c>
      <c r="K276" s="17">
        <v>3.1066479</v>
      </c>
      <c r="L276" s="17">
        <v>3.1735850999999999</v>
      </c>
      <c r="M276" s="17">
        <v>3.2788018999999999</v>
      </c>
    </row>
    <row r="277" spans="1:13" x14ac:dyDescent="0.25">
      <c r="A277" t="s">
        <v>325</v>
      </c>
      <c r="B277" s="2">
        <v>4.16</v>
      </c>
      <c r="C277" s="2">
        <v>3.68</v>
      </c>
      <c r="D277" s="2">
        <v>3.8</v>
      </c>
      <c r="E277" s="2">
        <v>4.18</v>
      </c>
      <c r="F277" s="2">
        <v>4.3600000000000003</v>
      </c>
      <c r="G277" s="2">
        <v>4.46</v>
      </c>
      <c r="H277" s="17">
        <v>3.8821870000000001</v>
      </c>
      <c r="I277" s="17">
        <v>3.2212367999999998</v>
      </c>
      <c r="J277" s="17">
        <v>3.0832033000000001</v>
      </c>
      <c r="K277" s="17">
        <v>3.0955376999999999</v>
      </c>
      <c r="L277" s="17">
        <v>3.1690067000000002</v>
      </c>
      <c r="M277" s="17">
        <v>3.2852853999999998</v>
      </c>
    </row>
    <row r="278" spans="1:13" x14ac:dyDescent="0.25">
      <c r="A278" t="s">
        <v>326</v>
      </c>
      <c r="B278" s="2">
        <v>4.1900000000000004</v>
      </c>
      <c r="C278" s="2">
        <v>3.7</v>
      </c>
      <c r="D278" s="2">
        <v>3.83</v>
      </c>
      <c r="E278" s="2">
        <v>4.22</v>
      </c>
      <c r="F278" s="2">
        <v>4.41</v>
      </c>
      <c r="G278" s="2">
        <v>4.51</v>
      </c>
      <c r="H278" s="17">
        <v>3.8892679999999999</v>
      </c>
      <c r="I278" s="17">
        <v>3.2276975999999999</v>
      </c>
      <c r="J278" s="17">
        <v>3.1136786000000001</v>
      </c>
      <c r="K278" s="17">
        <v>3.1338846</v>
      </c>
      <c r="L278" s="17">
        <v>3.2156825000000002</v>
      </c>
      <c r="M278" s="17">
        <v>3.3398984999999999</v>
      </c>
    </row>
    <row r="279" spans="1:13" x14ac:dyDescent="0.25">
      <c r="A279" t="s">
        <v>327</v>
      </c>
      <c r="B279" s="2">
        <v>4.38</v>
      </c>
      <c r="C279" s="2">
        <v>3.91</v>
      </c>
      <c r="D279" s="2">
        <v>3.98</v>
      </c>
      <c r="E279" s="2">
        <v>4.37</v>
      </c>
      <c r="F279" s="2">
        <v>4.54</v>
      </c>
      <c r="G279" s="2">
        <v>4.6399999999999997</v>
      </c>
      <c r="H279" s="17">
        <v>4.1724997000000004</v>
      </c>
      <c r="I279" s="17">
        <v>3.5121133000000002</v>
      </c>
      <c r="J279" s="17">
        <v>3.3242843999999998</v>
      </c>
      <c r="K279" s="17">
        <v>3.3045952000000001</v>
      </c>
      <c r="L279" s="17">
        <v>3.3656448000000001</v>
      </c>
      <c r="M279" s="17">
        <v>3.4747675</v>
      </c>
    </row>
    <row r="280" spans="1:13" x14ac:dyDescent="0.25">
      <c r="A280" t="s">
        <v>328</v>
      </c>
      <c r="B280" s="2">
        <v>4.3099999999999996</v>
      </c>
      <c r="C280" s="2">
        <v>3.84</v>
      </c>
      <c r="D280" s="2">
        <v>3.94</v>
      </c>
      <c r="E280" s="2">
        <v>4.33</v>
      </c>
      <c r="F280" s="2">
        <v>4.51</v>
      </c>
      <c r="G280" s="2">
        <v>4.6100000000000003</v>
      </c>
      <c r="H280" s="17">
        <v>4.1179306000000002</v>
      </c>
      <c r="I280" s="17">
        <v>3.4239054000000002</v>
      </c>
      <c r="J280" s="17">
        <v>3.2622235000000002</v>
      </c>
      <c r="K280" s="17">
        <v>3.2576651999999999</v>
      </c>
      <c r="L280" s="17">
        <v>3.3228304</v>
      </c>
      <c r="M280" s="17">
        <v>3.4345602</v>
      </c>
    </row>
    <row r="281" spans="1:13" x14ac:dyDescent="0.25">
      <c r="A281" t="s">
        <v>329</v>
      </c>
      <c r="B281" s="2">
        <v>4.29</v>
      </c>
      <c r="C281" s="2">
        <v>3.84</v>
      </c>
      <c r="D281" s="2">
        <v>3.92</v>
      </c>
      <c r="E281" s="2">
        <v>4.29</v>
      </c>
      <c r="F281" s="2">
        <v>4.46</v>
      </c>
      <c r="G281" s="2">
        <v>4.5599999999999996</v>
      </c>
      <c r="H281" s="17">
        <v>4.1495841000000002</v>
      </c>
      <c r="I281" s="17">
        <v>3.4724444999999999</v>
      </c>
      <c r="J281" s="17">
        <v>3.2869698000000001</v>
      </c>
      <c r="K281" s="17">
        <v>3.2554135999999998</v>
      </c>
      <c r="L281" s="17">
        <v>3.2984133999999998</v>
      </c>
      <c r="M281" s="17">
        <v>3.3935567</v>
      </c>
    </row>
    <row r="282" spans="1:13" x14ac:dyDescent="0.25">
      <c r="A282" t="s">
        <v>330</v>
      </c>
      <c r="B282" s="2">
        <v>4.3099999999999996</v>
      </c>
      <c r="C282" s="2">
        <v>3.85</v>
      </c>
      <c r="D282" s="2">
        <v>3.91</v>
      </c>
      <c r="E282" s="2">
        <v>4.2699999999999996</v>
      </c>
      <c r="F282" s="2">
        <v>4.4400000000000004</v>
      </c>
      <c r="G282" s="2">
        <v>4.54</v>
      </c>
      <c r="H282" s="17">
        <v>4.1228927000000004</v>
      </c>
      <c r="I282" s="17">
        <v>3.4913457999999999</v>
      </c>
      <c r="J282" s="17">
        <v>3.2940466000000002</v>
      </c>
      <c r="K282" s="17">
        <v>3.2473597000000001</v>
      </c>
      <c r="L282" s="17">
        <v>3.2848663999999999</v>
      </c>
      <c r="M282" s="17">
        <v>3.3810345000000002</v>
      </c>
    </row>
    <row r="283" spans="1:13" x14ac:dyDescent="0.25">
      <c r="A283" t="s">
        <v>331</v>
      </c>
      <c r="B283" s="2">
        <v>4.38</v>
      </c>
      <c r="C283" s="2">
        <v>3.94</v>
      </c>
      <c r="D283" s="2">
        <v>4</v>
      </c>
      <c r="E283" s="2">
        <v>4.34</v>
      </c>
      <c r="F283" s="2">
        <v>4.51</v>
      </c>
      <c r="G283" s="2">
        <v>4.59</v>
      </c>
      <c r="H283" s="17">
        <v>4.2025817999999999</v>
      </c>
      <c r="I283" s="17">
        <v>3.5704832999999998</v>
      </c>
      <c r="J283" s="17">
        <v>3.3760902000000002</v>
      </c>
      <c r="K283" s="17">
        <v>3.3337292999999999</v>
      </c>
      <c r="L283" s="17">
        <v>3.3717084000000002</v>
      </c>
      <c r="M283" s="17">
        <v>3.4630551999999999</v>
      </c>
    </row>
    <row r="284" spans="1:13" x14ac:dyDescent="0.25">
      <c r="A284" t="s">
        <v>332</v>
      </c>
      <c r="B284" s="2">
        <v>4.38</v>
      </c>
      <c r="C284" s="2">
        <v>3.95</v>
      </c>
      <c r="D284" s="2">
        <v>4</v>
      </c>
      <c r="E284" s="2">
        <v>4.34</v>
      </c>
      <c r="F284" s="2">
        <v>4.51</v>
      </c>
      <c r="G284" s="2">
        <v>4.59</v>
      </c>
      <c r="H284" s="17">
        <v>4.2413794999999999</v>
      </c>
      <c r="I284" s="17">
        <v>3.5977218</v>
      </c>
      <c r="J284" s="17">
        <v>3.3956214</v>
      </c>
      <c r="K284" s="17">
        <v>3.3450975000000001</v>
      </c>
      <c r="L284" s="17">
        <v>3.3736587</v>
      </c>
      <c r="M284" s="17">
        <v>3.4577190999999998</v>
      </c>
    </row>
    <row r="285" spans="1:13" x14ac:dyDescent="0.25">
      <c r="A285" t="s">
        <v>333</v>
      </c>
      <c r="B285" s="2">
        <v>4.37</v>
      </c>
      <c r="C285" s="2">
        <v>3.92</v>
      </c>
      <c r="D285" s="2">
        <v>3.99</v>
      </c>
      <c r="E285" s="2">
        <v>4.34</v>
      </c>
      <c r="F285" s="2">
        <v>4.51</v>
      </c>
      <c r="G285" s="2">
        <v>4.5999999999999996</v>
      </c>
      <c r="H285" s="17">
        <v>4.1762113999999997</v>
      </c>
      <c r="I285" s="17">
        <v>3.5261338000000002</v>
      </c>
      <c r="J285" s="17">
        <v>3.3725459999999998</v>
      </c>
      <c r="K285" s="17">
        <v>3.3486961000000002</v>
      </c>
      <c r="L285" s="17">
        <v>3.3895436999999999</v>
      </c>
      <c r="M285" s="17">
        <v>3.4778424999999999</v>
      </c>
    </row>
    <row r="286" spans="1:13" x14ac:dyDescent="0.25">
      <c r="A286" t="s">
        <v>334</v>
      </c>
      <c r="B286" s="2">
        <v>4.34</v>
      </c>
      <c r="C286" s="2">
        <v>3.89</v>
      </c>
      <c r="D286" s="2">
        <v>3.97</v>
      </c>
      <c r="E286" s="2">
        <v>4.33</v>
      </c>
      <c r="F286" s="2">
        <v>4.5</v>
      </c>
      <c r="G286" s="2">
        <v>4.59</v>
      </c>
      <c r="H286" s="17">
        <v>4.1361011000000003</v>
      </c>
      <c r="I286" s="17">
        <v>3.4827398999999999</v>
      </c>
      <c r="J286" s="17">
        <v>3.3349198000000002</v>
      </c>
      <c r="K286" s="17">
        <v>3.3284473999999999</v>
      </c>
      <c r="L286" s="17">
        <v>3.3763003</v>
      </c>
      <c r="M286" s="17">
        <v>3.4670204999999998</v>
      </c>
    </row>
    <row r="287" spans="1:13" x14ac:dyDescent="0.25">
      <c r="A287" t="s">
        <v>335</v>
      </c>
      <c r="B287" s="2">
        <v>4.2699999999999996</v>
      </c>
      <c r="C287" s="2">
        <v>3.81</v>
      </c>
      <c r="D287" s="2">
        <v>3.88</v>
      </c>
      <c r="E287" s="2">
        <v>4.25</v>
      </c>
      <c r="F287" s="2">
        <v>4.43</v>
      </c>
      <c r="G287" s="2">
        <v>4.51</v>
      </c>
      <c r="H287" s="17">
        <v>4.0609840999999998</v>
      </c>
      <c r="I287" s="17">
        <v>3.4125505</v>
      </c>
      <c r="J287" s="17">
        <v>3.2642552</v>
      </c>
      <c r="K287" s="17">
        <v>3.2506235000000001</v>
      </c>
      <c r="L287" s="17">
        <v>3.2913975999999998</v>
      </c>
      <c r="M287" s="17">
        <v>3.3833080999999998</v>
      </c>
    </row>
    <row r="288" spans="1:13" x14ac:dyDescent="0.25">
      <c r="A288" t="s">
        <v>336</v>
      </c>
      <c r="B288" s="2">
        <v>4.33</v>
      </c>
      <c r="C288" s="2">
        <v>3.86</v>
      </c>
      <c r="D288" s="2">
        <v>3.9</v>
      </c>
      <c r="E288" s="2">
        <v>4.2699999999999996</v>
      </c>
      <c r="F288" s="2">
        <v>4.45</v>
      </c>
      <c r="G288" s="2">
        <v>4.53</v>
      </c>
      <c r="H288" s="17">
        <v>4.1444716000000001</v>
      </c>
      <c r="I288" s="17">
        <v>3.4983825</v>
      </c>
      <c r="J288" s="17">
        <v>3.2994998999999998</v>
      </c>
      <c r="K288" s="17">
        <v>3.2551629000000002</v>
      </c>
      <c r="L288" s="17">
        <v>3.2980624000000001</v>
      </c>
      <c r="M288" s="17">
        <v>3.3986548000000001</v>
      </c>
    </row>
    <row r="289" spans="1:13" x14ac:dyDescent="0.25">
      <c r="A289" t="s">
        <v>337</v>
      </c>
      <c r="B289" s="2">
        <v>4.22</v>
      </c>
      <c r="C289" s="2">
        <v>3.74</v>
      </c>
      <c r="D289" s="2">
        <v>3.79</v>
      </c>
      <c r="E289" s="2">
        <v>4.16</v>
      </c>
      <c r="F289" s="2">
        <v>4.3499999999999996</v>
      </c>
      <c r="G289" s="2">
        <v>4.45</v>
      </c>
      <c r="H289" s="17">
        <v>4.0272195999999996</v>
      </c>
      <c r="I289" s="17">
        <v>3.3484124</v>
      </c>
      <c r="J289" s="17">
        <v>3.1736841999999998</v>
      </c>
      <c r="K289" s="17">
        <v>3.1499939000000001</v>
      </c>
      <c r="L289" s="17">
        <v>3.1941967</v>
      </c>
      <c r="M289" s="17">
        <v>3.2908241999999999</v>
      </c>
    </row>
    <row r="290" spans="1:13" x14ac:dyDescent="0.25">
      <c r="A290" t="s">
        <v>338</v>
      </c>
      <c r="B290" s="2">
        <v>4.24</v>
      </c>
      <c r="C290" s="2">
        <v>3.71</v>
      </c>
      <c r="D290" s="2">
        <v>3.76</v>
      </c>
      <c r="E290" s="2">
        <v>4.1399999999999997</v>
      </c>
      <c r="F290" s="2">
        <v>4.33</v>
      </c>
      <c r="G290" s="2">
        <v>4.43</v>
      </c>
      <c r="H290" s="17">
        <v>4.0357456999999997</v>
      </c>
      <c r="I290" s="17">
        <v>3.2908331</v>
      </c>
      <c r="J290" s="17">
        <v>3.1267147999999998</v>
      </c>
      <c r="K290" s="17">
        <v>3.1156765000000002</v>
      </c>
      <c r="L290" s="17">
        <v>3.1671778000000002</v>
      </c>
      <c r="M290" s="17">
        <v>3.2647526</v>
      </c>
    </row>
    <row r="291" spans="1:13" x14ac:dyDescent="0.25">
      <c r="A291" t="s">
        <v>339</v>
      </c>
      <c r="B291" s="2">
        <v>4.43</v>
      </c>
      <c r="C291" s="2">
        <v>3.91</v>
      </c>
      <c r="D291" s="2">
        <v>3.92</v>
      </c>
      <c r="E291" s="2">
        <v>4.28</v>
      </c>
      <c r="F291" s="2">
        <v>4.46</v>
      </c>
      <c r="G291" s="2">
        <v>4.55</v>
      </c>
      <c r="H291" s="17">
        <v>4.2314125000000002</v>
      </c>
      <c r="I291" s="17">
        <v>3.5046886000000002</v>
      </c>
      <c r="J291" s="17">
        <v>3.3004235999999998</v>
      </c>
      <c r="K291" s="17">
        <v>3.2740174999999998</v>
      </c>
      <c r="L291" s="17">
        <v>3.3153328000000002</v>
      </c>
      <c r="M291" s="17">
        <v>3.4043849000000002</v>
      </c>
    </row>
    <row r="292" spans="1:13" x14ac:dyDescent="0.25">
      <c r="A292" t="s">
        <v>340</v>
      </c>
      <c r="B292" s="2">
        <v>4.49</v>
      </c>
      <c r="C292" s="2">
        <v>3.98</v>
      </c>
      <c r="D292" s="2">
        <v>4</v>
      </c>
      <c r="E292" s="2">
        <v>4.3499999999999996</v>
      </c>
      <c r="F292" s="2">
        <v>4.5199999999999996</v>
      </c>
      <c r="G292" s="2">
        <v>4.6100000000000003</v>
      </c>
      <c r="H292" s="17">
        <v>4.2995466999999996</v>
      </c>
      <c r="I292" s="17">
        <v>3.6350742</v>
      </c>
      <c r="J292" s="17">
        <v>3.4230266999999999</v>
      </c>
      <c r="K292" s="17">
        <v>3.3576258999999999</v>
      </c>
      <c r="L292" s="17">
        <v>3.3761608000000001</v>
      </c>
      <c r="M292" s="17">
        <v>3.4611282999999999</v>
      </c>
    </row>
    <row r="293" spans="1:13" x14ac:dyDescent="0.25">
      <c r="A293" t="s">
        <v>341</v>
      </c>
      <c r="B293" s="2">
        <v>4.43</v>
      </c>
      <c r="C293" s="2">
        <v>3.94</v>
      </c>
      <c r="D293" s="2">
        <v>3.94</v>
      </c>
      <c r="E293" s="2">
        <v>4.29</v>
      </c>
      <c r="F293" s="2">
        <v>4.45</v>
      </c>
      <c r="G293" s="2">
        <v>4.54</v>
      </c>
      <c r="H293" s="17">
        <v>4.2673702000000002</v>
      </c>
      <c r="I293" s="17">
        <v>3.5957927000000001</v>
      </c>
      <c r="J293" s="17">
        <v>3.3766193000000002</v>
      </c>
      <c r="K293" s="17">
        <v>3.3052161</v>
      </c>
      <c r="L293" s="17">
        <v>3.3236645999999999</v>
      </c>
      <c r="M293" s="17">
        <v>3.4014300999999998</v>
      </c>
    </row>
    <row r="294" spans="1:13" x14ac:dyDescent="0.25">
      <c r="A294" t="s">
        <v>342</v>
      </c>
      <c r="B294" s="2">
        <v>4.4800000000000004</v>
      </c>
      <c r="C294" s="2">
        <v>3.98</v>
      </c>
      <c r="D294" s="2">
        <v>4</v>
      </c>
      <c r="E294" s="2">
        <v>4.33</v>
      </c>
      <c r="F294" s="2">
        <v>4.49</v>
      </c>
      <c r="G294" s="2">
        <v>4.58</v>
      </c>
      <c r="H294" s="17">
        <v>4.2922424000000001</v>
      </c>
      <c r="I294" s="17">
        <v>3.6234413000000001</v>
      </c>
      <c r="J294" s="17">
        <v>3.3971393000000001</v>
      </c>
      <c r="K294" s="17">
        <v>3.3400918000000002</v>
      </c>
      <c r="L294" s="17">
        <v>3.3722968999999998</v>
      </c>
      <c r="M294" s="17">
        <v>3.4597630000000001</v>
      </c>
    </row>
    <row r="295" spans="1:13" x14ac:dyDescent="0.25">
      <c r="A295" t="s">
        <v>343</v>
      </c>
      <c r="B295" s="2">
        <v>4.55</v>
      </c>
      <c r="C295" s="2">
        <v>4.0599999999999996</v>
      </c>
      <c r="D295" s="2">
        <v>4.0599999999999996</v>
      </c>
      <c r="E295" s="2">
        <v>4.38</v>
      </c>
      <c r="F295" s="2">
        <v>4.54</v>
      </c>
      <c r="G295" s="2">
        <v>4.62</v>
      </c>
      <c r="H295" s="17">
        <v>4.3165858000000004</v>
      </c>
      <c r="I295" s="17">
        <v>3.7049528999999999</v>
      </c>
      <c r="J295" s="17">
        <v>3.492197</v>
      </c>
      <c r="K295" s="17">
        <v>3.4251138999999999</v>
      </c>
      <c r="L295" s="17">
        <v>3.4407334000000001</v>
      </c>
      <c r="M295" s="17">
        <v>3.5096235</v>
      </c>
    </row>
    <row r="296" spans="1:13" x14ac:dyDescent="0.25">
      <c r="A296" t="s">
        <v>344</v>
      </c>
      <c r="B296" s="2">
        <v>4.57</v>
      </c>
      <c r="C296" s="2">
        <v>4.08</v>
      </c>
      <c r="D296" s="2">
        <v>4.0599999999999996</v>
      </c>
      <c r="E296" s="2">
        <v>4.38</v>
      </c>
      <c r="F296" s="2">
        <v>4.5199999999999996</v>
      </c>
      <c r="G296" s="2">
        <v>4.59</v>
      </c>
      <c r="H296" s="17">
        <v>4.4001298000000002</v>
      </c>
      <c r="I296" s="17">
        <v>3.7510338999999999</v>
      </c>
      <c r="J296" s="17">
        <v>3.5239403</v>
      </c>
      <c r="K296" s="17">
        <v>3.4549601000000001</v>
      </c>
      <c r="L296" s="17">
        <v>3.4555104999999999</v>
      </c>
      <c r="M296" s="17">
        <v>3.5079091999999998</v>
      </c>
    </row>
    <row r="297" spans="1:13" x14ac:dyDescent="0.25">
      <c r="A297" t="s">
        <v>345</v>
      </c>
      <c r="B297" s="2">
        <v>4.55</v>
      </c>
      <c r="C297" s="2">
        <v>4.0599999999999996</v>
      </c>
      <c r="D297" s="2">
        <v>4.0599999999999996</v>
      </c>
      <c r="E297" s="2">
        <v>4.37</v>
      </c>
      <c r="F297" s="2">
        <v>4.5199999999999996</v>
      </c>
      <c r="G297" s="2">
        <v>4.59</v>
      </c>
      <c r="H297" s="17">
        <v>4.3545467000000002</v>
      </c>
      <c r="I297" s="17">
        <v>3.7385228000000001</v>
      </c>
      <c r="J297" s="17">
        <v>3.5187691000000001</v>
      </c>
      <c r="K297" s="17">
        <v>3.4426787000000001</v>
      </c>
      <c r="L297" s="17">
        <v>3.4487836999999999</v>
      </c>
      <c r="M297" s="17">
        <v>3.5164127000000001</v>
      </c>
    </row>
    <row r="298" spans="1:13" x14ac:dyDescent="0.25">
      <c r="A298" t="s">
        <v>346</v>
      </c>
      <c r="B298" s="2">
        <v>4.68</v>
      </c>
      <c r="C298" s="2">
        <v>4.2</v>
      </c>
      <c r="D298" s="2">
        <v>4.16</v>
      </c>
      <c r="E298" s="2">
        <v>4.47</v>
      </c>
      <c r="F298" s="2">
        <v>4.5999999999999996</v>
      </c>
      <c r="G298" s="2">
        <v>4.67</v>
      </c>
      <c r="H298" s="17">
        <v>4.5397856000000001</v>
      </c>
      <c r="I298" s="17">
        <v>3.912166</v>
      </c>
      <c r="J298" s="17">
        <v>3.6341963000000002</v>
      </c>
      <c r="K298" s="17">
        <v>3.5295795000000001</v>
      </c>
      <c r="L298" s="17">
        <v>3.5237191999999999</v>
      </c>
      <c r="M298" s="17">
        <v>3.5806898</v>
      </c>
    </row>
    <row r="299" spans="1:13" x14ac:dyDescent="0.25">
      <c r="A299" t="s">
        <v>347</v>
      </c>
      <c r="B299" s="2">
        <v>4.54</v>
      </c>
      <c r="C299" s="2">
        <v>4.04</v>
      </c>
      <c r="D299" s="2">
        <v>4.03</v>
      </c>
      <c r="E299" s="2">
        <v>4.34</v>
      </c>
      <c r="F299" s="2">
        <v>4.49</v>
      </c>
      <c r="G299" s="2">
        <v>4.5599999999999996</v>
      </c>
      <c r="H299" s="17">
        <v>4.3721217000000001</v>
      </c>
      <c r="I299" s="17">
        <v>3.6981709999999999</v>
      </c>
      <c r="J299" s="17">
        <v>3.4520179999999998</v>
      </c>
      <c r="K299" s="17">
        <v>3.3878629</v>
      </c>
      <c r="L299" s="17">
        <v>3.4121462999999999</v>
      </c>
      <c r="M299" s="17">
        <v>3.4918809999999998</v>
      </c>
    </row>
    <row r="300" spans="1:13" x14ac:dyDescent="0.25">
      <c r="A300" t="s">
        <v>348</v>
      </c>
      <c r="B300" s="2">
        <v>4.57</v>
      </c>
      <c r="C300" s="2">
        <v>4.0599999999999996</v>
      </c>
      <c r="D300" s="2">
        <v>4.05</v>
      </c>
      <c r="E300" s="2">
        <v>4.37</v>
      </c>
      <c r="F300" s="2">
        <v>4.5199999999999996</v>
      </c>
      <c r="G300" s="2">
        <v>4.59</v>
      </c>
      <c r="H300" s="17">
        <v>4.3508426</v>
      </c>
      <c r="I300" s="17">
        <v>3.7116723</v>
      </c>
      <c r="J300" s="17">
        <v>3.4753775</v>
      </c>
      <c r="K300" s="17">
        <v>3.4045353</v>
      </c>
      <c r="L300" s="17">
        <v>3.4305374</v>
      </c>
      <c r="M300" s="17">
        <v>3.5101486999999998</v>
      </c>
    </row>
    <row r="301" spans="1:13" x14ac:dyDescent="0.25">
      <c r="A301" t="s">
        <v>349</v>
      </c>
      <c r="B301" s="2">
        <v>4.63</v>
      </c>
      <c r="C301" s="2">
        <v>4.13</v>
      </c>
      <c r="D301" s="2">
        <v>4.1100000000000003</v>
      </c>
      <c r="E301" s="2">
        <v>4.43</v>
      </c>
      <c r="F301" s="2">
        <v>4.58</v>
      </c>
      <c r="G301" s="2">
        <v>4.6500000000000004</v>
      </c>
      <c r="H301" s="17">
        <v>4.4997816999999998</v>
      </c>
      <c r="I301" s="17">
        <v>3.8341097999999998</v>
      </c>
      <c r="J301" s="17">
        <v>3.5549936</v>
      </c>
      <c r="K301" s="17">
        <v>3.4750358000000001</v>
      </c>
      <c r="L301" s="17">
        <v>3.4889630999999999</v>
      </c>
      <c r="M301" s="17">
        <v>3.5572596000000001</v>
      </c>
    </row>
    <row r="302" spans="1:13" x14ac:dyDescent="0.25">
      <c r="A302" t="s">
        <v>350</v>
      </c>
      <c r="B302" s="2">
        <v>4.63</v>
      </c>
      <c r="C302" s="2">
        <v>4.1500000000000004</v>
      </c>
      <c r="D302" s="2">
        <v>4.12</v>
      </c>
      <c r="E302" s="2">
        <v>4.4400000000000004</v>
      </c>
      <c r="F302" s="2">
        <v>4.59</v>
      </c>
      <c r="G302" s="2">
        <v>4.66</v>
      </c>
      <c r="H302" s="17">
        <v>4.4448220999999997</v>
      </c>
      <c r="I302" s="17">
        <v>3.8216572000000002</v>
      </c>
      <c r="J302" s="17">
        <v>3.5799148000000001</v>
      </c>
      <c r="K302" s="17">
        <v>3.4777494999999998</v>
      </c>
      <c r="L302" s="17">
        <v>3.4772801000000002</v>
      </c>
      <c r="M302" s="17">
        <v>3.5581922000000001</v>
      </c>
    </row>
    <row r="303" spans="1:13" x14ac:dyDescent="0.25">
      <c r="A303" t="s">
        <v>380</v>
      </c>
      <c r="B303" s="2">
        <v>4.55</v>
      </c>
      <c r="C303" s="2">
        <v>4.07</v>
      </c>
      <c r="D303" s="2">
        <v>4.05</v>
      </c>
      <c r="E303" s="2">
        <v>4.37</v>
      </c>
      <c r="F303" s="2">
        <v>4.53</v>
      </c>
      <c r="G303" s="2">
        <v>4.5999999999999996</v>
      </c>
      <c r="H303" s="17">
        <v>4.3330007000000004</v>
      </c>
      <c r="I303" s="17">
        <v>3.7488513000000001</v>
      </c>
      <c r="J303" s="17">
        <v>3.5051998000000002</v>
      </c>
      <c r="K303" s="17">
        <v>3.4277603999999999</v>
      </c>
      <c r="L303" s="17">
        <v>3.4364615000000001</v>
      </c>
      <c r="M303" s="17">
        <v>3.5029268</v>
      </c>
    </row>
    <row r="304" spans="1:13" x14ac:dyDescent="0.25">
      <c r="A304" t="s">
        <v>381</v>
      </c>
      <c r="B304" s="2">
        <v>4.6100000000000003</v>
      </c>
      <c r="C304" s="2">
        <v>4.1399999999999997</v>
      </c>
      <c r="D304" s="2">
        <v>4.0999999999999996</v>
      </c>
      <c r="E304" s="2">
        <v>4.42</v>
      </c>
      <c r="F304" s="2">
        <v>4.57</v>
      </c>
      <c r="G304" s="2">
        <v>4.63</v>
      </c>
      <c r="H304" s="17">
        <v>4.4481289999999998</v>
      </c>
      <c r="I304" s="17">
        <v>3.8564750000000001</v>
      </c>
      <c r="J304" s="17">
        <v>3.5894548999999998</v>
      </c>
      <c r="K304" s="17">
        <v>3.4903111999999998</v>
      </c>
      <c r="L304" s="17">
        <v>3.4828828000000001</v>
      </c>
      <c r="M304" s="17">
        <v>3.5351891000000002</v>
      </c>
    </row>
    <row r="305" spans="1:13" x14ac:dyDescent="0.25">
      <c r="A305" t="s">
        <v>385</v>
      </c>
      <c r="B305" s="2">
        <v>4.6100000000000003</v>
      </c>
      <c r="C305" s="2">
        <v>4.16</v>
      </c>
      <c r="D305" s="2">
        <v>4.1100000000000003</v>
      </c>
      <c r="E305" s="2">
        <v>4.43</v>
      </c>
      <c r="F305" s="2">
        <v>4.58</v>
      </c>
      <c r="G305" s="2">
        <v>4.6399999999999997</v>
      </c>
      <c r="H305" s="17"/>
      <c r="I305" s="17"/>
      <c r="J305" s="17"/>
      <c r="K305" s="17"/>
      <c r="L305" s="17"/>
      <c r="M305" s="17"/>
    </row>
    <row r="306" spans="1:13" x14ac:dyDescent="0.25">
      <c r="B306" s="2"/>
      <c r="C306" s="2"/>
      <c r="D306" s="2"/>
      <c r="E306" s="2"/>
      <c r="F306" s="2"/>
      <c r="G306" s="2"/>
    </row>
    <row r="308" spans="1:13" x14ac:dyDescent="0.25">
      <c r="A308" t="s">
        <v>360</v>
      </c>
      <c r="B308" s="2">
        <f t="shared" ref="B308:M308" si="0">AVERAGE(B199:B209)</f>
        <v>4.8863636363636367</v>
      </c>
      <c r="C308" s="2">
        <f t="shared" si="0"/>
        <v>4.5309090909090912</v>
      </c>
      <c r="D308" s="2">
        <f t="shared" si="0"/>
        <v>4.4927272727272731</v>
      </c>
      <c r="E308" s="2">
        <f t="shared" si="0"/>
        <v>4.8027272727272727</v>
      </c>
      <c r="F308" s="2">
        <f t="shared" si="0"/>
        <v>4.8945454545454545</v>
      </c>
      <c r="G308" s="2">
        <f t="shared" si="0"/>
        <v>4.9418181818181814</v>
      </c>
      <c r="H308" s="2">
        <f t="shared" si="0"/>
        <v>5.1774545727272727</v>
      </c>
      <c r="I308" s="2">
        <f t="shared" si="0"/>
        <v>4.5591651999999998</v>
      </c>
      <c r="J308" s="2">
        <f t="shared" si="0"/>
        <v>4.2005258545454547</v>
      </c>
      <c r="K308" s="2">
        <f t="shared" si="0"/>
        <v>4.0434114272727264</v>
      </c>
      <c r="L308" s="2">
        <f t="shared" si="0"/>
        <v>3.9784683818181819</v>
      </c>
      <c r="M308" s="2">
        <f t="shared" si="0"/>
        <v>3.9747859454545451</v>
      </c>
    </row>
    <row r="309" spans="1:13" x14ac:dyDescent="0.25">
      <c r="A309" t="s">
        <v>361</v>
      </c>
      <c r="B309" s="2">
        <f>AVERAGE(B274:B284)</f>
        <v>4.2772727272727273</v>
      </c>
      <c r="C309" s="2">
        <f t="shared" ref="C309:M309" si="1">AVERAGE(C274:C284)</f>
        <v>3.8081818181818181</v>
      </c>
      <c r="D309" s="2">
        <f t="shared" si="1"/>
        <v>3.8954545454545464</v>
      </c>
      <c r="E309" s="2">
        <f t="shared" si="1"/>
        <v>4.2618181818181826</v>
      </c>
      <c r="F309" s="2">
        <f t="shared" si="1"/>
        <v>4.4345454545454537</v>
      </c>
      <c r="G309" s="2">
        <f t="shared" si="1"/>
        <v>4.5263636363636373</v>
      </c>
      <c r="H309" s="2">
        <f t="shared" si="1"/>
        <v>4.0697531636363635</v>
      </c>
      <c r="I309" s="2">
        <f t="shared" si="1"/>
        <v>3.4056860272727278</v>
      </c>
      <c r="J309" s="2">
        <f t="shared" si="1"/>
        <v>3.2337974909090916</v>
      </c>
      <c r="K309" s="2">
        <f t="shared" si="1"/>
        <v>3.2167426818181823</v>
      </c>
      <c r="L309" s="2">
        <f t="shared" si="1"/>
        <v>3.271681172727273</v>
      </c>
      <c r="M309" s="2">
        <f t="shared" si="1"/>
        <v>3.3741203181818178</v>
      </c>
    </row>
    <row r="310" spans="1:13" x14ac:dyDescent="0.25">
      <c r="A310" t="s">
        <v>371</v>
      </c>
      <c r="B310" s="2">
        <f>AVERAGE(B284:B294)</f>
        <v>4.3618181818181823</v>
      </c>
      <c r="C310" s="2">
        <f t="shared" ref="C310:M310" si="2">AVERAGE(C284:C294)</f>
        <v>3.8809090909090909</v>
      </c>
      <c r="D310" s="2">
        <f t="shared" si="2"/>
        <v>3.9227272727272724</v>
      </c>
      <c r="E310" s="2">
        <f t="shared" si="2"/>
        <v>4.28</v>
      </c>
      <c r="F310" s="2">
        <f t="shared" si="2"/>
        <v>4.454545454545455</v>
      </c>
      <c r="G310" s="2">
        <f t="shared" si="2"/>
        <v>4.543636363636363</v>
      </c>
      <c r="H310" s="2">
        <f t="shared" si="2"/>
        <v>4.1738804363636364</v>
      </c>
      <c r="I310" s="2">
        <f t="shared" si="2"/>
        <v>3.5014337090909096</v>
      </c>
      <c r="J310" s="2">
        <f t="shared" si="2"/>
        <v>3.3149500181818179</v>
      </c>
      <c r="K310" s="2">
        <f t="shared" si="2"/>
        <v>3.279149918181818</v>
      </c>
      <c r="L310" s="2">
        <f t="shared" si="2"/>
        <v>3.3161629363636367</v>
      </c>
      <c r="M310" s="2">
        <f t="shared" si="2"/>
        <v>3.4060752818181821</v>
      </c>
    </row>
    <row r="311" spans="1:13" x14ac:dyDescent="0.25">
      <c r="A311" t="s">
        <v>382</v>
      </c>
      <c r="B311" s="2">
        <f>AVERAGE(B302:B305)</f>
        <v>4.5999999999999996</v>
      </c>
      <c r="C311" s="2">
        <f t="shared" ref="C311:M311" si="3">AVERAGE(C302:C305)</f>
        <v>4.13</v>
      </c>
      <c r="D311" s="2">
        <f t="shared" si="3"/>
        <v>4.0949999999999998</v>
      </c>
      <c r="E311" s="2">
        <f t="shared" si="3"/>
        <v>4.415</v>
      </c>
      <c r="F311" s="2">
        <f t="shared" si="3"/>
        <v>4.5675000000000008</v>
      </c>
      <c r="G311" s="2">
        <f t="shared" si="3"/>
        <v>4.6325000000000003</v>
      </c>
      <c r="H311" s="2">
        <f t="shared" si="3"/>
        <v>4.4086505999999996</v>
      </c>
      <c r="I311" s="2">
        <f t="shared" si="3"/>
        <v>3.8089945000000003</v>
      </c>
      <c r="J311" s="2">
        <f t="shared" si="3"/>
        <v>3.5581898333333335</v>
      </c>
      <c r="K311" s="2">
        <f t="shared" si="3"/>
        <v>3.4652736999999996</v>
      </c>
      <c r="L311" s="2">
        <f t="shared" si="3"/>
        <v>3.4655414666666666</v>
      </c>
      <c r="M311" s="2">
        <f t="shared" si="3"/>
        <v>3.5321026999999998</v>
      </c>
    </row>
    <row r="312" spans="1:13" x14ac:dyDescent="0.25">
      <c r="A312" t="s">
        <v>287</v>
      </c>
      <c r="B312" s="2">
        <f>B309-B308</f>
        <v>-0.60909090909090935</v>
      </c>
      <c r="C312" s="2">
        <f t="shared" ref="C312:M312" si="4">C309-C308</f>
        <v>-0.72272727272727311</v>
      </c>
      <c r="D312" s="2">
        <f t="shared" si="4"/>
        <v>-0.59727272727272673</v>
      </c>
      <c r="E312" s="2">
        <f t="shared" si="4"/>
        <v>-0.54090909090909012</v>
      </c>
      <c r="F312" s="2">
        <f t="shared" si="4"/>
        <v>-0.46000000000000085</v>
      </c>
      <c r="G312" s="2">
        <f t="shared" si="4"/>
        <v>-0.41545454545454419</v>
      </c>
      <c r="H312" s="2">
        <f t="shared" si="4"/>
        <v>-1.1077014090909092</v>
      </c>
      <c r="I312" s="2">
        <f t="shared" si="4"/>
        <v>-1.153479172727272</v>
      </c>
      <c r="J312" s="2">
        <f t="shared" si="4"/>
        <v>-0.96672836363636305</v>
      </c>
      <c r="K312" s="2">
        <f t="shared" si="4"/>
        <v>-0.82666874545454405</v>
      </c>
      <c r="L312" s="2">
        <f t="shared" si="4"/>
        <v>-0.70678720909090886</v>
      </c>
      <c r="M312" s="2">
        <f t="shared" si="4"/>
        <v>-0.60066562727272732</v>
      </c>
    </row>
    <row r="314" spans="1:13" x14ac:dyDescent="0.25">
      <c r="A314" s="20" t="s">
        <v>362</v>
      </c>
      <c r="B314" t="s">
        <v>365</v>
      </c>
    </row>
    <row r="315" spans="1:13" x14ac:dyDescent="0.25">
      <c r="A315" s="19">
        <v>45576</v>
      </c>
      <c r="B315" t="s">
        <v>363</v>
      </c>
    </row>
    <row r="316" spans="1:13" x14ac:dyDescent="0.25">
      <c r="A316" s="19">
        <v>45590</v>
      </c>
      <c r="B316" t="s">
        <v>368</v>
      </c>
    </row>
    <row r="317" spans="1:13" x14ac:dyDescent="0.25">
      <c r="A317" s="19">
        <v>45618</v>
      </c>
      <c r="B317" t="s">
        <v>374</v>
      </c>
      <c r="C317">
        <f>A317-A315</f>
        <v>42</v>
      </c>
      <c r="D317">
        <f>C317/7</f>
        <v>6</v>
      </c>
    </row>
    <row r="319" spans="1:13" x14ac:dyDescent="0.25">
      <c r="A319" s="20" t="s">
        <v>364</v>
      </c>
      <c r="B319" t="s">
        <v>366</v>
      </c>
    </row>
    <row r="320" spans="1:13" x14ac:dyDescent="0.25">
      <c r="A320" s="19">
        <f>A322-C317</f>
        <v>45315</v>
      </c>
      <c r="B320" t="s">
        <v>363</v>
      </c>
    </row>
    <row r="321" spans="1:2" x14ac:dyDescent="0.25">
      <c r="A321" s="19">
        <v>45336</v>
      </c>
      <c r="B321" t="s">
        <v>367</v>
      </c>
    </row>
    <row r="322" spans="1:2" x14ac:dyDescent="0.25">
      <c r="A322" s="19">
        <v>45357</v>
      </c>
      <c r="B322" t="s">
        <v>375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BEC2-BB28-4F1D-8943-8A04403CC646}">
  <sheetPr>
    <tabColor theme="8"/>
  </sheetPr>
  <dimension ref="A1:J22"/>
  <sheetViews>
    <sheetView workbookViewId="0">
      <selection activeCell="H22" sqref="H22"/>
    </sheetView>
  </sheetViews>
  <sheetFormatPr defaultColWidth="8.85546875" defaultRowHeight="12" x14ac:dyDescent="0.2"/>
  <cols>
    <col min="1" max="1" width="51.28515625" style="4" bestFit="1" customWidth="1"/>
    <col min="2" max="2" width="10.42578125" style="4" customWidth="1"/>
    <col min="3" max="16384" width="8.85546875" style="4"/>
  </cols>
  <sheetData>
    <row r="1" spans="1:10" x14ac:dyDescent="0.2">
      <c r="A1" s="3" t="s">
        <v>255</v>
      </c>
    </row>
    <row r="2" spans="1:10" x14ac:dyDescent="0.2">
      <c r="A2" s="5" t="s">
        <v>256</v>
      </c>
      <c r="B2" s="5" t="s">
        <v>257</v>
      </c>
      <c r="C2" s="5" t="s">
        <v>258</v>
      </c>
      <c r="D2" s="5" t="s">
        <v>259</v>
      </c>
      <c r="E2" s="5" t="s">
        <v>260</v>
      </c>
      <c r="F2" s="5" t="s">
        <v>261</v>
      </c>
      <c r="G2" s="5" t="s">
        <v>262</v>
      </c>
      <c r="H2" s="4" t="s">
        <v>263</v>
      </c>
    </row>
    <row r="3" spans="1:10" x14ac:dyDescent="0.2">
      <c r="A3" s="5" t="s">
        <v>264</v>
      </c>
      <c r="B3" s="4" t="s">
        <v>258</v>
      </c>
      <c r="C3" s="6">
        <v>5877.324376460876</v>
      </c>
      <c r="D3" s="6">
        <v>384.7301214844947</v>
      </c>
      <c r="E3" s="6">
        <v>332.12973991878414</v>
      </c>
      <c r="F3" s="6">
        <v>351.28212149459159</v>
      </c>
      <c r="G3" s="6">
        <v>406.41954012822623</v>
      </c>
      <c r="H3" s="6">
        <f>G3*G3/F3</f>
        <v>470.21135574809489</v>
      </c>
    </row>
    <row r="4" spans="1:10" x14ac:dyDescent="0.2">
      <c r="A4" s="5"/>
      <c r="B4" s="4" t="s">
        <v>259</v>
      </c>
      <c r="C4" s="6">
        <v>0</v>
      </c>
      <c r="D4" s="6">
        <v>5915.2499753706279</v>
      </c>
      <c r="E4" s="6">
        <v>340.15109460314363</v>
      </c>
      <c r="F4" s="6">
        <v>359.856772051387</v>
      </c>
      <c r="G4" s="6">
        <v>427.83805649501971</v>
      </c>
      <c r="H4" s="6">
        <f>G4*G3/F3</f>
        <v>494.99173322641496</v>
      </c>
    </row>
    <row r="5" spans="1:10" x14ac:dyDescent="0.2">
      <c r="A5" s="5"/>
      <c r="B5" s="4" t="s">
        <v>260</v>
      </c>
      <c r="C5" s="6">
        <v>0</v>
      </c>
      <c r="D5" s="6">
        <v>0</v>
      </c>
      <c r="E5" s="6">
        <v>6220.0790723925365</v>
      </c>
      <c r="F5" s="6">
        <v>359.6783699959758</v>
      </c>
      <c r="G5" s="6">
        <v>428.22950186381092</v>
      </c>
      <c r="H5" s="6">
        <f>G5*G4/F4</f>
        <v>509.1272196069184</v>
      </c>
    </row>
    <row r="6" spans="1:10" x14ac:dyDescent="0.2">
      <c r="A6" s="5"/>
      <c r="B6" s="4" t="s">
        <v>261</v>
      </c>
      <c r="C6" s="6">
        <v>0</v>
      </c>
      <c r="D6" s="6">
        <v>0</v>
      </c>
      <c r="E6" s="6">
        <v>0</v>
      </c>
      <c r="F6" s="6">
        <v>6269.6520189564353</v>
      </c>
      <c r="G6" s="6">
        <v>423.64764231597007</v>
      </c>
      <c r="H6" s="6">
        <f>G6*H5/G5</f>
        <v>503.67979152905679</v>
      </c>
    </row>
    <row r="7" spans="1:10" x14ac:dyDescent="0.2">
      <c r="A7" s="5"/>
      <c r="B7" s="4" t="s">
        <v>262</v>
      </c>
      <c r="C7" s="6">
        <v>0</v>
      </c>
      <c r="D7" s="6">
        <v>0</v>
      </c>
      <c r="E7" s="6">
        <v>0</v>
      </c>
      <c r="F7" s="6">
        <v>0</v>
      </c>
      <c r="G7" s="6">
        <v>6621.2917512374643</v>
      </c>
      <c r="H7" s="6">
        <f>G6*G7/F6</f>
        <v>447.40834595232161</v>
      </c>
      <c r="J7" s="7">
        <f>G7*G7/F6</f>
        <v>6992.6535511778811</v>
      </c>
    </row>
    <row r="8" spans="1:10" x14ac:dyDescent="0.2">
      <c r="A8" s="5" t="s">
        <v>265</v>
      </c>
      <c r="B8" s="8" t="s">
        <v>258</v>
      </c>
      <c r="C8" s="9">
        <v>1107.9584805355864</v>
      </c>
      <c r="D8" s="9">
        <v>2095.2355866798057</v>
      </c>
      <c r="E8" s="9">
        <v>2095.2355866800331</v>
      </c>
      <c r="F8" s="9">
        <v>2095.2355866800472</v>
      </c>
      <c r="G8" s="9">
        <v>2095.2355866799621</v>
      </c>
      <c r="H8" s="6">
        <f>G8*G8/F8</f>
        <v>2095.2355866798771</v>
      </c>
    </row>
    <row r="9" spans="1:10" x14ac:dyDescent="0.2">
      <c r="A9" s="5"/>
      <c r="B9" s="4" t="s">
        <v>259</v>
      </c>
      <c r="C9" s="6">
        <v>0</v>
      </c>
      <c r="D9" s="6">
        <v>1247.0635883345126</v>
      </c>
      <c r="E9" s="6">
        <v>2340.4324304356264</v>
      </c>
      <c r="F9" s="6">
        <v>2340.4324304355982</v>
      </c>
      <c r="G9" s="6">
        <v>2340.4324304355414</v>
      </c>
      <c r="H9" s="6">
        <f>G9*G8/F8</f>
        <v>2340.4324304354463</v>
      </c>
    </row>
    <row r="10" spans="1:10" x14ac:dyDescent="0.2">
      <c r="A10" s="5"/>
      <c r="B10" s="4" t="s">
        <v>260</v>
      </c>
      <c r="C10" s="6">
        <v>0</v>
      </c>
      <c r="D10" s="6">
        <v>0</v>
      </c>
      <c r="E10" s="6">
        <v>1079.597472619625</v>
      </c>
      <c r="F10" s="6">
        <v>2010.0000391394701</v>
      </c>
      <c r="G10" s="6">
        <v>2010.0000391394133</v>
      </c>
      <c r="H10" s="6">
        <f>G10*G9/F9</f>
        <v>2010.0000391393644</v>
      </c>
    </row>
    <row r="11" spans="1:10" x14ac:dyDescent="0.2">
      <c r="A11" s="5"/>
      <c r="B11" s="4" t="s">
        <v>261</v>
      </c>
      <c r="C11" s="6">
        <v>0</v>
      </c>
      <c r="D11" s="6">
        <v>0</v>
      </c>
      <c r="E11" s="6">
        <v>0</v>
      </c>
      <c r="F11" s="6">
        <v>794.14728275595792</v>
      </c>
      <c r="G11" s="6">
        <v>1521.7845922579868</v>
      </c>
      <c r="H11" s="6">
        <f>G11*H10/G10</f>
        <v>1521.7845922579497</v>
      </c>
    </row>
    <row r="12" spans="1:10" x14ac:dyDescent="0.2">
      <c r="A12" s="5"/>
      <c r="B12" s="4" t="s">
        <v>262</v>
      </c>
      <c r="C12" s="6">
        <v>0</v>
      </c>
      <c r="D12" s="6">
        <v>0</v>
      </c>
      <c r="E12" s="6">
        <v>0</v>
      </c>
      <c r="F12" s="6">
        <v>0</v>
      </c>
      <c r="G12" s="6">
        <v>893.22992597475093</v>
      </c>
      <c r="H12" s="6">
        <f>G11*G12/F11</f>
        <v>1711.6516900679658</v>
      </c>
      <c r="J12" s="7">
        <f>G12*G12/F11</f>
        <v>1004.6747221598715</v>
      </c>
    </row>
    <row r="13" spans="1:10" x14ac:dyDescent="0.2">
      <c r="A13" s="5" t="s">
        <v>266</v>
      </c>
      <c r="B13" s="8" t="s">
        <v>258</v>
      </c>
      <c r="C13" s="9">
        <v>10801.029942553165</v>
      </c>
      <c r="D13" s="9">
        <v>296.03494813628117</v>
      </c>
      <c r="E13" s="9">
        <v>0</v>
      </c>
      <c r="F13" s="9">
        <v>0</v>
      </c>
      <c r="G13" s="9">
        <v>0</v>
      </c>
      <c r="H13" s="6">
        <v>0</v>
      </c>
    </row>
    <row r="14" spans="1:10" x14ac:dyDescent="0.2">
      <c r="A14" s="5"/>
      <c r="B14" s="4" t="s">
        <v>259</v>
      </c>
      <c r="C14" s="6">
        <v>0</v>
      </c>
      <c r="D14" s="6">
        <v>9955.2238533679756</v>
      </c>
      <c r="E14" s="6">
        <v>297.54751199405405</v>
      </c>
      <c r="F14" s="6">
        <v>0</v>
      </c>
      <c r="G14" s="6">
        <v>0</v>
      </c>
      <c r="H14" s="6">
        <v>0</v>
      </c>
    </row>
    <row r="15" spans="1:10" x14ac:dyDescent="0.2">
      <c r="A15" s="5"/>
      <c r="B15" s="4" t="s">
        <v>260</v>
      </c>
      <c r="C15" s="6">
        <v>0</v>
      </c>
      <c r="D15" s="6">
        <v>0</v>
      </c>
      <c r="E15" s="6">
        <v>9077.8710356465981</v>
      </c>
      <c r="F15" s="6">
        <v>298.03182083902868</v>
      </c>
      <c r="G15" s="6">
        <v>0</v>
      </c>
      <c r="H15" s="6">
        <v>0</v>
      </c>
    </row>
    <row r="16" spans="1:10" x14ac:dyDescent="0.2">
      <c r="A16" s="5"/>
      <c r="B16" s="4" t="s">
        <v>261</v>
      </c>
      <c r="C16" s="6">
        <v>0</v>
      </c>
      <c r="D16" s="6">
        <v>0</v>
      </c>
      <c r="E16" s="6">
        <v>0</v>
      </c>
      <c r="F16" s="6">
        <v>8382.9842435958235</v>
      </c>
      <c r="G16" s="6">
        <v>298.23015981313006</v>
      </c>
      <c r="H16" s="6">
        <v>0</v>
      </c>
    </row>
    <row r="17" spans="1:10" x14ac:dyDescent="0.2">
      <c r="A17" s="5"/>
      <c r="B17" s="4" t="s">
        <v>262</v>
      </c>
      <c r="C17" s="6">
        <v>0</v>
      </c>
      <c r="D17" s="6">
        <v>0</v>
      </c>
      <c r="E17" s="6">
        <v>0</v>
      </c>
      <c r="F17" s="6">
        <v>0</v>
      </c>
      <c r="G17" s="6">
        <v>7560.5135831943298</v>
      </c>
      <c r="H17" s="6">
        <f>G16*G17/F16</f>
        <v>268.97022691029372</v>
      </c>
      <c r="J17" s="7">
        <f>G17*G17/F16</f>
        <v>6818.737096557752</v>
      </c>
    </row>
    <row r="18" spans="1:10" x14ac:dyDescent="0.2">
      <c r="A18" s="5" t="s">
        <v>267</v>
      </c>
      <c r="B18" s="8" t="s">
        <v>258</v>
      </c>
      <c r="C18" s="9">
        <v>16.739095948167915</v>
      </c>
      <c r="D18" s="9">
        <v>30.148592632954774</v>
      </c>
      <c r="E18" s="9">
        <v>30.24273275958933</v>
      </c>
      <c r="F18" s="9">
        <v>31.831503096000802</v>
      </c>
      <c r="G18" s="9">
        <v>32.585731871364487</v>
      </c>
      <c r="H18" s="6">
        <f>G18*G18/F18</f>
        <v>33.357831654700085</v>
      </c>
    </row>
    <row r="19" spans="1:10" x14ac:dyDescent="0.2">
      <c r="A19" s="5"/>
      <c r="B19" s="4" t="s">
        <v>259</v>
      </c>
      <c r="C19" s="6">
        <v>0</v>
      </c>
      <c r="D19" s="6">
        <v>16.484801098513913</v>
      </c>
      <c r="E19" s="6">
        <v>30.936868505676784</v>
      </c>
      <c r="F19" s="6">
        <v>32.455939373335241</v>
      </c>
      <c r="G19" s="6">
        <v>33.177931210147449</v>
      </c>
      <c r="H19" s="6">
        <f>G19*G18/F18</f>
        <v>33.964062809093967</v>
      </c>
    </row>
    <row r="20" spans="1:10" x14ac:dyDescent="0.2">
      <c r="A20" s="5"/>
      <c r="B20" s="4" t="s">
        <v>260</v>
      </c>
      <c r="C20" s="6">
        <v>0</v>
      </c>
      <c r="D20" s="6">
        <v>0</v>
      </c>
      <c r="E20" s="6">
        <v>14.791271540715911</v>
      </c>
      <c r="F20" s="6">
        <v>33.110969243537625</v>
      </c>
      <c r="G20" s="6">
        <v>33.802119015732046</v>
      </c>
      <c r="H20" s="6">
        <f>G20*G19/F19</f>
        <v>34.554057011289288</v>
      </c>
    </row>
    <row r="21" spans="1:10" x14ac:dyDescent="0.2">
      <c r="A21" s="5"/>
      <c r="B21" s="4" t="s">
        <v>261</v>
      </c>
      <c r="C21" s="6">
        <v>0</v>
      </c>
      <c r="D21" s="6">
        <v>0</v>
      </c>
      <c r="E21" s="6">
        <v>0</v>
      </c>
      <c r="F21" s="6">
        <v>14.233420420268317</v>
      </c>
      <c r="G21" s="6">
        <v>35.180677395189264</v>
      </c>
      <c r="H21" s="6">
        <f>G21*H20/G20</f>
        <v>35.963281823940392</v>
      </c>
    </row>
    <row r="22" spans="1:10" x14ac:dyDescent="0.2">
      <c r="A22" s="5"/>
      <c r="B22" s="4" t="s">
        <v>262</v>
      </c>
      <c r="C22" s="6">
        <v>0</v>
      </c>
      <c r="D22" s="6">
        <v>0</v>
      </c>
      <c r="E22" s="6">
        <v>0</v>
      </c>
      <c r="F22" s="6">
        <v>0</v>
      </c>
      <c r="G22" s="6">
        <v>13.247590725484315</v>
      </c>
      <c r="H22" s="6">
        <f>G21*G22/F21</f>
        <v>32.744006838517819</v>
      </c>
      <c r="J22" s="7">
        <f>G22*G22/F21</f>
        <v>12.330041188134151</v>
      </c>
    </row>
  </sheetData>
  <hyperlinks>
    <hyperlink ref="A1" location="Notes!A1" display="Back to contents" xr:uid="{E34EFB33-0C6F-4D4D-AE7A-0353CDD977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Calculations</vt:lpstr>
      <vt:lpstr>HAVERD</vt:lpstr>
      <vt:lpstr>OBR RR Oct23 - Debt interest</vt:lpstr>
      <vt:lpstr>Chart2</vt:lpstr>
      <vt:lpstr>Chart2 (2)</vt:lpstr>
      <vt:lpstr>Chart - gilts</vt:lpstr>
      <vt:lpstr>Chart - market expectations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2023-12-07T11:37:13Z</dcterms:created>
  <dcterms:modified xsi:type="dcterms:W3CDTF">2024-02-23T10:40:25Z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2023-12-07T11:37:48Z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631466a1-1efe-4b1e-b71f-58e8f3b2332c</vt:lpwstr>
  </property>
  <property fmtid="{D5CDD505-2E9C-101B-9397-08002B2CF9AE}" pid="8" name="MSIP_Label_3b83b38b-8e91-4f17-8371-95d3d41e26c0_ContentBits">
    <vt:lpwstr>0</vt:lpwstr>
  </property>
</Properties>
</file>