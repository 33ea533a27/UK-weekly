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5-06/Weekly 2/"/>
    </mc:Choice>
  </mc:AlternateContent>
  <xr:revisionPtr revIDLastSave="231" documentId="13_ncr:1_{D2C9BD08-1B00-4C8B-B307-54FC71BDF351}" xr6:coauthVersionLast="47" xr6:coauthVersionMax="47" xr10:uidLastSave="{884C5DBB-5AD6-4626-9981-E0D984D68A52}"/>
  <bookViews>
    <workbookView xWindow="-110" yWindow="-110" windowWidth="19420" windowHeight="10300" tabRatio="795" xr2:uid="{4F546E63-6815-4710-96AB-4A31342FF416}"/>
  </bookViews>
  <sheets>
    <sheet name="Chart1" sheetId="4" r:id="rId1"/>
    <sheet name="Chart2" sheetId="6" r:id="rId2"/>
    <sheet name="Sectors" sheetId="3" r:id="rId3"/>
    <sheet name="Inflows" sheetId="5" r:id="rId4"/>
    <sheet name="Outflows" sheetId="7" r:id="rId5"/>
    <sheet name="HAVERM" sheetId="1" r:id="rId6"/>
    <sheet name="HAVERA" sheetId="2" r:id="rId7"/>
  </sheets>
  <definedNames>
    <definedName name="_DLX1.INC">HAVERM!$J$5:$AI$9</definedName>
    <definedName name="_DLX2.INC">HAVERA!$A$5:$V$9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6" i="3" l="1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E53" i="7" s="1"/>
  <c r="B48" i="7"/>
  <c r="D49" i="7" s="1"/>
  <c r="C48" i="7"/>
  <c r="B49" i="7"/>
  <c r="C49" i="7"/>
  <c r="B50" i="7"/>
  <c r="D50" i="7" s="1"/>
  <c r="C50" i="7"/>
  <c r="B51" i="7"/>
  <c r="D51" i="7" s="1"/>
  <c r="C51" i="7"/>
  <c r="E51" i="7" s="1"/>
  <c r="B52" i="7"/>
  <c r="D52" i="7" s="1"/>
  <c r="C52" i="7"/>
  <c r="E52" i="7" s="1"/>
  <c r="B53" i="7"/>
  <c r="D53" i="7" s="1"/>
  <c r="C53" i="7"/>
  <c r="B54" i="7"/>
  <c r="D54" i="7" s="1"/>
  <c r="C54" i="7"/>
  <c r="B55" i="7"/>
  <c r="D55" i="7" s="1"/>
  <c r="C55" i="7"/>
  <c r="E55" i="7" s="1"/>
  <c r="B56" i="7"/>
  <c r="D56" i="7" s="1"/>
  <c r="C56" i="7"/>
  <c r="E56" i="7" s="1"/>
  <c r="B57" i="7"/>
  <c r="D57" i="7" s="1"/>
  <c r="C57" i="7"/>
  <c r="B58" i="7"/>
  <c r="D58" i="7" s="1"/>
  <c r="C58" i="7"/>
  <c r="B59" i="7"/>
  <c r="D59" i="7" s="1"/>
  <c r="C59" i="7"/>
  <c r="E59" i="7" s="1"/>
  <c r="B60" i="7"/>
  <c r="D60" i="7" s="1"/>
  <c r="C60" i="7"/>
  <c r="E60" i="7" s="1"/>
  <c r="B61" i="7"/>
  <c r="D61" i="7" s="1"/>
  <c r="C61" i="7"/>
  <c r="B62" i="7"/>
  <c r="D62" i="7" s="1"/>
  <c r="C62" i="7"/>
  <c r="B63" i="7"/>
  <c r="D63" i="7" s="1"/>
  <c r="C63" i="7"/>
  <c r="E63" i="7" s="1"/>
  <c r="B64" i="7"/>
  <c r="D64" i="7" s="1"/>
  <c r="C64" i="7"/>
  <c r="E64" i="7" s="1"/>
  <c r="B65" i="7"/>
  <c r="D65" i="7" s="1"/>
  <c r="C65" i="7"/>
  <c r="B66" i="7"/>
  <c r="D66" i="7" s="1"/>
  <c r="C66" i="7"/>
  <c r="B67" i="7"/>
  <c r="D67" i="7" s="1"/>
  <c r="C67" i="7"/>
  <c r="E67" i="7" s="1"/>
  <c r="B68" i="7"/>
  <c r="D68" i="7" s="1"/>
  <c r="C68" i="7"/>
  <c r="E68" i="7" s="1"/>
  <c r="B69" i="7"/>
  <c r="D69" i="7" s="1"/>
  <c r="C69" i="7"/>
  <c r="B70" i="7"/>
  <c r="D70" i="7" s="1"/>
  <c r="C70" i="7"/>
  <c r="B71" i="7"/>
  <c r="D71" i="7" s="1"/>
  <c r="C71" i="7"/>
  <c r="E71" i="7" s="1"/>
  <c r="B72" i="7"/>
  <c r="D72" i="7" s="1"/>
  <c r="C72" i="7"/>
  <c r="E72" i="7" s="1"/>
  <c r="B73" i="7"/>
  <c r="D73" i="7" s="1"/>
  <c r="C73" i="7"/>
  <c r="B74" i="7"/>
  <c r="D74" i="7" s="1"/>
  <c r="C74" i="7"/>
  <c r="B75" i="7"/>
  <c r="D75" i="7" s="1"/>
  <c r="C75" i="7"/>
  <c r="E75" i="7" s="1"/>
  <c r="B76" i="7"/>
  <c r="D76" i="7" s="1"/>
  <c r="C76" i="7"/>
  <c r="E76" i="7" s="1"/>
  <c r="B77" i="7"/>
  <c r="D77" i="7" s="1"/>
  <c r="C77" i="7"/>
  <c r="B78" i="7"/>
  <c r="D78" i="7" s="1"/>
  <c r="C78" i="7"/>
  <c r="B79" i="7"/>
  <c r="D79" i="7" s="1"/>
  <c r="C79" i="7"/>
  <c r="E79" i="7" s="1"/>
  <c r="B80" i="7"/>
  <c r="D80" i="7" s="1"/>
  <c r="C80" i="7"/>
  <c r="E80" i="7" s="1"/>
  <c r="B81" i="7"/>
  <c r="D81" i="7" s="1"/>
  <c r="C81" i="7"/>
  <c r="B82" i="7"/>
  <c r="D82" i="7" s="1"/>
  <c r="C82" i="7"/>
  <c r="B83" i="7"/>
  <c r="D83" i="7" s="1"/>
  <c r="C83" i="7"/>
  <c r="E83" i="7" s="1"/>
  <c r="B84" i="7"/>
  <c r="D84" i="7" s="1"/>
  <c r="C84" i="7"/>
  <c r="E84" i="7" s="1"/>
  <c r="B85" i="7"/>
  <c r="D85" i="7" s="1"/>
  <c r="C85" i="7"/>
  <c r="B86" i="7"/>
  <c r="D86" i="7" s="1"/>
  <c r="C86" i="7"/>
  <c r="B87" i="7"/>
  <c r="D87" i="7" s="1"/>
  <c r="C87" i="7"/>
  <c r="E87" i="7" s="1"/>
  <c r="B88" i="7"/>
  <c r="D88" i="7" s="1"/>
  <c r="C88" i="7"/>
  <c r="E88" i="7" s="1"/>
  <c r="B89" i="7"/>
  <c r="D89" i="7" s="1"/>
  <c r="C89" i="7"/>
  <c r="B90" i="7"/>
  <c r="D90" i="7" s="1"/>
  <c r="C90" i="7"/>
  <c r="B91" i="7"/>
  <c r="D91" i="7" s="1"/>
  <c r="C91" i="7"/>
  <c r="E91" i="7" s="1"/>
  <c r="B92" i="7"/>
  <c r="D92" i="7" s="1"/>
  <c r="C92" i="7"/>
  <c r="E92" i="7" s="1"/>
  <c r="B93" i="7"/>
  <c r="D93" i="7" s="1"/>
  <c r="C93" i="7"/>
  <c r="B94" i="7"/>
  <c r="D94" i="7" s="1"/>
  <c r="C94" i="7"/>
  <c r="B95" i="7"/>
  <c r="D95" i="7" s="1"/>
  <c r="C95" i="7"/>
  <c r="E95" i="7" s="1"/>
  <c r="B96" i="7"/>
  <c r="D96" i="7" s="1"/>
  <c r="C96" i="7"/>
  <c r="E96" i="7" s="1"/>
  <c r="B97" i="7"/>
  <c r="D97" i="7" s="1"/>
  <c r="C97" i="7"/>
  <c r="B98" i="7"/>
  <c r="D98" i="7" s="1"/>
  <c r="C98" i="7"/>
  <c r="B99" i="7"/>
  <c r="D99" i="7" s="1"/>
  <c r="C99" i="7"/>
  <c r="E99" i="7" s="1"/>
  <c r="B100" i="7"/>
  <c r="D100" i="7" s="1"/>
  <c r="C100" i="7"/>
  <c r="E100" i="7" s="1"/>
  <c r="B101" i="7"/>
  <c r="D101" i="7" s="1"/>
  <c r="C101" i="7"/>
  <c r="B102" i="7"/>
  <c r="D102" i="7" s="1"/>
  <c r="C102" i="7"/>
  <c r="B103" i="7"/>
  <c r="D103" i="7" s="1"/>
  <c r="C103" i="7"/>
  <c r="E103" i="7" s="1"/>
  <c r="B104" i="7"/>
  <c r="D104" i="7" s="1"/>
  <c r="C104" i="7"/>
  <c r="E104" i="7" s="1"/>
  <c r="B105" i="7"/>
  <c r="D105" i="7" s="1"/>
  <c r="C105" i="7"/>
  <c r="B106" i="7"/>
  <c r="D106" i="7" s="1"/>
  <c r="C106" i="7"/>
  <c r="B107" i="7"/>
  <c r="D107" i="7" s="1"/>
  <c r="C107" i="7"/>
  <c r="E107" i="7" s="1"/>
  <c r="B108" i="7"/>
  <c r="D108" i="7" s="1"/>
  <c r="C108" i="7"/>
  <c r="E108" i="7" s="1"/>
  <c r="B109" i="7"/>
  <c r="D109" i="7" s="1"/>
  <c r="C109" i="7"/>
  <c r="B110" i="7"/>
  <c r="D110" i="7" s="1"/>
  <c r="C110" i="7"/>
  <c r="B111" i="7"/>
  <c r="D111" i="7" s="1"/>
  <c r="C111" i="7"/>
  <c r="E111" i="7" s="1"/>
  <c r="B112" i="7"/>
  <c r="D112" i="7" s="1"/>
  <c r="C112" i="7"/>
  <c r="E112" i="7" s="1"/>
  <c r="B113" i="7"/>
  <c r="D113" i="7" s="1"/>
  <c r="C113" i="7"/>
  <c r="C114" i="7"/>
  <c r="C14" i="7"/>
  <c r="B14" i="7"/>
  <c r="A14" i="7"/>
  <c r="E12" i="5"/>
  <c r="D12" i="5"/>
  <c r="E56" i="5"/>
  <c r="E60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D57" i="5" s="1"/>
  <c r="C48" i="5"/>
  <c r="A49" i="5"/>
  <c r="B49" i="5"/>
  <c r="D49" i="5" s="1"/>
  <c r="C49" i="5"/>
  <c r="E52" i="5" s="1"/>
  <c r="A50" i="5"/>
  <c r="B50" i="5"/>
  <c r="D50" i="5" s="1"/>
  <c r="C50" i="5"/>
  <c r="E50" i="5" s="1"/>
  <c r="A51" i="5"/>
  <c r="B51" i="5"/>
  <c r="D51" i="5" s="1"/>
  <c r="C51" i="5"/>
  <c r="E51" i="5" s="1"/>
  <c r="A52" i="5"/>
  <c r="B52" i="5"/>
  <c r="D52" i="5" s="1"/>
  <c r="C52" i="5"/>
  <c r="A53" i="5"/>
  <c r="B53" i="5"/>
  <c r="D53" i="5" s="1"/>
  <c r="C53" i="5"/>
  <c r="E53" i="5" s="1"/>
  <c r="A54" i="5"/>
  <c r="B54" i="5"/>
  <c r="D54" i="5" s="1"/>
  <c r="C54" i="5"/>
  <c r="E54" i="5" s="1"/>
  <c r="A55" i="5"/>
  <c r="B55" i="5"/>
  <c r="C55" i="5"/>
  <c r="E55" i="5" s="1"/>
  <c r="A56" i="5"/>
  <c r="B56" i="5"/>
  <c r="D56" i="5" s="1"/>
  <c r="C56" i="5"/>
  <c r="A57" i="5"/>
  <c r="B57" i="5"/>
  <c r="C57" i="5"/>
  <c r="E57" i="5" s="1"/>
  <c r="A58" i="5"/>
  <c r="B58" i="5"/>
  <c r="D58" i="5" s="1"/>
  <c r="C58" i="5"/>
  <c r="E58" i="5" s="1"/>
  <c r="A59" i="5"/>
  <c r="B59" i="5"/>
  <c r="D59" i="5" s="1"/>
  <c r="C59" i="5"/>
  <c r="E59" i="5" s="1"/>
  <c r="A60" i="5"/>
  <c r="B60" i="5"/>
  <c r="D60" i="5" s="1"/>
  <c r="C60" i="5"/>
  <c r="A61" i="5"/>
  <c r="B61" i="5"/>
  <c r="D61" i="5" s="1"/>
  <c r="C61" i="5"/>
  <c r="E61" i="5" s="1"/>
  <c r="A62" i="5"/>
  <c r="B62" i="5"/>
  <c r="D62" i="5" s="1"/>
  <c r="C62" i="5"/>
  <c r="E62" i="5" s="1"/>
  <c r="A63" i="5"/>
  <c r="B63" i="5"/>
  <c r="C63" i="5"/>
  <c r="E63" i="5" s="1"/>
  <c r="A64" i="5"/>
  <c r="B64" i="5"/>
  <c r="D64" i="5" s="1"/>
  <c r="C64" i="5"/>
  <c r="E64" i="5" s="1"/>
  <c r="A65" i="5"/>
  <c r="B65" i="5"/>
  <c r="C65" i="5"/>
  <c r="E65" i="5" s="1"/>
  <c r="A66" i="5"/>
  <c r="B66" i="5"/>
  <c r="D66" i="5" s="1"/>
  <c r="C66" i="5"/>
  <c r="E66" i="5" s="1"/>
  <c r="A67" i="5"/>
  <c r="B67" i="5"/>
  <c r="D67" i="5" s="1"/>
  <c r="C67" i="5"/>
  <c r="E67" i="5" s="1"/>
  <c r="A68" i="5"/>
  <c r="B68" i="5"/>
  <c r="D68" i="5" s="1"/>
  <c r="C68" i="5"/>
  <c r="A69" i="5"/>
  <c r="B69" i="5"/>
  <c r="D69" i="5" s="1"/>
  <c r="C69" i="5"/>
  <c r="E69" i="5" s="1"/>
  <c r="A70" i="5"/>
  <c r="B70" i="5"/>
  <c r="D70" i="5" s="1"/>
  <c r="C70" i="5"/>
  <c r="E70" i="5" s="1"/>
  <c r="A71" i="5"/>
  <c r="B71" i="5"/>
  <c r="C71" i="5"/>
  <c r="E71" i="5" s="1"/>
  <c r="A72" i="5"/>
  <c r="B72" i="5"/>
  <c r="D72" i="5" s="1"/>
  <c r="C72" i="5"/>
  <c r="E72" i="5" s="1"/>
  <c r="A73" i="5"/>
  <c r="B73" i="5"/>
  <c r="C73" i="5"/>
  <c r="E73" i="5" s="1"/>
  <c r="A74" i="5"/>
  <c r="B74" i="5"/>
  <c r="D74" i="5" s="1"/>
  <c r="C74" i="5"/>
  <c r="E74" i="5" s="1"/>
  <c r="A75" i="5"/>
  <c r="B75" i="5"/>
  <c r="D75" i="5" s="1"/>
  <c r="C75" i="5"/>
  <c r="E75" i="5" s="1"/>
  <c r="A76" i="5"/>
  <c r="B76" i="5"/>
  <c r="D76" i="5" s="1"/>
  <c r="C76" i="5"/>
  <c r="A77" i="5"/>
  <c r="B77" i="5"/>
  <c r="D77" i="5" s="1"/>
  <c r="C77" i="5"/>
  <c r="E77" i="5" s="1"/>
  <c r="A78" i="5"/>
  <c r="B78" i="5"/>
  <c r="D78" i="5" s="1"/>
  <c r="C78" i="5"/>
  <c r="E78" i="5" s="1"/>
  <c r="A79" i="5"/>
  <c r="B79" i="5"/>
  <c r="C79" i="5"/>
  <c r="E79" i="5" s="1"/>
  <c r="A80" i="5"/>
  <c r="B80" i="5"/>
  <c r="D80" i="5" s="1"/>
  <c r="C80" i="5"/>
  <c r="E80" i="5" s="1"/>
  <c r="A81" i="5"/>
  <c r="B81" i="5"/>
  <c r="C81" i="5"/>
  <c r="E81" i="5" s="1"/>
  <c r="A82" i="5"/>
  <c r="B82" i="5"/>
  <c r="D82" i="5" s="1"/>
  <c r="C82" i="5"/>
  <c r="E82" i="5" s="1"/>
  <c r="A83" i="5"/>
  <c r="B83" i="5"/>
  <c r="D83" i="5" s="1"/>
  <c r="C83" i="5"/>
  <c r="E83" i="5" s="1"/>
  <c r="A84" i="5"/>
  <c r="B84" i="5"/>
  <c r="D84" i="5" s="1"/>
  <c r="C84" i="5"/>
  <c r="A85" i="5"/>
  <c r="B85" i="5"/>
  <c r="D85" i="5" s="1"/>
  <c r="C85" i="5"/>
  <c r="E85" i="5" s="1"/>
  <c r="A86" i="5"/>
  <c r="B86" i="5"/>
  <c r="D86" i="5" s="1"/>
  <c r="C86" i="5"/>
  <c r="E86" i="5" s="1"/>
  <c r="A87" i="5"/>
  <c r="B87" i="5"/>
  <c r="C87" i="5"/>
  <c r="E87" i="5" s="1"/>
  <c r="A88" i="5"/>
  <c r="B88" i="5"/>
  <c r="D88" i="5" s="1"/>
  <c r="C88" i="5"/>
  <c r="E88" i="5" s="1"/>
  <c r="A89" i="5"/>
  <c r="B89" i="5"/>
  <c r="C89" i="5"/>
  <c r="E89" i="5" s="1"/>
  <c r="A90" i="5"/>
  <c r="B90" i="5"/>
  <c r="D90" i="5" s="1"/>
  <c r="C90" i="5"/>
  <c r="E90" i="5" s="1"/>
  <c r="A91" i="5"/>
  <c r="B91" i="5"/>
  <c r="D91" i="5" s="1"/>
  <c r="C91" i="5"/>
  <c r="E91" i="5" s="1"/>
  <c r="A92" i="5"/>
  <c r="B92" i="5"/>
  <c r="D92" i="5" s="1"/>
  <c r="C92" i="5"/>
  <c r="A93" i="5"/>
  <c r="B93" i="5"/>
  <c r="D93" i="5" s="1"/>
  <c r="C93" i="5"/>
  <c r="E93" i="5" s="1"/>
  <c r="A94" i="5"/>
  <c r="B94" i="5"/>
  <c r="D94" i="5" s="1"/>
  <c r="C94" i="5"/>
  <c r="E94" i="5" s="1"/>
  <c r="A95" i="5"/>
  <c r="B95" i="5"/>
  <c r="C95" i="5"/>
  <c r="E95" i="5" s="1"/>
  <c r="A96" i="5"/>
  <c r="B96" i="5"/>
  <c r="D96" i="5" s="1"/>
  <c r="C96" i="5"/>
  <c r="E96" i="5" s="1"/>
  <c r="A97" i="5"/>
  <c r="B97" i="5"/>
  <c r="C97" i="5"/>
  <c r="E97" i="5" s="1"/>
  <c r="A98" i="5"/>
  <c r="B98" i="5"/>
  <c r="D98" i="5" s="1"/>
  <c r="C98" i="5"/>
  <c r="E98" i="5" s="1"/>
  <c r="A99" i="5"/>
  <c r="B99" i="5"/>
  <c r="D99" i="5" s="1"/>
  <c r="C99" i="5"/>
  <c r="E99" i="5" s="1"/>
  <c r="A100" i="5"/>
  <c r="B100" i="5"/>
  <c r="D100" i="5" s="1"/>
  <c r="C100" i="5"/>
  <c r="A101" i="5"/>
  <c r="B101" i="5"/>
  <c r="D101" i="5" s="1"/>
  <c r="C101" i="5"/>
  <c r="E101" i="5" s="1"/>
  <c r="A102" i="5"/>
  <c r="B102" i="5"/>
  <c r="D102" i="5" s="1"/>
  <c r="C102" i="5"/>
  <c r="E102" i="5" s="1"/>
  <c r="A103" i="5"/>
  <c r="B103" i="5"/>
  <c r="C103" i="5"/>
  <c r="E103" i="5" s="1"/>
  <c r="A104" i="5"/>
  <c r="B104" i="5"/>
  <c r="D104" i="5" s="1"/>
  <c r="C104" i="5"/>
  <c r="E104" i="5" s="1"/>
  <c r="A105" i="5"/>
  <c r="B105" i="5"/>
  <c r="C105" i="5"/>
  <c r="E105" i="5" s="1"/>
  <c r="A106" i="5"/>
  <c r="B106" i="5"/>
  <c r="D106" i="5" s="1"/>
  <c r="C106" i="5"/>
  <c r="E106" i="5" s="1"/>
  <c r="A107" i="5"/>
  <c r="B107" i="5"/>
  <c r="D107" i="5" s="1"/>
  <c r="C107" i="5"/>
  <c r="E107" i="5" s="1"/>
  <c r="A108" i="5"/>
  <c r="B108" i="5"/>
  <c r="D108" i="5" s="1"/>
  <c r="C108" i="5"/>
  <c r="A109" i="5"/>
  <c r="B109" i="5"/>
  <c r="D109" i="5" s="1"/>
  <c r="C109" i="5"/>
  <c r="E109" i="5" s="1"/>
  <c r="A110" i="5"/>
  <c r="B110" i="5"/>
  <c r="D110" i="5" s="1"/>
  <c r="C110" i="5"/>
  <c r="E110" i="5" s="1"/>
  <c r="A111" i="5"/>
  <c r="B111" i="5"/>
  <c r="C111" i="5"/>
  <c r="E111" i="5" s="1"/>
  <c r="A112" i="5"/>
  <c r="B112" i="5"/>
  <c r="D112" i="5" s="1"/>
  <c r="C112" i="5"/>
  <c r="E112" i="5" s="1"/>
  <c r="A113" i="5"/>
  <c r="B113" i="5"/>
  <c r="C113" i="5"/>
  <c r="E113" i="5" s="1"/>
  <c r="A114" i="5"/>
  <c r="C14" i="5"/>
  <c r="B14" i="5"/>
  <c r="A14" i="5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T106" i="3"/>
  <c r="S106" i="3"/>
  <c r="R106" i="3"/>
  <c r="Q106" i="3"/>
  <c r="P106" i="3"/>
  <c r="O106" i="3"/>
  <c r="N106" i="3"/>
  <c r="N116" i="3" s="1"/>
  <c r="M106" i="3"/>
  <c r="L106" i="3"/>
  <c r="K106" i="3"/>
  <c r="J106" i="3"/>
  <c r="I106" i="3"/>
  <c r="H106" i="3"/>
  <c r="G106" i="3"/>
  <c r="F106" i="3"/>
  <c r="E106" i="3"/>
  <c r="D106" i="3"/>
  <c r="C106" i="3"/>
  <c r="B106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04" i="3"/>
  <c r="A105" i="3"/>
  <c r="A106" i="3"/>
  <c r="A107" i="3"/>
  <c r="A108" i="3"/>
  <c r="A109" i="3"/>
  <c r="A110" i="3"/>
  <c r="A111" i="3"/>
  <c r="A112" i="3"/>
  <c r="A113" i="3"/>
  <c r="A1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4" i="3"/>
  <c r="D111" i="5" l="1"/>
  <c r="D103" i="5"/>
  <c r="D95" i="5"/>
  <c r="D87" i="5"/>
  <c r="D79" i="5"/>
  <c r="D71" i="5"/>
  <c r="D63" i="5"/>
  <c r="D55" i="5"/>
  <c r="E49" i="5"/>
  <c r="E110" i="7"/>
  <c r="E106" i="7"/>
  <c r="E102" i="7"/>
  <c r="E98" i="7"/>
  <c r="E94" i="7"/>
  <c r="E90" i="7"/>
  <c r="E86" i="7"/>
  <c r="E82" i="7"/>
  <c r="E78" i="7"/>
  <c r="E74" i="7"/>
  <c r="E70" i="7"/>
  <c r="E66" i="7"/>
  <c r="E62" i="7"/>
  <c r="E58" i="7"/>
  <c r="E54" i="7"/>
  <c r="E50" i="7"/>
  <c r="D113" i="5"/>
  <c r="D105" i="5"/>
  <c r="D97" i="5"/>
  <c r="D89" i="5"/>
  <c r="D81" i="5"/>
  <c r="D73" i="5"/>
  <c r="D65" i="5"/>
  <c r="E49" i="7"/>
  <c r="E108" i="5"/>
  <c r="E100" i="5"/>
  <c r="E92" i="5"/>
  <c r="E84" i="5"/>
  <c r="E76" i="5"/>
  <c r="E68" i="5"/>
  <c r="E113" i="7"/>
  <c r="E109" i="7"/>
  <c r="E105" i="7"/>
  <c r="E101" i="7"/>
  <c r="E97" i="7"/>
  <c r="E93" i="7"/>
  <c r="E89" i="7"/>
  <c r="E85" i="7"/>
  <c r="E81" i="7"/>
  <c r="E77" i="7"/>
  <c r="E73" i="7"/>
  <c r="E69" i="7"/>
  <c r="E65" i="7"/>
  <c r="E61" i="7"/>
  <c r="E57" i="7"/>
  <c r="J116" i="3"/>
  <c r="R116" i="3"/>
  <c r="L116" i="3"/>
  <c r="H116" i="3"/>
  <c r="D7" i="3"/>
  <c r="D8" i="3" s="1"/>
  <c r="T116" i="3"/>
  <c r="P116" i="3"/>
  <c r="I116" i="3"/>
  <c r="Q116" i="3"/>
  <c r="G7" i="3"/>
  <c r="G8" i="3" s="1"/>
  <c r="O7" i="3"/>
  <c r="O8" i="3" s="1"/>
  <c r="X54" i="3"/>
  <c r="X55" i="3"/>
  <c r="X82" i="3"/>
  <c r="X92" i="3"/>
  <c r="X93" i="3"/>
  <c r="K116" i="3"/>
  <c r="S116" i="3"/>
  <c r="L7" i="3"/>
  <c r="L8" i="3" s="1"/>
  <c r="P7" i="3"/>
  <c r="P8" i="3" s="1"/>
  <c r="I7" i="3"/>
  <c r="I8" i="3" s="1"/>
  <c r="Q7" i="3"/>
  <c r="Q8" i="3" s="1"/>
  <c r="M116" i="3"/>
  <c r="N7" i="3"/>
  <c r="N8" i="3" s="1"/>
  <c r="J7" i="3"/>
  <c r="J8" i="3" s="1"/>
  <c r="R7" i="3"/>
  <c r="R8" i="3" s="1"/>
  <c r="O116" i="3"/>
  <c r="X24" i="3"/>
  <c r="X72" i="3"/>
  <c r="X32" i="3"/>
  <c r="X33" i="3"/>
  <c r="X67" i="3"/>
  <c r="X114" i="3"/>
  <c r="H7" i="3"/>
  <c r="H8" i="3" s="1"/>
  <c r="T7" i="3"/>
  <c r="T8" i="3" s="1"/>
  <c r="X45" i="3"/>
  <c r="B7" i="3"/>
  <c r="B8" i="3" s="1"/>
  <c r="X31" i="3"/>
  <c r="C7" i="3"/>
  <c r="C8" i="3" s="1"/>
  <c r="W28" i="3" s="1"/>
  <c r="K7" i="3"/>
  <c r="K8" i="3" s="1"/>
  <c r="W67" i="3" s="1"/>
  <c r="S7" i="3"/>
  <c r="S8" i="3" s="1"/>
  <c r="E7" i="3"/>
  <c r="E8" i="3" s="1"/>
  <c r="M7" i="3"/>
  <c r="M8" i="3" s="1"/>
  <c r="F7" i="3"/>
  <c r="F8" i="3" s="1"/>
  <c r="X34" i="3"/>
  <c r="X65" i="3"/>
  <c r="X77" i="3"/>
  <c r="X89" i="3"/>
  <c r="X101" i="3"/>
  <c r="X113" i="3"/>
  <c r="X14" i="3"/>
  <c r="X26" i="3"/>
  <c r="X38" i="3"/>
  <c r="X43" i="3"/>
  <c r="X62" i="3"/>
  <c r="X84" i="3"/>
  <c r="X91" i="3"/>
  <c r="X98" i="3"/>
  <c r="X110" i="3"/>
  <c r="X50" i="3"/>
  <c r="X21" i="3"/>
  <c r="X57" i="3"/>
  <c r="AC57" i="3" s="1"/>
  <c r="X81" i="3"/>
  <c r="X106" i="3"/>
  <c r="X42" i="3"/>
  <c r="AC45" i="3" s="1"/>
  <c r="X102" i="3"/>
  <c r="X86" i="3"/>
  <c r="X22" i="3"/>
  <c r="X94" i="3"/>
  <c r="X74" i="3"/>
  <c r="X15" i="3"/>
  <c r="X20" i="3"/>
  <c r="X27" i="3"/>
  <c r="AC27" i="3" s="1"/>
  <c r="X30" i="3"/>
  <c r="X39" i="3"/>
  <c r="X44" i="3"/>
  <c r="X51" i="3"/>
  <c r="AC54" i="3" s="1"/>
  <c r="X56" i="3"/>
  <c r="X63" i="3"/>
  <c r="X66" i="3"/>
  <c r="X68" i="3"/>
  <c r="X75" i="3"/>
  <c r="AC75" i="3" s="1"/>
  <c r="X80" i="3"/>
  <c r="X87" i="3"/>
  <c r="X90" i="3"/>
  <c r="X99" i="3"/>
  <c r="X104" i="3"/>
  <c r="AC104" i="3" s="1"/>
  <c r="X111" i="3"/>
  <c r="X17" i="3"/>
  <c r="X29" i="3"/>
  <c r="X41" i="3"/>
  <c r="X46" i="3"/>
  <c r="X53" i="3"/>
  <c r="X58" i="3"/>
  <c r="X70" i="3"/>
  <c r="X69" i="3"/>
  <c r="X48" i="3"/>
  <c r="X108" i="3"/>
  <c r="X16" i="3"/>
  <c r="X23" i="3"/>
  <c r="X28" i="3"/>
  <c r="X35" i="3"/>
  <c r="X40" i="3"/>
  <c r="X47" i="3"/>
  <c r="X52" i="3"/>
  <c r="X59" i="3"/>
  <c r="X64" i="3"/>
  <c r="X71" i="3"/>
  <c r="X76" i="3"/>
  <c r="X83" i="3"/>
  <c r="X88" i="3"/>
  <c r="X95" i="3"/>
  <c r="X100" i="3"/>
  <c r="X107" i="3"/>
  <c r="X112" i="3"/>
  <c r="X103" i="3"/>
  <c r="X60" i="3"/>
  <c r="X105" i="3"/>
  <c r="X19" i="3"/>
  <c r="X25" i="3"/>
  <c r="X37" i="3"/>
  <c r="W37" i="3"/>
  <c r="X49" i="3"/>
  <c r="X61" i="3"/>
  <c r="X73" i="3"/>
  <c r="X85" i="3"/>
  <c r="X97" i="3"/>
  <c r="X109" i="3"/>
  <c r="X79" i="3"/>
  <c r="X36" i="3"/>
  <c r="X18" i="3"/>
  <c r="X96" i="3"/>
  <c r="X78" i="3"/>
  <c r="AC46" i="3" l="1"/>
  <c r="W104" i="3"/>
  <c r="W102" i="3"/>
  <c r="V88" i="3"/>
  <c r="AA91" i="3" s="1"/>
  <c r="W93" i="3"/>
  <c r="W107" i="3"/>
  <c r="AB107" i="3" s="1"/>
  <c r="AC29" i="3"/>
  <c r="AC87" i="3"/>
  <c r="W106" i="3"/>
  <c r="V46" i="3"/>
  <c r="AC80" i="3"/>
  <c r="V80" i="3"/>
  <c r="AA80" i="3" s="1"/>
  <c r="AC70" i="3"/>
  <c r="W17" i="3"/>
  <c r="W108" i="3"/>
  <c r="Y108" i="3" s="1"/>
  <c r="V85" i="3"/>
  <c r="Y85" i="3" s="1"/>
  <c r="W33" i="3"/>
  <c r="W46" i="3"/>
  <c r="V49" i="3"/>
  <c r="W38" i="3"/>
  <c r="W94" i="3"/>
  <c r="W35" i="3"/>
  <c r="V56" i="3"/>
  <c r="AA56" i="3" s="1"/>
  <c r="V43" i="3"/>
  <c r="AA46" i="3" s="1"/>
  <c r="AD46" i="3" s="1"/>
  <c r="W61" i="3"/>
  <c r="W30" i="3"/>
  <c r="W43" i="3"/>
  <c r="W84" i="3"/>
  <c r="W58" i="3"/>
  <c r="AC41" i="3"/>
  <c r="V82" i="3"/>
  <c r="Y82" i="3" s="1"/>
  <c r="V100" i="3"/>
  <c r="AA100" i="3" s="1"/>
  <c r="V87" i="3"/>
  <c r="V27" i="3"/>
  <c r="V76" i="3"/>
  <c r="V105" i="3"/>
  <c r="W70" i="3"/>
  <c r="V98" i="3"/>
  <c r="V38" i="3"/>
  <c r="W40" i="3"/>
  <c r="AB40" i="3" s="1"/>
  <c r="V94" i="3"/>
  <c r="V91" i="3"/>
  <c r="V14" i="3"/>
  <c r="W20" i="3"/>
  <c r="W96" i="3"/>
  <c r="AB96" i="3" s="1"/>
  <c r="V83" i="3"/>
  <c r="V67" i="3"/>
  <c r="AA67" i="3" s="1"/>
  <c r="W14" i="3"/>
  <c r="AB17" i="3" s="1"/>
  <c r="V42" i="3"/>
  <c r="V84" i="3"/>
  <c r="W90" i="3"/>
  <c r="W25" i="3"/>
  <c r="V48" i="3"/>
  <c r="W31" i="3"/>
  <c r="AB31" i="3" s="1"/>
  <c r="W72" i="3"/>
  <c r="Y72" i="3" s="1"/>
  <c r="AC58" i="3"/>
  <c r="W41" i="3"/>
  <c r="W112" i="3"/>
  <c r="V99" i="3"/>
  <c r="V66" i="3"/>
  <c r="Y66" i="3" s="1"/>
  <c r="W39" i="3"/>
  <c r="W22" i="3"/>
  <c r="V64" i="3"/>
  <c r="AA64" i="3" s="1"/>
  <c r="V101" i="3"/>
  <c r="AA104" i="3" s="1"/>
  <c r="W62" i="3"/>
  <c r="AB62" i="3" s="1"/>
  <c r="V36" i="3"/>
  <c r="W34" i="3"/>
  <c r="W15" i="3"/>
  <c r="V68" i="3"/>
  <c r="W57" i="3"/>
  <c r="V51" i="3"/>
  <c r="V28" i="3"/>
  <c r="Y28" i="3" s="1"/>
  <c r="W44" i="3"/>
  <c r="AB44" i="3" s="1"/>
  <c r="W59" i="3"/>
  <c r="W56" i="3"/>
  <c r="V73" i="3"/>
  <c r="Y73" i="3" s="1"/>
  <c r="V32" i="3"/>
  <c r="W105" i="3"/>
  <c r="AB105" i="3" s="1"/>
  <c r="W85" i="3"/>
  <c r="AB85" i="3" s="1"/>
  <c r="W54" i="3"/>
  <c r="V24" i="3"/>
  <c r="AA27" i="3" s="1"/>
  <c r="V79" i="3"/>
  <c r="W19" i="3"/>
  <c r="W60" i="3"/>
  <c r="V53" i="3"/>
  <c r="W111" i="3"/>
  <c r="W63" i="3"/>
  <c r="AB63" i="3" s="1"/>
  <c r="V39" i="3"/>
  <c r="Y39" i="3" s="1"/>
  <c r="V25" i="3"/>
  <c r="W21" i="3"/>
  <c r="V22" i="3"/>
  <c r="V54" i="3"/>
  <c r="AA54" i="3" s="1"/>
  <c r="W69" i="3"/>
  <c r="W86" i="3"/>
  <c r="V62" i="3"/>
  <c r="AA65" i="3" s="1"/>
  <c r="W113" i="3"/>
  <c r="Y113" i="3" s="1"/>
  <c r="W89" i="3"/>
  <c r="W101" i="3"/>
  <c r="W23" i="3"/>
  <c r="W97" i="3"/>
  <c r="AB97" i="3" s="1"/>
  <c r="V57" i="3"/>
  <c r="W100" i="3"/>
  <c r="V15" i="3"/>
  <c r="AC34" i="3"/>
  <c r="W32" i="3"/>
  <c r="Y32" i="3" s="1"/>
  <c r="V44" i="3"/>
  <c r="V114" i="3"/>
  <c r="W49" i="3"/>
  <c r="Y49" i="3" s="1"/>
  <c r="W18" i="3"/>
  <c r="W45" i="3"/>
  <c r="W103" i="3"/>
  <c r="W48" i="3"/>
  <c r="AC53" i="3"/>
  <c r="W29" i="3"/>
  <c r="V111" i="3"/>
  <c r="V97" i="3"/>
  <c r="W76" i="3"/>
  <c r="W82" i="3"/>
  <c r="W52" i="3"/>
  <c r="W110" i="3"/>
  <c r="AB110" i="3" s="1"/>
  <c r="V86" i="3"/>
  <c r="W50" i="3"/>
  <c r="W26" i="3"/>
  <c r="AB29" i="3" s="1"/>
  <c r="V77" i="3"/>
  <c r="V74" i="3"/>
  <c r="W51" i="3"/>
  <c r="W99" i="3"/>
  <c r="Y99" i="3" s="1"/>
  <c r="W71" i="3"/>
  <c r="AB74" i="3" s="1"/>
  <c r="W114" i="3"/>
  <c r="W83" i="3"/>
  <c r="V104" i="3"/>
  <c r="Y104" i="3" s="1"/>
  <c r="W109" i="3"/>
  <c r="W78" i="3"/>
  <c r="AC19" i="3"/>
  <c r="V55" i="3"/>
  <c r="AA55" i="3" s="1"/>
  <c r="W91" i="3"/>
  <c r="AB94" i="3" s="1"/>
  <c r="AC72" i="3"/>
  <c r="W36" i="3"/>
  <c r="W53" i="3"/>
  <c r="V17" i="3"/>
  <c r="AA17" i="3" s="1"/>
  <c r="V90" i="3"/>
  <c r="Y90" i="3" s="1"/>
  <c r="W75" i="3"/>
  <c r="V59" i="3"/>
  <c r="Y59" i="3" s="1"/>
  <c r="V35" i="3"/>
  <c r="V18" i="3"/>
  <c r="V113" i="3"/>
  <c r="V45" i="3"/>
  <c r="V110" i="3"/>
  <c r="V50" i="3"/>
  <c r="V26" i="3"/>
  <c r="V106" i="3"/>
  <c r="Y106" i="3" s="1"/>
  <c r="W66" i="3"/>
  <c r="AB66" i="3" s="1"/>
  <c r="W55" i="3"/>
  <c r="W87" i="3"/>
  <c r="W98" i="3"/>
  <c r="AB101" i="3" s="1"/>
  <c r="W47" i="3"/>
  <c r="W68" i="3"/>
  <c r="V20" i="3"/>
  <c r="W80" i="3"/>
  <c r="AB83" i="3" s="1"/>
  <c r="W95" i="3"/>
  <c r="AB98" i="3" s="1"/>
  <c r="W92" i="3"/>
  <c r="AB92" i="3" s="1"/>
  <c r="V92" i="3"/>
  <c r="W73" i="3"/>
  <c r="W42" i="3"/>
  <c r="Y42" i="3" s="1"/>
  <c r="W64" i="3"/>
  <c r="V96" i="3"/>
  <c r="W79" i="3"/>
  <c r="AB82" i="3" s="1"/>
  <c r="V81" i="3"/>
  <c r="Y81" i="3" s="1"/>
  <c r="W24" i="3"/>
  <c r="V107" i="3"/>
  <c r="AC90" i="3"/>
  <c r="V75" i="3"/>
  <c r="AC30" i="3"/>
  <c r="V16" i="3"/>
  <c r="V93" i="3"/>
  <c r="Y93" i="3" s="1"/>
  <c r="V95" i="3"/>
  <c r="Y95" i="3" s="1"/>
  <c r="V23" i="3"/>
  <c r="Y23" i="3" s="1"/>
  <c r="V33" i="3"/>
  <c r="V108" i="3"/>
  <c r="AA111" i="3" s="1"/>
  <c r="W74" i="3"/>
  <c r="W77" i="3"/>
  <c r="AC100" i="3"/>
  <c r="AC52" i="3"/>
  <c r="AC66" i="3"/>
  <c r="AB93" i="3"/>
  <c r="AC106" i="3"/>
  <c r="V65" i="3"/>
  <c r="V112" i="3"/>
  <c r="V102" i="3"/>
  <c r="AA102" i="3" s="1"/>
  <c r="V72" i="3"/>
  <c r="W88" i="3"/>
  <c r="Y88" i="3" s="1"/>
  <c r="V78" i="3"/>
  <c r="AA78" i="3" s="1"/>
  <c r="V71" i="3"/>
  <c r="V37" i="3"/>
  <c r="Y37" i="3" s="1"/>
  <c r="AC88" i="3"/>
  <c r="AC40" i="3"/>
  <c r="AC99" i="3"/>
  <c r="AC81" i="3"/>
  <c r="AA36" i="3"/>
  <c r="AC113" i="3"/>
  <c r="V89" i="3"/>
  <c r="W65" i="3"/>
  <c r="V69" i="3"/>
  <c r="V58" i="3"/>
  <c r="Y58" i="3" s="1"/>
  <c r="V70" i="3"/>
  <c r="Y70" i="3" s="1"/>
  <c r="V31" i="3"/>
  <c r="W116" i="3"/>
  <c r="AC63" i="3"/>
  <c r="AC39" i="3"/>
  <c r="AC20" i="3"/>
  <c r="V30" i="3"/>
  <c r="AA30" i="3" s="1"/>
  <c r="AC28" i="3"/>
  <c r="AC111" i="3"/>
  <c r="AB26" i="3"/>
  <c r="V34" i="3"/>
  <c r="AC32" i="3"/>
  <c r="W81" i="3"/>
  <c r="V60" i="3"/>
  <c r="AA60" i="3" s="1"/>
  <c r="V21" i="3"/>
  <c r="Y21" i="3" s="1"/>
  <c r="V61" i="3"/>
  <c r="Y61" i="3" s="1"/>
  <c r="AC56" i="3"/>
  <c r="AC102" i="3"/>
  <c r="V52" i="3"/>
  <c r="AA52" i="3" s="1"/>
  <c r="V40" i="3"/>
  <c r="X116" i="3"/>
  <c r="V47" i="3"/>
  <c r="V19" i="3"/>
  <c r="Y19" i="3" s="1"/>
  <c r="AC112" i="3"/>
  <c r="AC64" i="3"/>
  <c r="AC51" i="3"/>
  <c r="V103" i="3"/>
  <c r="W16" i="3"/>
  <c r="Y16" i="3" s="1"/>
  <c r="V29" i="3"/>
  <c r="V109" i="3"/>
  <c r="AA109" i="3" s="1"/>
  <c r="V41" i="3"/>
  <c r="W27" i="3"/>
  <c r="AB30" i="3" s="1"/>
  <c r="AB46" i="3"/>
  <c r="V63" i="3"/>
  <c r="AA66" i="3" s="1"/>
  <c r="AC79" i="3"/>
  <c r="AC82" i="3"/>
  <c r="AB37" i="3"/>
  <c r="AC101" i="3"/>
  <c r="AC65" i="3"/>
  <c r="AC67" i="3"/>
  <c r="AB20" i="3"/>
  <c r="AA114" i="3"/>
  <c r="AC85" i="3"/>
  <c r="AC37" i="3"/>
  <c r="AC59" i="3"/>
  <c r="AC68" i="3"/>
  <c r="AC110" i="3"/>
  <c r="AC26" i="3"/>
  <c r="AC33" i="3"/>
  <c r="AC86" i="3"/>
  <c r="AC47" i="3"/>
  <c r="AC62" i="3"/>
  <c r="AB56" i="3"/>
  <c r="AC73" i="3"/>
  <c r="AC25" i="3"/>
  <c r="Y46" i="3"/>
  <c r="AB28" i="3"/>
  <c r="AA108" i="3"/>
  <c r="AC98" i="3"/>
  <c r="Y27" i="3"/>
  <c r="AC61" i="3"/>
  <c r="AB59" i="3"/>
  <c r="Y33" i="3"/>
  <c r="AC43" i="3"/>
  <c r="AC48" i="3"/>
  <c r="AA49" i="3"/>
  <c r="AC94" i="3"/>
  <c r="AC21" i="3"/>
  <c r="AC38" i="3"/>
  <c r="AC31" i="3"/>
  <c r="AC74" i="3"/>
  <c r="AC107" i="3"/>
  <c r="AC55" i="3"/>
  <c r="AA76" i="3"/>
  <c r="Y76" i="3"/>
  <c r="AC105" i="3"/>
  <c r="AC77" i="3"/>
  <c r="AC35" i="3"/>
  <c r="AB87" i="3"/>
  <c r="AC89" i="3"/>
  <c r="AC93" i="3"/>
  <c r="AA44" i="3"/>
  <c r="AC109" i="3"/>
  <c r="AC95" i="3"/>
  <c r="AC23" i="3"/>
  <c r="AC92" i="3"/>
  <c r="AC91" i="3"/>
  <c r="AC78" i="3"/>
  <c r="AB49" i="3"/>
  <c r="AC83" i="3"/>
  <c r="AC96" i="3"/>
  <c r="AC18" i="3"/>
  <c r="Y97" i="3"/>
  <c r="AC97" i="3"/>
  <c r="AC49" i="3"/>
  <c r="AC60" i="3"/>
  <c r="AC76" i="3"/>
  <c r="AC108" i="3"/>
  <c r="AC69" i="3"/>
  <c r="AB58" i="3"/>
  <c r="AC44" i="3"/>
  <c r="AB52" i="3"/>
  <c r="Y50" i="3"/>
  <c r="AC50" i="3"/>
  <c r="Y112" i="3"/>
  <c r="AC24" i="3"/>
  <c r="Y36" i="3"/>
  <c r="AC36" i="3"/>
  <c r="AB90" i="3"/>
  <c r="AC103" i="3"/>
  <c r="AC71" i="3"/>
  <c r="AC17" i="3"/>
  <c r="Y75" i="3"/>
  <c r="AC22" i="3"/>
  <c r="AC42" i="3"/>
  <c r="AB70" i="3"/>
  <c r="Y84" i="3"/>
  <c r="AC84" i="3"/>
  <c r="AC114" i="3"/>
  <c r="Y110" i="3" l="1"/>
  <c r="Y38" i="3"/>
  <c r="Y30" i="3"/>
  <c r="AA31" i="3"/>
  <c r="AA75" i="3"/>
  <c r="AA20" i="3"/>
  <c r="AB60" i="3"/>
  <c r="AB22" i="3"/>
  <c r="AD22" i="3" s="1"/>
  <c r="AB38" i="3"/>
  <c r="Y52" i="3"/>
  <c r="Y15" i="3"/>
  <c r="Y54" i="3"/>
  <c r="AB102" i="3"/>
  <c r="Y77" i="3"/>
  <c r="Y74" i="3"/>
  <c r="AB76" i="3"/>
  <c r="AD76" i="3" s="1"/>
  <c r="AB18" i="3"/>
  <c r="AA57" i="3"/>
  <c r="AA68" i="3"/>
  <c r="AB39" i="3"/>
  <c r="AA48" i="3"/>
  <c r="AB23" i="3"/>
  <c r="AD52" i="3"/>
  <c r="Y67" i="3"/>
  <c r="AA69" i="3"/>
  <c r="Y17" i="3"/>
  <c r="Y98" i="3"/>
  <c r="AA110" i="3"/>
  <c r="AB55" i="3"/>
  <c r="AA18" i="3"/>
  <c r="Y114" i="3"/>
  <c r="AA89" i="3"/>
  <c r="AD89" i="3" s="1"/>
  <c r="Y89" i="3"/>
  <c r="Y25" i="3"/>
  <c r="AB41" i="3"/>
  <c r="AA45" i="3"/>
  <c r="AA97" i="3"/>
  <c r="AA87" i="3"/>
  <c r="AB33" i="3"/>
  <c r="AB106" i="3"/>
  <c r="AA42" i="3"/>
  <c r="Y55" i="3"/>
  <c r="Y24" i="3"/>
  <c r="AB88" i="3"/>
  <c r="Y43" i="3"/>
  <c r="AB47" i="3"/>
  <c r="AA88" i="3"/>
  <c r="AD88" i="3" s="1"/>
  <c r="Y80" i="3"/>
  <c r="AA22" i="3"/>
  <c r="AA103" i="3"/>
  <c r="AA96" i="3"/>
  <c r="AA26" i="3"/>
  <c r="AB75" i="3"/>
  <c r="AB51" i="3"/>
  <c r="AB45" i="3"/>
  <c r="AD45" i="3" s="1"/>
  <c r="Y100" i="3"/>
  <c r="Y86" i="3"/>
  <c r="AB114" i="3"/>
  <c r="Y83" i="3"/>
  <c r="AA98" i="3"/>
  <c r="AD98" i="3" s="1"/>
  <c r="AB95" i="3"/>
  <c r="AD66" i="3"/>
  <c r="AA62" i="3"/>
  <c r="AD62" i="3" s="1"/>
  <c r="AB69" i="3"/>
  <c r="AD69" i="3" s="1"/>
  <c r="AA53" i="3"/>
  <c r="AA35" i="3"/>
  <c r="AA81" i="3"/>
  <c r="AA43" i="3"/>
  <c r="Y92" i="3"/>
  <c r="Y91" i="3"/>
  <c r="AB71" i="3"/>
  <c r="Y41" i="3"/>
  <c r="Y109" i="3"/>
  <c r="AB113" i="3"/>
  <c r="AA94" i="3"/>
  <c r="AA73" i="3"/>
  <c r="AB109" i="3"/>
  <c r="AD109" i="3" s="1"/>
  <c r="AA28" i="3"/>
  <c r="Y40" i="3"/>
  <c r="AA112" i="3"/>
  <c r="AD112" i="3" s="1"/>
  <c r="AA90" i="3"/>
  <c r="Y94" i="3"/>
  <c r="AB89" i="3"/>
  <c r="AB73" i="3"/>
  <c r="Y14" i="3"/>
  <c r="AB43" i="3"/>
  <c r="Y62" i="3"/>
  <c r="AA21" i="3"/>
  <c r="AD21" i="3" s="1"/>
  <c r="Y64" i="3"/>
  <c r="AA70" i="3"/>
  <c r="Y60" i="3"/>
  <c r="AA38" i="3"/>
  <c r="Y44" i="3"/>
  <c r="Y71" i="3"/>
  <c r="AA33" i="3"/>
  <c r="AD33" i="3" s="1"/>
  <c r="AA95" i="3"/>
  <c r="Y87" i="3"/>
  <c r="AA113" i="3"/>
  <c r="AB36" i="3"/>
  <c r="AD36" i="3" s="1"/>
  <c r="AB50" i="3"/>
  <c r="Y29" i="3"/>
  <c r="Y101" i="3"/>
  <c r="AB21" i="3"/>
  <c r="Y79" i="3"/>
  <c r="AA39" i="3"/>
  <c r="AB112" i="3"/>
  <c r="AA84" i="3"/>
  <c r="AD102" i="3"/>
  <c r="AB100" i="3"/>
  <c r="AD100" i="3" s="1"/>
  <c r="Y22" i="3"/>
  <c r="AB78" i="3"/>
  <c r="AD78" i="3" s="1"/>
  <c r="Y18" i="3"/>
  <c r="Y51" i="3"/>
  <c r="AA32" i="3"/>
  <c r="AB64" i="3"/>
  <c r="AD64" i="3" s="1"/>
  <c r="Y107" i="3"/>
  <c r="Y48" i="3"/>
  <c r="AB111" i="3"/>
  <c r="Y53" i="3"/>
  <c r="AA74" i="3"/>
  <c r="AD74" i="3" s="1"/>
  <c r="AA50" i="3"/>
  <c r="Y31" i="3"/>
  <c r="AB42" i="3"/>
  <c r="AD42" i="3" s="1"/>
  <c r="AB25" i="3"/>
  <c r="AB86" i="3"/>
  <c r="AA71" i="3"/>
  <c r="AD71" i="3" s="1"/>
  <c r="AA51" i="3"/>
  <c r="AD51" i="3" s="1"/>
  <c r="AB27" i="3"/>
  <c r="Y35" i="3"/>
  <c r="Y68" i="3"/>
  <c r="Y78" i="3"/>
  <c r="AB57" i="3"/>
  <c r="AD57" i="3" s="1"/>
  <c r="Y111" i="3"/>
  <c r="Y26" i="3"/>
  <c r="AA23" i="3"/>
  <c r="AD23" i="3" s="1"/>
  <c r="AB53" i="3"/>
  <c r="AD53" i="3" s="1"/>
  <c r="V116" i="3"/>
  <c r="AB34" i="3"/>
  <c r="AA19" i="3"/>
  <c r="AA40" i="3"/>
  <c r="AD40" i="3" s="1"/>
  <c r="AA99" i="3"/>
  <c r="AB35" i="3"/>
  <c r="AD35" i="3" s="1"/>
  <c r="Y57" i="3"/>
  <c r="AA77" i="3"/>
  <c r="AA59" i="3"/>
  <c r="AD59" i="3" s="1"/>
  <c r="AA105" i="3"/>
  <c r="AA83" i="3"/>
  <c r="AD83" i="3" s="1"/>
  <c r="AB77" i="3"/>
  <c r="Y20" i="3"/>
  <c r="AA29" i="3"/>
  <c r="AD29" i="3" s="1"/>
  <c r="Y56" i="3"/>
  <c r="AA92" i="3"/>
  <c r="AD92" i="3" s="1"/>
  <c r="Y102" i="3"/>
  <c r="AA101" i="3"/>
  <c r="AA79" i="3"/>
  <c r="AA41" i="3"/>
  <c r="AD41" i="3" s="1"/>
  <c r="AB67" i="3"/>
  <c r="AB81" i="3"/>
  <c r="AD81" i="3" s="1"/>
  <c r="AB24" i="3"/>
  <c r="AB32" i="3"/>
  <c r="AA25" i="3"/>
  <c r="AD25" i="3" s="1"/>
  <c r="AB104" i="3"/>
  <c r="AD104" i="3" s="1"/>
  <c r="AA106" i="3"/>
  <c r="AA86" i="3"/>
  <c r="AD86" i="3" s="1"/>
  <c r="AD96" i="3"/>
  <c r="AA107" i="3"/>
  <c r="AD107" i="3" s="1"/>
  <c r="AA82" i="3"/>
  <c r="AB103" i="3"/>
  <c r="AB48" i="3"/>
  <c r="AD48" i="3" s="1"/>
  <c r="AB68" i="3"/>
  <c r="AD68" i="3" s="1"/>
  <c r="AB54" i="3"/>
  <c r="AD54" i="3" s="1"/>
  <c r="AB61" i="3"/>
  <c r="AA85" i="3"/>
  <c r="AD85" i="3" s="1"/>
  <c r="Y105" i="3"/>
  <c r="AB108" i="3"/>
  <c r="AD75" i="3"/>
  <c r="Y96" i="3"/>
  <c r="AA93" i="3"/>
  <c r="AD93" i="3" s="1"/>
  <c r="Y45" i="3"/>
  <c r="AD44" i="3"/>
  <c r="AA34" i="3"/>
  <c r="AB91" i="3"/>
  <c r="AD91" i="3" s="1"/>
  <c r="AB79" i="3"/>
  <c r="AB80" i="3"/>
  <c r="AD80" i="3" s="1"/>
  <c r="AB99" i="3"/>
  <c r="AB72" i="3"/>
  <c r="AA58" i="3"/>
  <c r="AD58" i="3" s="1"/>
  <c r="AB19" i="3"/>
  <c r="AD19" i="3" s="1"/>
  <c r="Y65" i="3"/>
  <c r="AD70" i="3"/>
  <c r="AA47" i="3"/>
  <c r="AD47" i="3" s="1"/>
  <c r="AA37" i="3"/>
  <c r="AA61" i="3"/>
  <c r="AD31" i="3"/>
  <c r="Y34" i="3"/>
  <c r="Y103" i="3"/>
  <c r="AD103" i="3"/>
  <c r="AD49" i="3"/>
  <c r="AD110" i="3"/>
  <c r="Y47" i="3"/>
  <c r="AB65" i="3"/>
  <c r="AD65" i="3" s="1"/>
  <c r="AD28" i="3"/>
  <c r="Y69" i="3"/>
  <c r="AA24" i="3"/>
  <c r="AD30" i="3"/>
  <c r="AD39" i="3"/>
  <c r="AA72" i="3"/>
  <c r="AB84" i="3"/>
  <c r="AD84" i="3" s="1"/>
  <c r="AD113" i="3"/>
  <c r="AD50" i="3"/>
  <c r="AD26" i="3"/>
  <c r="AD17" i="3"/>
  <c r="Y63" i="3"/>
  <c r="AA63" i="3"/>
  <c r="AD63" i="3" s="1"/>
  <c r="AD20" i="3"/>
  <c r="AD60" i="3"/>
  <c r="AD55" i="3"/>
  <c r="AD114" i="3"/>
  <c r="AD67" i="3"/>
  <c r="AD97" i="3"/>
  <c r="AD87" i="3"/>
  <c r="AD27" i="3"/>
  <c r="AD38" i="3"/>
  <c r="AD37" i="3"/>
  <c r="AD82" i="3"/>
  <c r="AD90" i="3"/>
  <c r="AD18" i="3"/>
  <c r="AD105" i="3"/>
  <c r="AD108" i="3"/>
  <c r="AD56" i="3"/>
  <c r="AD77" i="3"/>
  <c r="AD94" i="3"/>
  <c r="AD79" i="3"/>
  <c r="AD111" i="3"/>
  <c r="AD95" i="3"/>
  <c r="AD101" i="3"/>
  <c r="AD99" i="3" l="1"/>
  <c r="AD106" i="3"/>
  <c r="AD43" i="3"/>
  <c r="AD32" i="3"/>
  <c r="AD73" i="3"/>
  <c r="AD72" i="3"/>
  <c r="AD61" i="3"/>
  <c r="AD24" i="3"/>
  <c r="AD34" i="3"/>
</calcChain>
</file>

<file path=xl/sharedStrings.xml><?xml version="1.0" encoding="utf-8"?>
<sst xmlns="http://schemas.openxmlformats.org/spreadsheetml/2006/main" count="376" uniqueCount="243">
  <si>
    <t>AP2Y@UK</t>
  </si>
  <si>
    <t>UKSEPPFC@UK</t>
  </si>
  <si>
    <t>UKSEPPFI@UK</t>
  </si>
  <si>
    <t>UKSEPPFO@UK</t>
  </si>
  <si>
    <t>UKSEPEPA@UK</t>
  </si>
  <si>
    <t>UKSEPEPB@UK</t>
  </si>
  <si>
    <t>UKSEPEPC@UK</t>
  </si>
  <si>
    <t>UKSEPEPD@UK</t>
  </si>
  <si>
    <t>UKSEPEPE@UK</t>
  </si>
  <si>
    <t>UKSEPEPF@UK</t>
  </si>
  <si>
    <t>UKSEPEPG@UK</t>
  </si>
  <si>
    <t>UKSEPEPH@UK</t>
  </si>
  <si>
    <t>UKSEPEPI@UK</t>
  </si>
  <si>
    <t>UKSEPEPJ@UK</t>
  </si>
  <si>
    <t>UKSEPEPK@UK</t>
  </si>
  <si>
    <t>UKSEPEPL@UK</t>
  </si>
  <si>
    <t>UKSEPEPM@UK</t>
  </si>
  <si>
    <t>UKSEPEPN@UK</t>
  </si>
  <si>
    <t>UKSEPEPO@UK</t>
  </si>
  <si>
    <t>UKSEPEPP@UK</t>
  </si>
  <si>
    <t>UKSEPEPQ@UK</t>
  </si>
  <si>
    <t>UKSEPEPR@UK</t>
  </si>
  <si>
    <t>UKSEPEPS@UK</t>
  </si>
  <si>
    <t>UKSEPEPT@UK</t>
  </si>
  <si>
    <t>201701 !M</t>
  </si>
  <si>
    <t>201701</t>
  </si>
  <si>
    <t>.DTLM</t>
  </si>
  <si>
    <t>.TN</t>
  </si>
  <si>
    <t>.T1</t>
  </si>
  <si>
    <t>.DESC</t>
  </si>
  <si>
    <t>Jun-10-2025 07:04</t>
  </si>
  <si>
    <t>Apr-2025</t>
  </si>
  <si>
    <t>Jan-2017</t>
  </si>
  <si>
    <t>UK: Payrolled Employees from PAYE RTI: Change (SA, Number)</t>
  </si>
  <si>
    <t>UK: Payrolled Employees from PAYE RTI: Inflow (SA, Number)</t>
  </si>
  <si>
    <t>UK: Payrolled Employees from PAYE RTI: Outflow (SA, Number)</t>
  </si>
  <si>
    <t>May-2025</t>
  </si>
  <si>
    <t>Jul-2014</t>
  </si>
  <si>
    <t>UK: Payrolled Employees from PAYE RTI: Agric, Forestry &amp; Fishing (SA, Number)</t>
  </si>
  <si>
    <t>UK: Payrolled Employees from PAYE RTI: Mining &amp; Quarrying (SA, Number)</t>
  </si>
  <si>
    <t>UK: Payrolled Employees from PAYE RTI: Manufacturing (SA, Number)</t>
  </si>
  <si>
    <t>UK: Payrolled Employees from PAYE RTI: Energy Production &amp; Supply (SA, Number)</t>
  </si>
  <si>
    <t>UK: Payrolled Employees from PAYE RTI: Water, Sewerage &amp; Waste (SA, Number)</t>
  </si>
  <si>
    <t>UK: Payrolled Employees from PAYE RTI: Construction (SA, Number)</t>
  </si>
  <si>
    <t>UK: Payrolled Employees from PAYE RTI: Wsale &amp; Retail; Motor Repair (SA, Number)</t>
  </si>
  <si>
    <t>UK: Payrolled Employees from PAYE RTI: Transportation &amp; Storage (SA, Number)</t>
  </si>
  <si>
    <t>UK: Payrolled Employees from PAYE RTI: Accomodation &amp; Food Services (SA, Number)</t>
  </si>
  <si>
    <t>UK: Payrolled Employees from PAYE RTI: Information &amp; Communication (SA, Number)</t>
  </si>
  <si>
    <t>UK: Payrolled Employees from PAYE RTI: Finance &amp; Insurance (SA, Number)</t>
  </si>
  <si>
    <t>UK: Payrolled Employees from PAYE RTI: Real Estate (SA, Number)</t>
  </si>
  <si>
    <t>UK: Payrolled Employees from PAYE RTI: Prof, Scientific &amp; Tech (SA, Number)</t>
  </si>
  <si>
    <t>UK: Payrolled Employees from PAYE RTI: Admin &amp; Suport Services (SA, Number)</t>
  </si>
  <si>
    <t>UK: Payrolled Employees from PAYE RTI: Public Admin &amp; Defense (SA, Number)</t>
  </si>
  <si>
    <t>UK: Payrolled Employees from PAYE RTI: Education (SA, Number)</t>
  </si>
  <si>
    <t>UK: Payrolled Employees from PAYE RTI: Health &amp; Social Work (SA, Number)</t>
  </si>
  <si>
    <t>UK: Payrolled Employees from PAYE RTI: Arts, Entertainment &amp; Rec (SA, Number)</t>
  </si>
  <si>
    <t>UK: Payrolled Employees from PAYE RTI: Other Service Activities (SA, Number)</t>
  </si>
  <si>
    <t>UK: Payrolled Employees from PAYE RTI: HHs &amp; Extraterritorial (SA, Number)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</si>
  <si>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</si>
  <si>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</si>
  <si>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</si>
  <si>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</si>
  <si>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</si>
  <si>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</si>
  <si>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</si>
  <si>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</si>
  <si>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</si>
  <si>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</si>
  <si>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</si>
  <si>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</si>
  <si>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</si>
  <si>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</si>
  <si>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</si>
  <si>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</si>
  <si>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</si>
  <si>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</si>
  <si>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</si>
  <si>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</si>
  <si>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</si>
  <si>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</si>
  <si>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</si>
  <si>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</si>
  <si>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</si>
  <si>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</si>
  <si>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</si>
  <si>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</si>
  <si>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</si>
  <si>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</si>
  <si>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</si>
  <si>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</si>
  <si>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</si>
  <si>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</si>
  <si>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</si>
  <si>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</si>
  <si>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</si>
  <si>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</si>
  <si>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</si>
  <si>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</si>
  <si>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</si>
  <si>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</si>
  <si>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</si>
  <si>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</si>
  <si>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</si>
  <si>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</si>
  <si>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</si>
  <si>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</si>
  <si>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</si>
  <si>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</si>
  <si>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</si>
  <si>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</si>
  <si>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</si>
  <si>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</si>
  <si>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</si>
  <si>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</si>
  <si>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</si>
  <si>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</si>
  <si>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</si>
  <si>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</si>
  <si>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</si>
  <si>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</si>
  <si>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</si>
  <si>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</si>
  <si>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</si>
  <si>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</si>
  <si>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</si>
  <si>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</si>
  <si>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</si>
  <si>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</si>
  <si>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</si>
  <si>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</si>
  <si>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</si>
  <si>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</si>
  <si>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</si>
  <si>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</si>
  <si>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</si>
  <si>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</si>
  <si>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</si>
  <si>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</si>
  <si>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</si>
  <si>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</si>
  <si>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</si>
  <si>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</si>
  <si>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</si>
  <si>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</si>
  <si>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</si>
  <si>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</si>
  <si>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</si>
  <si>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</si>
  <si>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</si>
  <si>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</si>
  <si>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</si>
  <si>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</si>
  <si>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</si>
  <si>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</si>
  <si>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</si>
  <si>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</si>
  <si>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</si>
  <si>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</si>
  <si>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UKAEASA@UK</t>
  </si>
  <si>
    <t>UKAEASN@UK</t>
  </si>
  <si>
    <t>UKAEASM@UK</t>
  </si>
  <si>
    <t>UKAEASVU@UK</t>
  </si>
  <si>
    <t>UKAEASWS@UK</t>
  </si>
  <si>
    <t>UKAEASK@UK</t>
  </si>
  <si>
    <t>UKAEAS2T@UK</t>
  </si>
  <si>
    <t>UKAEASS@UK</t>
  </si>
  <si>
    <t>UKAEASO@UK</t>
  </si>
  <si>
    <t>UKAEASCN@UK</t>
  </si>
  <si>
    <t>UKAEASFI@UK</t>
  </si>
  <si>
    <t>UKAEAS68@UK</t>
  </si>
  <si>
    <t>UKAEASPS@UK</t>
  </si>
  <si>
    <t>UKAEASAS@UK</t>
  </si>
  <si>
    <t>UKAEAS84@UK</t>
  </si>
  <si>
    <t>UKAEASE@UK</t>
  </si>
  <si>
    <t>UKAEASH@UK</t>
  </si>
  <si>
    <t>UKAEASCS@UK</t>
  </si>
  <si>
    <t>UKAEASOS@UK</t>
  </si>
  <si>
    <t>Nov-06-2024 09:17</t>
  </si>
  <si>
    <t>2024</t>
  </si>
  <si>
    <t>2008</t>
  </si>
  <si>
    <t>UK: Median Annual Earnings: Agriculture, Forestry and Fishing (GBP)</t>
  </si>
  <si>
    <t>UK: Median Annual Earnings: Mining and Quarrying (GBP)</t>
  </si>
  <si>
    <t>UK: Median Annual Earnings: Manufacturing (GBP)</t>
  </si>
  <si>
    <t>UK: Median Annual Earnings: Electricity, Gas, Steam &amp; Air-Con Supply (GBP)</t>
  </si>
  <si>
    <t>UK: Median Annual Earnings: Water Supply, Swerage, Waste &amp; Remediation (GBP)</t>
  </si>
  <si>
    <t>UK: Median Annual Earnings: Construction (GBP)</t>
  </si>
  <si>
    <t>UK: Median Annual Earnings: Trade, Repair of Motor Veh &amp; Motorcycles (GBP)</t>
  </si>
  <si>
    <t>UK: Median Annual Earnings: Transportation and Storage (GBP)</t>
  </si>
  <si>
    <t>UK: Median Annual Earnings: Accommodation and Food Services (GBP)</t>
  </si>
  <si>
    <t>UK: Median Annual Earnings: Information and Communication (GBP)</t>
  </si>
  <si>
    <t>UK: Median Annual Earnings: Financial and Insurance Activities (GBP)</t>
  </si>
  <si>
    <t>UK: Median Annual Earnings: Real Estate Activities (GBP)</t>
  </si>
  <si>
    <t>UK: Median Annual Earnings: Professional, Scientific &amp; Tech Activities (GBP)</t>
  </si>
  <si>
    <t>UK: Median Annual Earnings: Administrative &amp; Support Service Activities (GBP)</t>
  </si>
  <si>
    <t>UK: Median Annual Earnings: Pub Admin, Defence, Compulsory &amp; Soc Security (GBP)</t>
  </si>
  <si>
    <t>UK: Median Annual Earnings: Education (GBP)</t>
  </si>
  <si>
    <t>UK: Median Annual Earnings: Human Health and Social Work Activities (GBP)</t>
  </si>
  <si>
    <t>UK: Median Annual Earnings: Arts, Entertainment and Recreation (GBP)</t>
  </si>
  <si>
    <t>UK: Median Annual Earnings: Other Services and Activities (GBP)</t>
  </si>
  <si>
    <t>2017 !Y</t>
  </si>
  <si>
    <t>2017</t>
  </si>
  <si>
    <t>2018</t>
  </si>
  <si>
    <t>2019</t>
  </si>
  <si>
    <t>2020</t>
  </si>
  <si>
    <t>2021</t>
  </si>
  <si>
    <t>2022</t>
  </si>
  <si>
    <t>2023</t>
  </si>
  <si>
    <t>Agriculture</t>
  </si>
  <si>
    <t>Mining</t>
  </si>
  <si>
    <t>Manufacturing</t>
  </si>
  <si>
    <t>Energy production</t>
  </si>
  <si>
    <t>Water and waste</t>
  </si>
  <si>
    <t>Construction</t>
  </si>
  <si>
    <t>Wholesale and retail</t>
  </si>
  <si>
    <t>Transport</t>
  </si>
  <si>
    <t>Accommodation and food</t>
  </si>
  <si>
    <t>Info and comms</t>
  </si>
  <si>
    <t>Finance</t>
  </si>
  <si>
    <t>Real estate</t>
  </si>
  <si>
    <t>Professional services</t>
  </si>
  <si>
    <t>Admin services</t>
  </si>
  <si>
    <t>Public, admin and defence</t>
  </si>
  <si>
    <t>Education</t>
  </si>
  <si>
    <t>Health</t>
  </si>
  <si>
    <t>Arts and entertainment</t>
  </si>
  <si>
    <t>Other services</t>
  </si>
  <si>
    <t>2024 median</t>
  </si>
  <si>
    <t>High pay</t>
  </si>
  <si>
    <t>Low pay</t>
  </si>
  <si>
    <t>Public sector</t>
  </si>
  <si>
    <t>Check</t>
  </si>
  <si>
    <t>High pay private sector</t>
  </si>
  <si>
    <t>Low pay private sector</t>
  </si>
  <si>
    <t>UKNERS@UK</t>
  </si>
  <si>
    <t>Jun-06-2025 14:20</t>
  </si>
  <si>
    <t>Jan-2006</t>
  </si>
  <si>
    <t>Great Britain: Advanced Notice Redundancy Scheme: Potential Redundancies (NSA)</t>
  </si>
  <si>
    <t>Jun-10-2025 07:14</t>
  </si>
  <si>
    <t>May-2001</t>
  </si>
  <si>
    <t>UK: Job Vacancies excluding Agriculture, Forestry &amp; Fishing (SA, Thous)</t>
  </si>
  <si>
    <t>Inflows</t>
  </si>
  <si>
    <t>Vacancies</t>
  </si>
  <si>
    <t>Whole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</si>
</sst>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" fontId="0" fillId="0" borderId="0" xfId="0" applyNumberFormat="1"/>
    <xf numFmtId="0" fontId="0" fillId="0" borderId="0" xfId="0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7765204403967"/>
          <c:w val="1"/>
          <c:h val="0.808515682952257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Sectors!$AA$13</c:f>
              <c:strCache>
                <c:ptCount val="1"/>
                <c:pt idx="0">
                  <c:v>High pay private sector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numRef>
              <c:f>Sectors!$A$74:$A$114</c:f>
              <c:numCache>
                <c:formatCode>m/d/yyyy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Sectors!$AA$74:$AA$114</c:f>
              <c:numCache>
                <c:formatCode>0</c:formatCode>
                <c:ptCount val="41"/>
                <c:pt idx="0">
                  <c:v>77.388999999999996</c:v>
                </c:pt>
                <c:pt idx="1">
                  <c:v>74.882999999999996</c:v>
                </c:pt>
                <c:pt idx="2">
                  <c:v>66.777000000000001</c:v>
                </c:pt>
                <c:pt idx="3">
                  <c:v>70.265000000000001</c:v>
                </c:pt>
                <c:pt idx="4">
                  <c:v>68.733999999999995</c:v>
                </c:pt>
                <c:pt idx="5">
                  <c:v>64.739000000000004</c:v>
                </c:pt>
                <c:pt idx="6">
                  <c:v>69.606999999999999</c:v>
                </c:pt>
                <c:pt idx="7">
                  <c:v>67.652000000000001</c:v>
                </c:pt>
                <c:pt idx="8">
                  <c:v>78.228999999999999</c:v>
                </c:pt>
                <c:pt idx="9">
                  <c:v>86.522000000000006</c:v>
                </c:pt>
                <c:pt idx="10">
                  <c:v>83.828999999999994</c:v>
                </c:pt>
                <c:pt idx="11">
                  <c:v>76.387</c:v>
                </c:pt>
                <c:pt idx="12">
                  <c:v>53.317</c:v>
                </c:pt>
                <c:pt idx="13">
                  <c:v>44.488</c:v>
                </c:pt>
                <c:pt idx="14">
                  <c:v>36.031999999999996</c:v>
                </c:pt>
                <c:pt idx="15">
                  <c:v>45.436</c:v>
                </c:pt>
                <c:pt idx="16">
                  <c:v>41.948999999999998</c:v>
                </c:pt>
                <c:pt idx="17">
                  <c:v>39.831000000000003</c:v>
                </c:pt>
                <c:pt idx="18">
                  <c:v>24.055</c:v>
                </c:pt>
                <c:pt idx="19">
                  <c:v>18.783000000000001</c:v>
                </c:pt>
                <c:pt idx="20">
                  <c:v>16.329999999999998</c:v>
                </c:pt>
                <c:pt idx="21">
                  <c:v>16.478000000000002</c:v>
                </c:pt>
                <c:pt idx="22">
                  <c:v>17.245000000000001</c:v>
                </c:pt>
                <c:pt idx="23">
                  <c:v>16.84</c:v>
                </c:pt>
                <c:pt idx="24">
                  <c:v>13.752000000000001</c:v>
                </c:pt>
                <c:pt idx="25">
                  <c:v>6.5510000000000002</c:v>
                </c:pt>
                <c:pt idx="26">
                  <c:v>3.641</c:v>
                </c:pt>
                <c:pt idx="27">
                  <c:v>6.6319999999999997</c:v>
                </c:pt>
                <c:pt idx="28">
                  <c:v>16.95</c:v>
                </c:pt>
                <c:pt idx="29">
                  <c:v>17.518000000000001</c:v>
                </c:pt>
                <c:pt idx="30">
                  <c:v>12.204000000000001</c:v>
                </c:pt>
                <c:pt idx="31">
                  <c:v>0.8</c:v>
                </c:pt>
                <c:pt idx="32">
                  <c:v>1.83</c:v>
                </c:pt>
                <c:pt idx="33">
                  <c:v>2.4380000000000002</c:v>
                </c:pt>
                <c:pt idx="34">
                  <c:v>3.4039999999999999</c:v>
                </c:pt>
                <c:pt idx="35">
                  <c:v>-2.129</c:v>
                </c:pt>
                <c:pt idx="36">
                  <c:v>1.2649999999999999</c:v>
                </c:pt>
                <c:pt idx="37">
                  <c:v>1.2869999999999999</c:v>
                </c:pt>
                <c:pt idx="38">
                  <c:v>-3.4180000000000001</c:v>
                </c:pt>
                <c:pt idx="39">
                  <c:v>-45.984000000000002</c:v>
                </c:pt>
                <c:pt idx="40">
                  <c:v>-87.707999999999998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Sectors!$AB$13</c:f>
              <c:strCache>
                <c:ptCount val="1"/>
                <c:pt idx="0">
                  <c:v>Low pay private sector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numRef>
              <c:f>Sectors!$A$74:$A$114</c:f>
              <c:numCache>
                <c:formatCode>m/d/yyyy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Sectors!$AB$74:$AB$114</c:f>
              <c:numCache>
                <c:formatCode>0</c:formatCode>
                <c:ptCount val="41"/>
                <c:pt idx="0">
                  <c:v>109.983</c:v>
                </c:pt>
                <c:pt idx="1">
                  <c:v>114.32299999999999</c:v>
                </c:pt>
                <c:pt idx="2">
                  <c:v>118.08499999999999</c:v>
                </c:pt>
                <c:pt idx="3">
                  <c:v>121.47799999999999</c:v>
                </c:pt>
                <c:pt idx="4">
                  <c:v>67.042000000000002</c:v>
                </c:pt>
                <c:pt idx="5">
                  <c:v>28.431999999999999</c:v>
                </c:pt>
                <c:pt idx="6">
                  <c:v>32.648000000000003</c:v>
                </c:pt>
                <c:pt idx="7">
                  <c:v>23.754000000000001</c:v>
                </c:pt>
                <c:pt idx="8">
                  <c:v>36.328000000000003</c:v>
                </c:pt>
                <c:pt idx="9">
                  <c:v>18.786000000000001</c:v>
                </c:pt>
                <c:pt idx="10">
                  <c:v>13.188000000000001</c:v>
                </c:pt>
                <c:pt idx="11">
                  <c:v>6.4240000000000004</c:v>
                </c:pt>
                <c:pt idx="12">
                  <c:v>-6.0380000000000003</c:v>
                </c:pt>
                <c:pt idx="13">
                  <c:v>9.9440000000000008</c:v>
                </c:pt>
                <c:pt idx="14">
                  <c:v>17.565999999999999</c:v>
                </c:pt>
                <c:pt idx="15">
                  <c:v>27.998999999999999</c:v>
                </c:pt>
                <c:pt idx="16">
                  <c:v>10.587</c:v>
                </c:pt>
                <c:pt idx="17">
                  <c:v>4.2670000000000003</c:v>
                </c:pt>
                <c:pt idx="18">
                  <c:v>-4.7699999999999996</c:v>
                </c:pt>
                <c:pt idx="19">
                  <c:v>-9.9489999999999998</c:v>
                </c:pt>
                <c:pt idx="20">
                  <c:v>-9.8819999999999997</c:v>
                </c:pt>
                <c:pt idx="21">
                  <c:v>-1.776</c:v>
                </c:pt>
                <c:pt idx="22">
                  <c:v>-1.5309999999999999</c:v>
                </c:pt>
                <c:pt idx="23">
                  <c:v>19.611000000000001</c:v>
                </c:pt>
                <c:pt idx="24">
                  <c:v>5.4969999999999999</c:v>
                </c:pt>
                <c:pt idx="25">
                  <c:v>12.86</c:v>
                </c:pt>
                <c:pt idx="26">
                  <c:v>-8.4480000000000004</c:v>
                </c:pt>
                <c:pt idx="27">
                  <c:v>3.3879999999999999</c:v>
                </c:pt>
                <c:pt idx="28">
                  <c:v>17.818000000000001</c:v>
                </c:pt>
                <c:pt idx="29">
                  <c:v>-1.5049999999999999</c:v>
                </c:pt>
                <c:pt idx="30">
                  <c:v>-25.995999999999999</c:v>
                </c:pt>
                <c:pt idx="31">
                  <c:v>-62.816000000000003</c:v>
                </c:pt>
                <c:pt idx="32">
                  <c:v>-46.258000000000003</c:v>
                </c:pt>
                <c:pt idx="33">
                  <c:v>-40.725000000000001</c:v>
                </c:pt>
                <c:pt idx="34">
                  <c:v>-44.162999999999997</c:v>
                </c:pt>
                <c:pt idx="35">
                  <c:v>-54.627000000000002</c:v>
                </c:pt>
                <c:pt idx="36">
                  <c:v>-46.725999999999999</c:v>
                </c:pt>
                <c:pt idx="37">
                  <c:v>-56.887999999999998</c:v>
                </c:pt>
                <c:pt idx="38">
                  <c:v>-78.69</c:v>
                </c:pt>
                <c:pt idx="39">
                  <c:v>-101.747</c:v>
                </c:pt>
                <c:pt idx="40">
                  <c:v>-119.17400000000001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Sectors!$AC$13</c:f>
              <c:strCache>
                <c:ptCount val="1"/>
                <c:pt idx="0">
                  <c:v>Public sector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numRef>
              <c:f>Sectors!$A$74:$A$114</c:f>
              <c:numCache>
                <c:formatCode>m/d/yyyy</c:formatCode>
                <c:ptCount val="4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</c:numCache>
            </c:numRef>
          </c:cat>
          <c:val>
            <c:numRef>
              <c:f>Sectors!$AC$74:$AC$114</c:f>
              <c:numCache>
                <c:formatCode>0</c:formatCode>
                <c:ptCount val="41"/>
                <c:pt idx="0">
                  <c:v>38.811</c:v>
                </c:pt>
                <c:pt idx="1">
                  <c:v>55.48</c:v>
                </c:pt>
                <c:pt idx="2">
                  <c:v>54.924999999999997</c:v>
                </c:pt>
                <c:pt idx="3">
                  <c:v>33.524000000000001</c:v>
                </c:pt>
                <c:pt idx="4">
                  <c:v>12.113</c:v>
                </c:pt>
                <c:pt idx="5">
                  <c:v>-2.2570000000000001</c:v>
                </c:pt>
                <c:pt idx="6">
                  <c:v>26.152000000000001</c:v>
                </c:pt>
                <c:pt idx="7">
                  <c:v>52.338000000000001</c:v>
                </c:pt>
                <c:pt idx="8">
                  <c:v>82.93</c:v>
                </c:pt>
                <c:pt idx="9">
                  <c:v>56.779000000000003</c:v>
                </c:pt>
                <c:pt idx="10">
                  <c:v>74.652000000000001</c:v>
                </c:pt>
                <c:pt idx="11">
                  <c:v>59.023000000000003</c:v>
                </c:pt>
                <c:pt idx="12">
                  <c:v>84.12</c:v>
                </c:pt>
                <c:pt idx="13">
                  <c:v>68.155000000000001</c:v>
                </c:pt>
                <c:pt idx="14">
                  <c:v>77.519000000000005</c:v>
                </c:pt>
                <c:pt idx="15">
                  <c:v>87.337000000000003</c:v>
                </c:pt>
                <c:pt idx="16">
                  <c:v>91.635000000000005</c:v>
                </c:pt>
                <c:pt idx="17">
                  <c:v>92.52</c:v>
                </c:pt>
                <c:pt idx="18">
                  <c:v>66.936999999999998</c:v>
                </c:pt>
                <c:pt idx="19">
                  <c:v>57.957000000000001</c:v>
                </c:pt>
                <c:pt idx="20">
                  <c:v>54.305</c:v>
                </c:pt>
                <c:pt idx="21">
                  <c:v>67.582999999999998</c:v>
                </c:pt>
                <c:pt idx="22">
                  <c:v>75.334999999999994</c:v>
                </c:pt>
                <c:pt idx="23">
                  <c:v>63.139000000000003</c:v>
                </c:pt>
                <c:pt idx="24">
                  <c:v>64.448999999999998</c:v>
                </c:pt>
                <c:pt idx="25">
                  <c:v>41.173999999999999</c:v>
                </c:pt>
                <c:pt idx="26">
                  <c:v>37.53</c:v>
                </c:pt>
                <c:pt idx="27">
                  <c:v>27.047000000000001</c:v>
                </c:pt>
                <c:pt idx="28">
                  <c:v>47.45</c:v>
                </c:pt>
                <c:pt idx="29">
                  <c:v>52.811</c:v>
                </c:pt>
                <c:pt idx="30">
                  <c:v>73.019000000000005</c:v>
                </c:pt>
                <c:pt idx="31">
                  <c:v>45.37</c:v>
                </c:pt>
                <c:pt idx="32">
                  <c:v>24.451000000000001</c:v>
                </c:pt>
                <c:pt idx="33">
                  <c:v>34.667000000000002</c:v>
                </c:pt>
                <c:pt idx="34">
                  <c:v>37.427999999999997</c:v>
                </c:pt>
                <c:pt idx="35">
                  <c:v>33.561</c:v>
                </c:pt>
                <c:pt idx="36">
                  <c:v>-1.625</c:v>
                </c:pt>
                <c:pt idx="37">
                  <c:v>6.6749999999999998</c:v>
                </c:pt>
                <c:pt idx="38">
                  <c:v>17.922999999999998</c:v>
                </c:pt>
                <c:pt idx="39">
                  <c:v>31.544</c:v>
                </c:pt>
                <c:pt idx="40">
                  <c:v>8.8970000000000002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Sectors!$AD$13</c:f>
              <c:strCache>
                <c:ptCount val="1"/>
                <c:pt idx="0">
                  <c:v>Whole economy</c:v>
                </c:pt>
              </c:strCache>
            </c:strRef>
          </c:tx>
          <c:marker>
            <c:symbol val="none"/>
          </c:marker>
          <c:val>
            <c:numRef>
              <c:f>Sectors!$AD$74:$AD$114</c:f>
              <c:numCache>
                <c:formatCode>0</c:formatCode>
                <c:ptCount val="41"/>
                <c:pt idx="0">
                  <c:v>226.18300000000002</c:v>
                </c:pt>
                <c:pt idx="1">
                  <c:v>244.68599999999998</c:v>
                </c:pt>
                <c:pt idx="2">
                  <c:v>239.78699999999998</c:v>
                </c:pt>
                <c:pt idx="3">
                  <c:v>225.267</c:v>
                </c:pt>
                <c:pt idx="4">
                  <c:v>147.88900000000001</c:v>
                </c:pt>
                <c:pt idx="5">
                  <c:v>90.914000000000001</c:v>
                </c:pt>
                <c:pt idx="6">
                  <c:v>128.40699999999998</c:v>
                </c:pt>
                <c:pt idx="7">
                  <c:v>143.744</c:v>
                </c:pt>
                <c:pt idx="8">
                  <c:v>197.48700000000002</c:v>
                </c:pt>
                <c:pt idx="9">
                  <c:v>162.08700000000002</c:v>
                </c:pt>
                <c:pt idx="10">
                  <c:v>171.66899999999998</c:v>
                </c:pt>
                <c:pt idx="11">
                  <c:v>141.834</c:v>
                </c:pt>
                <c:pt idx="12">
                  <c:v>131.399</c:v>
                </c:pt>
                <c:pt idx="13">
                  <c:v>122.587</c:v>
                </c:pt>
                <c:pt idx="14">
                  <c:v>131.11700000000002</c:v>
                </c:pt>
                <c:pt idx="15">
                  <c:v>160.77199999999999</c:v>
                </c:pt>
                <c:pt idx="16">
                  <c:v>144.17099999999999</c:v>
                </c:pt>
                <c:pt idx="17">
                  <c:v>136.61799999999999</c:v>
                </c:pt>
                <c:pt idx="18">
                  <c:v>86.221999999999994</c:v>
                </c:pt>
                <c:pt idx="19">
                  <c:v>66.790999999999997</c:v>
                </c:pt>
                <c:pt idx="20">
                  <c:v>60.753</c:v>
                </c:pt>
                <c:pt idx="21">
                  <c:v>82.284999999999997</c:v>
                </c:pt>
                <c:pt idx="22">
                  <c:v>91.048999999999992</c:v>
                </c:pt>
                <c:pt idx="23">
                  <c:v>99.59</c:v>
                </c:pt>
                <c:pt idx="24">
                  <c:v>83.698000000000008</c:v>
                </c:pt>
                <c:pt idx="25">
                  <c:v>60.585000000000001</c:v>
                </c:pt>
                <c:pt idx="26">
                  <c:v>32.722999999999999</c:v>
                </c:pt>
                <c:pt idx="27">
                  <c:v>37.067</c:v>
                </c:pt>
                <c:pt idx="28">
                  <c:v>82.218000000000004</c:v>
                </c:pt>
                <c:pt idx="29">
                  <c:v>68.823999999999998</c:v>
                </c:pt>
                <c:pt idx="30">
                  <c:v>59.227000000000004</c:v>
                </c:pt>
                <c:pt idx="31">
                  <c:v>-16.646000000000008</c:v>
                </c:pt>
                <c:pt idx="32">
                  <c:v>-19.977000000000004</c:v>
                </c:pt>
                <c:pt idx="33">
                  <c:v>-3.6199999999999974</c:v>
                </c:pt>
                <c:pt idx="34">
                  <c:v>-3.3310000000000031</c:v>
                </c:pt>
                <c:pt idx="35">
                  <c:v>-23.195</c:v>
                </c:pt>
                <c:pt idx="36">
                  <c:v>-47.085999999999999</c:v>
                </c:pt>
                <c:pt idx="37">
                  <c:v>-48.926000000000002</c:v>
                </c:pt>
                <c:pt idx="38">
                  <c:v>-64.185000000000002</c:v>
                </c:pt>
                <c:pt idx="39">
                  <c:v>-116.187</c:v>
                </c:pt>
                <c:pt idx="40">
                  <c:v>-197.98500000000001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8811679664710637"/>
          <c:y val="0.11048286883125365"/>
          <c:w val="0.36506551028431433"/>
          <c:h val="0.25757665693880433"/>
        </c:manualLayout>
      </c:layout>
      <c:overlay val="0"/>
      <c:txPr>
        <a:bodyPr/>
        <a:lstStyle/>
        <a:p>
          <a:pPr>
            <a:defRPr lang="en-US"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Inflows!$D$12</c:f>
              <c:strCache>
                <c:ptCount val="1"/>
                <c:pt idx="0">
                  <c:v>Inflows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Inflows!$A$49:$A$113</c:f>
              <c:numCache>
                <c:formatCode>m/d/yyyy</c:formatCode>
                <c:ptCount val="65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  <c:pt idx="10">
                  <c:v>44105</c:v>
                </c:pt>
                <c:pt idx="11">
                  <c:v>44136</c:v>
                </c:pt>
                <c:pt idx="12">
                  <c:v>44166</c:v>
                </c:pt>
                <c:pt idx="13">
                  <c:v>44197</c:v>
                </c:pt>
                <c:pt idx="14">
                  <c:v>44228</c:v>
                </c:pt>
                <c:pt idx="15">
                  <c:v>44256</c:v>
                </c:pt>
                <c:pt idx="16">
                  <c:v>44287</c:v>
                </c:pt>
                <c:pt idx="17">
                  <c:v>44317</c:v>
                </c:pt>
                <c:pt idx="18">
                  <c:v>44348</c:v>
                </c:pt>
                <c:pt idx="19">
                  <c:v>44378</c:v>
                </c:pt>
                <c:pt idx="20">
                  <c:v>44409</c:v>
                </c:pt>
                <c:pt idx="21">
                  <c:v>44440</c:v>
                </c:pt>
                <c:pt idx="22">
                  <c:v>44470</c:v>
                </c:pt>
                <c:pt idx="23">
                  <c:v>44501</c:v>
                </c:pt>
                <c:pt idx="24">
                  <c:v>44531</c:v>
                </c:pt>
                <c:pt idx="25">
                  <c:v>44562</c:v>
                </c:pt>
                <c:pt idx="26">
                  <c:v>44593</c:v>
                </c:pt>
                <c:pt idx="27">
                  <c:v>44621</c:v>
                </c:pt>
                <c:pt idx="28">
                  <c:v>44652</c:v>
                </c:pt>
                <c:pt idx="29">
                  <c:v>44682</c:v>
                </c:pt>
                <c:pt idx="30">
                  <c:v>44713</c:v>
                </c:pt>
                <c:pt idx="31">
                  <c:v>44743</c:v>
                </c:pt>
                <c:pt idx="32">
                  <c:v>44774</c:v>
                </c:pt>
                <c:pt idx="33">
                  <c:v>44805</c:v>
                </c:pt>
                <c:pt idx="34">
                  <c:v>44835</c:v>
                </c:pt>
                <c:pt idx="35">
                  <c:v>44866</c:v>
                </c:pt>
                <c:pt idx="36">
                  <c:v>44896</c:v>
                </c:pt>
                <c:pt idx="37">
                  <c:v>44927</c:v>
                </c:pt>
                <c:pt idx="38">
                  <c:v>44958</c:v>
                </c:pt>
                <c:pt idx="39">
                  <c:v>44986</c:v>
                </c:pt>
                <c:pt idx="40">
                  <c:v>45017</c:v>
                </c:pt>
                <c:pt idx="41">
                  <c:v>45047</c:v>
                </c:pt>
                <c:pt idx="42">
                  <c:v>45078</c:v>
                </c:pt>
                <c:pt idx="43">
                  <c:v>45108</c:v>
                </c:pt>
                <c:pt idx="44">
                  <c:v>45139</c:v>
                </c:pt>
                <c:pt idx="45">
                  <c:v>45170</c:v>
                </c:pt>
                <c:pt idx="46">
                  <c:v>45200</c:v>
                </c:pt>
                <c:pt idx="47">
                  <c:v>45231</c:v>
                </c:pt>
                <c:pt idx="48">
                  <c:v>45261</c:v>
                </c:pt>
                <c:pt idx="49">
                  <c:v>45292</c:v>
                </c:pt>
                <c:pt idx="50">
                  <c:v>45323</c:v>
                </c:pt>
                <c:pt idx="51">
                  <c:v>45352</c:v>
                </c:pt>
                <c:pt idx="52">
                  <c:v>45383</c:v>
                </c:pt>
                <c:pt idx="53">
                  <c:v>45413</c:v>
                </c:pt>
                <c:pt idx="54">
                  <c:v>45444</c:v>
                </c:pt>
                <c:pt idx="55">
                  <c:v>45474</c:v>
                </c:pt>
                <c:pt idx="56">
                  <c:v>45505</c:v>
                </c:pt>
                <c:pt idx="57">
                  <c:v>45536</c:v>
                </c:pt>
                <c:pt idx="58">
                  <c:v>45566</c:v>
                </c:pt>
                <c:pt idx="59">
                  <c:v>45597</c:v>
                </c:pt>
                <c:pt idx="60">
                  <c:v>45627</c:v>
                </c:pt>
                <c:pt idx="61">
                  <c:v>45658</c:v>
                </c:pt>
                <c:pt idx="62">
                  <c:v>45689</c:v>
                </c:pt>
                <c:pt idx="63">
                  <c:v>45717</c:v>
                </c:pt>
                <c:pt idx="64">
                  <c:v>45748</c:v>
                </c:pt>
              </c:numCache>
            </c:numRef>
          </c:cat>
          <c:val>
            <c:numRef>
              <c:f>Inflows!$D$49:$D$114</c:f>
              <c:numCache>
                <c:formatCode>0.0</c:formatCode>
                <c:ptCount val="66"/>
                <c:pt idx="0">
                  <c:v>102.95272054054547</c:v>
                </c:pt>
                <c:pt idx="1">
                  <c:v>107.35789823056005</c:v>
                </c:pt>
                <c:pt idx="2">
                  <c:v>102.97708040888038</c:v>
                </c:pt>
                <c:pt idx="3">
                  <c:v>100.2636955747254</c:v>
                </c:pt>
                <c:pt idx="4">
                  <c:v>70.914317208115492</c:v>
                </c:pt>
                <c:pt idx="5">
                  <c:v>66.118163631325572</c:v>
                </c:pt>
                <c:pt idx="6">
                  <c:v>62.546854684250434</c:v>
                </c:pt>
                <c:pt idx="7">
                  <c:v>67.724544698835899</c:v>
                </c:pt>
                <c:pt idx="8">
                  <c:v>80.753572526940488</c:v>
                </c:pt>
                <c:pt idx="9">
                  <c:v>83.402099211653763</c:v>
                </c:pt>
                <c:pt idx="10">
                  <c:v>85.147788276204366</c:v>
                </c:pt>
                <c:pt idx="11">
                  <c:v>85.971304075101472</c:v>
                </c:pt>
                <c:pt idx="12">
                  <c:v>92.150489176606001</c:v>
                </c:pt>
                <c:pt idx="13">
                  <c:v>89.858682313822086</c:v>
                </c:pt>
                <c:pt idx="14">
                  <c:v>76.557280707897775</c:v>
                </c:pt>
                <c:pt idx="15">
                  <c:v>81.873974221169334</c:v>
                </c:pt>
                <c:pt idx="16">
                  <c:v>95.888358723421092</c:v>
                </c:pt>
                <c:pt idx="17">
                  <c:v>114.73102137882944</c:v>
                </c:pt>
                <c:pt idx="18">
                  <c:v>114.48133272839659</c:v>
                </c:pt>
                <c:pt idx="19">
                  <c:v>106.19852074699536</c:v>
                </c:pt>
                <c:pt idx="20">
                  <c:v>108.04286727830237</c:v>
                </c:pt>
                <c:pt idx="21">
                  <c:v>106.53453468084004</c:v>
                </c:pt>
                <c:pt idx="22">
                  <c:v>105.03320554552403</c:v>
                </c:pt>
                <c:pt idx="23">
                  <c:v>109.20924822401335</c:v>
                </c:pt>
                <c:pt idx="24">
                  <c:v>106.74539979111412</c:v>
                </c:pt>
                <c:pt idx="25">
                  <c:v>104.70541306724238</c:v>
                </c:pt>
                <c:pt idx="26">
                  <c:v>110.51280567828532</c:v>
                </c:pt>
                <c:pt idx="27">
                  <c:v>108.38618917264753</c:v>
                </c:pt>
                <c:pt idx="28">
                  <c:v>108.19511645539556</c:v>
                </c:pt>
                <c:pt idx="29">
                  <c:v>105.75166941222682</c:v>
                </c:pt>
                <c:pt idx="30">
                  <c:v>101.49995889272219</c:v>
                </c:pt>
                <c:pt idx="31">
                  <c:v>106.24739273284227</c:v>
                </c:pt>
                <c:pt idx="32">
                  <c:v>105.59698424830013</c:v>
                </c:pt>
                <c:pt idx="33">
                  <c:v>106.7280433849255</c:v>
                </c:pt>
                <c:pt idx="34">
                  <c:v>104.75002207613069</c:v>
                </c:pt>
                <c:pt idx="35">
                  <c:v>105.6288043263126</c:v>
                </c:pt>
                <c:pt idx="36">
                  <c:v>103.08198009189759</c:v>
                </c:pt>
                <c:pt idx="37">
                  <c:v>101.96629812215865</c:v>
                </c:pt>
                <c:pt idx="38">
                  <c:v>104.27180741088094</c:v>
                </c:pt>
                <c:pt idx="39">
                  <c:v>103.69356503628097</c:v>
                </c:pt>
                <c:pt idx="40">
                  <c:v>104.75367605638091</c:v>
                </c:pt>
                <c:pt idx="41">
                  <c:v>100.95977881239553</c:v>
                </c:pt>
                <c:pt idx="42">
                  <c:v>100.91456080679883</c:v>
                </c:pt>
                <c:pt idx="43">
                  <c:v>98.689895831113034</c:v>
                </c:pt>
                <c:pt idx="44">
                  <c:v>97.355127295536974</c:v>
                </c:pt>
                <c:pt idx="45">
                  <c:v>98.386615470343386</c:v>
                </c:pt>
                <c:pt idx="46">
                  <c:v>97.944636109241827</c:v>
                </c:pt>
                <c:pt idx="47">
                  <c:v>98.561245276469279</c:v>
                </c:pt>
                <c:pt idx="48">
                  <c:v>99.511280141530833</c:v>
                </c:pt>
                <c:pt idx="49">
                  <c:v>97.913272778760629</c:v>
                </c:pt>
                <c:pt idx="50">
                  <c:v>97.595528746167133</c:v>
                </c:pt>
                <c:pt idx="51">
                  <c:v>96.846615044045691</c:v>
                </c:pt>
                <c:pt idx="52">
                  <c:v>93.685465380059611</c:v>
                </c:pt>
                <c:pt idx="53">
                  <c:v>100.52754339862793</c:v>
                </c:pt>
                <c:pt idx="54">
                  <c:v>95.770822358705161</c:v>
                </c:pt>
                <c:pt idx="55">
                  <c:v>91.504952665730841</c:v>
                </c:pt>
                <c:pt idx="56">
                  <c:v>90.243872731867881</c:v>
                </c:pt>
                <c:pt idx="57">
                  <c:v>92.434129393530625</c:v>
                </c:pt>
                <c:pt idx="58">
                  <c:v>89.31256451558879</c:v>
                </c:pt>
                <c:pt idx="59">
                  <c:v>89.887761906646887</c:v>
                </c:pt>
                <c:pt idx="60">
                  <c:v>91.676994235846152</c:v>
                </c:pt>
                <c:pt idx="61">
                  <c:v>93.307126174983026</c:v>
                </c:pt>
                <c:pt idx="62">
                  <c:v>90.379831247012106</c:v>
                </c:pt>
                <c:pt idx="63">
                  <c:v>89.093021202220399</c:v>
                </c:pt>
                <c:pt idx="64">
                  <c:v>84.512452460194453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Inflows!$E$12</c:f>
              <c:strCache>
                <c:ptCount val="1"/>
                <c:pt idx="0">
                  <c:v>Vacancies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Inflows!$A$49:$A$113</c:f>
              <c:numCache>
                <c:formatCode>m/d/yyyy</c:formatCode>
                <c:ptCount val="65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  <c:pt idx="10">
                  <c:v>44105</c:v>
                </c:pt>
                <c:pt idx="11">
                  <c:v>44136</c:v>
                </c:pt>
                <c:pt idx="12">
                  <c:v>44166</c:v>
                </c:pt>
                <c:pt idx="13">
                  <c:v>44197</c:v>
                </c:pt>
                <c:pt idx="14">
                  <c:v>44228</c:v>
                </c:pt>
                <c:pt idx="15">
                  <c:v>44256</c:v>
                </c:pt>
                <c:pt idx="16">
                  <c:v>44287</c:v>
                </c:pt>
                <c:pt idx="17">
                  <c:v>44317</c:v>
                </c:pt>
                <c:pt idx="18">
                  <c:v>44348</c:v>
                </c:pt>
                <c:pt idx="19">
                  <c:v>44378</c:v>
                </c:pt>
                <c:pt idx="20">
                  <c:v>44409</c:v>
                </c:pt>
                <c:pt idx="21">
                  <c:v>44440</c:v>
                </c:pt>
                <c:pt idx="22">
                  <c:v>44470</c:v>
                </c:pt>
                <c:pt idx="23">
                  <c:v>44501</c:v>
                </c:pt>
                <c:pt idx="24">
                  <c:v>44531</c:v>
                </c:pt>
                <c:pt idx="25">
                  <c:v>44562</c:v>
                </c:pt>
                <c:pt idx="26">
                  <c:v>44593</c:v>
                </c:pt>
                <c:pt idx="27">
                  <c:v>44621</c:v>
                </c:pt>
                <c:pt idx="28">
                  <c:v>44652</c:v>
                </c:pt>
                <c:pt idx="29">
                  <c:v>44682</c:v>
                </c:pt>
                <c:pt idx="30">
                  <c:v>44713</c:v>
                </c:pt>
                <c:pt idx="31">
                  <c:v>44743</c:v>
                </c:pt>
                <c:pt idx="32">
                  <c:v>44774</c:v>
                </c:pt>
                <c:pt idx="33">
                  <c:v>44805</c:v>
                </c:pt>
                <c:pt idx="34">
                  <c:v>44835</c:v>
                </c:pt>
                <c:pt idx="35">
                  <c:v>44866</c:v>
                </c:pt>
                <c:pt idx="36">
                  <c:v>44896</c:v>
                </c:pt>
                <c:pt idx="37">
                  <c:v>44927</c:v>
                </c:pt>
                <c:pt idx="38">
                  <c:v>44958</c:v>
                </c:pt>
                <c:pt idx="39">
                  <c:v>44986</c:v>
                </c:pt>
                <c:pt idx="40">
                  <c:v>45017</c:v>
                </c:pt>
                <c:pt idx="41">
                  <c:v>45047</c:v>
                </c:pt>
                <c:pt idx="42">
                  <c:v>45078</c:v>
                </c:pt>
                <c:pt idx="43">
                  <c:v>45108</c:v>
                </c:pt>
                <c:pt idx="44">
                  <c:v>45139</c:v>
                </c:pt>
                <c:pt idx="45">
                  <c:v>45170</c:v>
                </c:pt>
                <c:pt idx="46">
                  <c:v>45200</c:v>
                </c:pt>
                <c:pt idx="47">
                  <c:v>45231</c:v>
                </c:pt>
                <c:pt idx="48">
                  <c:v>45261</c:v>
                </c:pt>
                <c:pt idx="49">
                  <c:v>45292</c:v>
                </c:pt>
                <c:pt idx="50">
                  <c:v>45323</c:v>
                </c:pt>
                <c:pt idx="51">
                  <c:v>45352</c:v>
                </c:pt>
                <c:pt idx="52">
                  <c:v>45383</c:v>
                </c:pt>
                <c:pt idx="53">
                  <c:v>45413</c:v>
                </c:pt>
                <c:pt idx="54">
                  <c:v>45444</c:v>
                </c:pt>
                <c:pt idx="55">
                  <c:v>45474</c:v>
                </c:pt>
                <c:pt idx="56">
                  <c:v>45505</c:v>
                </c:pt>
                <c:pt idx="57">
                  <c:v>45536</c:v>
                </c:pt>
                <c:pt idx="58">
                  <c:v>45566</c:v>
                </c:pt>
                <c:pt idx="59">
                  <c:v>45597</c:v>
                </c:pt>
                <c:pt idx="60">
                  <c:v>45627</c:v>
                </c:pt>
                <c:pt idx="61">
                  <c:v>45658</c:v>
                </c:pt>
                <c:pt idx="62">
                  <c:v>45689</c:v>
                </c:pt>
                <c:pt idx="63">
                  <c:v>45717</c:v>
                </c:pt>
                <c:pt idx="64">
                  <c:v>45748</c:v>
                </c:pt>
              </c:numCache>
            </c:numRef>
          </c:cat>
          <c:val>
            <c:numRef>
              <c:f>Inflows!$E$49:$E$114</c:f>
              <c:numCache>
                <c:formatCode>0.0</c:formatCode>
                <c:ptCount val="66"/>
                <c:pt idx="0">
                  <c:v>100</c:v>
                </c:pt>
                <c:pt idx="1">
                  <c:v>100.86206896551724</c:v>
                </c:pt>
                <c:pt idx="2">
                  <c:v>97.906403940886705</c:v>
                </c:pt>
                <c:pt idx="3">
                  <c:v>78.448275862068968</c:v>
                </c:pt>
                <c:pt idx="4">
                  <c:v>58.004926108374391</c:v>
                </c:pt>
                <c:pt idx="5">
                  <c:v>40.39408866995074</c:v>
                </c:pt>
                <c:pt idx="6">
                  <c:v>45.443349753694577</c:v>
                </c:pt>
                <c:pt idx="7">
                  <c:v>52.709359605911331</c:v>
                </c:pt>
                <c:pt idx="8">
                  <c:v>60.344827586206897</c:v>
                </c:pt>
                <c:pt idx="9">
                  <c:v>65.886699507389153</c:v>
                </c:pt>
                <c:pt idx="10">
                  <c:v>68.965517241379317</c:v>
                </c:pt>
                <c:pt idx="11">
                  <c:v>74.137931034482762</c:v>
                </c:pt>
                <c:pt idx="12">
                  <c:v>75.98522167487684</c:v>
                </c:pt>
                <c:pt idx="13">
                  <c:v>76.477832512315274</c:v>
                </c:pt>
                <c:pt idx="14">
                  <c:v>77.093596059113295</c:v>
                </c:pt>
                <c:pt idx="15">
                  <c:v>81.157635467980299</c:v>
                </c:pt>
                <c:pt idx="16">
                  <c:v>94.088669950738918</c:v>
                </c:pt>
                <c:pt idx="17">
                  <c:v>106.77339901477832</c:v>
                </c:pt>
                <c:pt idx="18">
                  <c:v>119.21182266009853</c:v>
                </c:pt>
                <c:pt idx="19">
                  <c:v>129.55665024630542</c:v>
                </c:pt>
                <c:pt idx="20">
                  <c:v>138.54679802955664</c:v>
                </c:pt>
                <c:pt idx="21">
                  <c:v>147.53694581280789</c:v>
                </c:pt>
                <c:pt idx="22">
                  <c:v>150.61576354679801</c:v>
                </c:pt>
                <c:pt idx="23">
                  <c:v>153.07881773399015</c:v>
                </c:pt>
                <c:pt idx="24">
                  <c:v>153.94088669950739</c:v>
                </c:pt>
                <c:pt idx="25">
                  <c:v>156.0344827586207</c:v>
                </c:pt>
                <c:pt idx="26">
                  <c:v>157.14285714285714</c:v>
                </c:pt>
                <c:pt idx="27">
                  <c:v>158.99014778325122</c:v>
                </c:pt>
                <c:pt idx="28">
                  <c:v>160.09852216748769</c:v>
                </c:pt>
                <c:pt idx="29">
                  <c:v>158.86699507389162</c:v>
                </c:pt>
                <c:pt idx="30">
                  <c:v>155.54187192118226</c:v>
                </c:pt>
                <c:pt idx="31">
                  <c:v>153.20197044334975</c:v>
                </c:pt>
                <c:pt idx="32">
                  <c:v>150.49261083743843</c:v>
                </c:pt>
                <c:pt idx="33">
                  <c:v>148.76847290640393</c:v>
                </c:pt>
                <c:pt idx="34">
                  <c:v>143.7192118226601</c:v>
                </c:pt>
                <c:pt idx="35">
                  <c:v>140.14778325123152</c:v>
                </c:pt>
                <c:pt idx="36">
                  <c:v>137.19211822660097</c:v>
                </c:pt>
                <c:pt idx="37">
                  <c:v>136.94581280788179</c:v>
                </c:pt>
                <c:pt idx="38">
                  <c:v>135.96059113300493</c:v>
                </c:pt>
                <c:pt idx="39">
                  <c:v>132.38916256157637</c:v>
                </c:pt>
                <c:pt idx="40">
                  <c:v>128.44827586206898</c:v>
                </c:pt>
                <c:pt idx="41">
                  <c:v>126.23152709359606</c:v>
                </c:pt>
                <c:pt idx="42">
                  <c:v>124.38423645320198</c:v>
                </c:pt>
                <c:pt idx="43">
                  <c:v>121.67487684729063</c:v>
                </c:pt>
                <c:pt idx="44">
                  <c:v>119.82758620689656</c:v>
                </c:pt>
                <c:pt idx="45">
                  <c:v>117.24137931034481</c:v>
                </c:pt>
                <c:pt idx="46">
                  <c:v>116.74876847290641</c:v>
                </c:pt>
                <c:pt idx="47">
                  <c:v>113.79310344827587</c:v>
                </c:pt>
                <c:pt idx="48">
                  <c:v>112.80788177339902</c:v>
                </c:pt>
                <c:pt idx="49">
                  <c:v>111.33004926108374</c:v>
                </c:pt>
                <c:pt idx="50">
                  <c:v>111.45320197044335</c:v>
                </c:pt>
                <c:pt idx="51">
                  <c:v>109.85221674876848</c:v>
                </c:pt>
                <c:pt idx="52">
                  <c:v>109.11330049261083</c:v>
                </c:pt>
                <c:pt idx="53">
                  <c:v>106.89655172413792</c:v>
                </c:pt>
                <c:pt idx="54">
                  <c:v>105.78817733990147</c:v>
                </c:pt>
                <c:pt idx="55">
                  <c:v>104.06403940886699</c:v>
                </c:pt>
                <c:pt idx="56">
                  <c:v>102.46305418719213</c:v>
                </c:pt>
                <c:pt idx="57">
                  <c:v>101.35467980295567</c:v>
                </c:pt>
                <c:pt idx="58">
                  <c:v>99.384236453201964</c:v>
                </c:pt>
                <c:pt idx="59">
                  <c:v>99.261083743842363</c:v>
                </c:pt>
                <c:pt idx="60">
                  <c:v>99.01477832512316</c:v>
                </c:pt>
                <c:pt idx="61">
                  <c:v>98.399014778325125</c:v>
                </c:pt>
                <c:pt idx="62">
                  <c:v>96.305418719211815</c:v>
                </c:pt>
                <c:pt idx="63">
                  <c:v>93.596059113300484</c:v>
                </c:pt>
                <c:pt idx="64">
                  <c:v>90.64039408866995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8289319604280232"/>
          <c:y val="0.1860625455844484"/>
          <c:w val="0.21948147884229405"/>
          <c:h val="3.743605773285900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Inflows!$D$12</c:f>
              <c:strCache>
                <c:ptCount val="1"/>
                <c:pt idx="0">
                  <c:v>Inflows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Inflows!$D$49:$D$114</c:f>
              <c:numCache>
                <c:formatCode>0.0</c:formatCode>
                <c:ptCount val="66"/>
                <c:pt idx="0">
                  <c:v>102.95272054054547</c:v>
                </c:pt>
                <c:pt idx="1">
                  <c:v>107.35789823056005</c:v>
                </c:pt>
                <c:pt idx="2">
                  <c:v>102.97708040888038</c:v>
                </c:pt>
                <c:pt idx="3">
                  <c:v>100.2636955747254</c:v>
                </c:pt>
                <c:pt idx="4">
                  <c:v>70.914317208115492</c:v>
                </c:pt>
                <c:pt idx="5">
                  <c:v>66.118163631325572</c:v>
                </c:pt>
                <c:pt idx="6">
                  <c:v>62.546854684250434</c:v>
                </c:pt>
                <c:pt idx="7">
                  <c:v>67.724544698835899</c:v>
                </c:pt>
                <c:pt idx="8">
                  <c:v>80.753572526940488</c:v>
                </c:pt>
                <c:pt idx="9">
                  <c:v>83.402099211653763</c:v>
                </c:pt>
                <c:pt idx="10">
                  <c:v>85.147788276204366</c:v>
                </c:pt>
                <c:pt idx="11">
                  <c:v>85.971304075101472</c:v>
                </c:pt>
                <c:pt idx="12">
                  <c:v>92.150489176606001</c:v>
                </c:pt>
                <c:pt idx="13">
                  <c:v>89.858682313822086</c:v>
                </c:pt>
                <c:pt idx="14">
                  <c:v>76.557280707897775</c:v>
                </c:pt>
                <c:pt idx="15">
                  <c:v>81.873974221169334</c:v>
                </c:pt>
                <c:pt idx="16">
                  <c:v>95.888358723421092</c:v>
                </c:pt>
                <c:pt idx="17">
                  <c:v>114.73102137882944</c:v>
                </c:pt>
                <c:pt idx="18">
                  <c:v>114.48133272839659</c:v>
                </c:pt>
                <c:pt idx="19">
                  <c:v>106.19852074699536</c:v>
                </c:pt>
                <c:pt idx="20">
                  <c:v>108.04286727830237</c:v>
                </c:pt>
                <c:pt idx="21">
                  <c:v>106.53453468084004</c:v>
                </c:pt>
                <c:pt idx="22">
                  <c:v>105.03320554552403</c:v>
                </c:pt>
                <c:pt idx="23">
                  <c:v>109.20924822401335</c:v>
                </c:pt>
                <c:pt idx="24">
                  <c:v>106.74539979111412</c:v>
                </c:pt>
                <c:pt idx="25">
                  <c:v>104.70541306724238</c:v>
                </c:pt>
                <c:pt idx="26">
                  <c:v>110.51280567828532</c:v>
                </c:pt>
                <c:pt idx="27">
                  <c:v>108.38618917264753</c:v>
                </c:pt>
                <c:pt idx="28">
                  <c:v>108.19511645539556</c:v>
                </c:pt>
                <c:pt idx="29">
                  <c:v>105.75166941222682</c:v>
                </c:pt>
                <c:pt idx="30">
                  <c:v>101.49995889272219</c:v>
                </c:pt>
                <c:pt idx="31">
                  <c:v>106.24739273284227</c:v>
                </c:pt>
                <c:pt idx="32">
                  <c:v>105.59698424830013</c:v>
                </c:pt>
                <c:pt idx="33">
                  <c:v>106.7280433849255</c:v>
                </c:pt>
                <c:pt idx="34">
                  <c:v>104.75002207613069</c:v>
                </c:pt>
                <c:pt idx="35">
                  <c:v>105.6288043263126</c:v>
                </c:pt>
                <c:pt idx="36">
                  <c:v>103.08198009189759</c:v>
                </c:pt>
                <c:pt idx="37">
                  <c:v>101.96629812215865</c:v>
                </c:pt>
                <c:pt idx="38">
                  <c:v>104.27180741088094</c:v>
                </c:pt>
                <c:pt idx="39">
                  <c:v>103.69356503628097</c:v>
                </c:pt>
                <c:pt idx="40">
                  <c:v>104.75367605638091</c:v>
                </c:pt>
                <c:pt idx="41">
                  <c:v>100.95977881239553</c:v>
                </c:pt>
                <c:pt idx="42">
                  <c:v>100.91456080679883</c:v>
                </c:pt>
                <c:pt idx="43">
                  <c:v>98.689895831113034</c:v>
                </c:pt>
                <c:pt idx="44">
                  <c:v>97.355127295536974</c:v>
                </c:pt>
                <c:pt idx="45">
                  <c:v>98.386615470343386</c:v>
                </c:pt>
                <c:pt idx="46">
                  <c:v>97.944636109241827</c:v>
                </c:pt>
                <c:pt idx="47">
                  <c:v>98.561245276469279</c:v>
                </c:pt>
                <c:pt idx="48">
                  <c:v>99.511280141530833</c:v>
                </c:pt>
                <c:pt idx="49">
                  <c:v>97.913272778760629</c:v>
                </c:pt>
                <c:pt idx="50">
                  <c:v>97.595528746167133</c:v>
                </c:pt>
                <c:pt idx="51">
                  <c:v>96.846615044045691</c:v>
                </c:pt>
                <c:pt idx="52">
                  <c:v>93.685465380059611</c:v>
                </c:pt>
                <c:pt idx="53">
                  <c:v>100.52754339862793</c:v>
                </c:pt>
                <c:pt idx="54">
                  <c:v>95.770822358705161</c:v>
                </c:pt>
                <c:pt idx="55">
                  <c:v>91.504952665730841</c:v>
                </c:pt>
                <c:pt idx="56">
                  <c:v>90.243872731867881</c:v>
                </c:pt>
                <c:pt idx="57">
                  <c:v>92.434129393530625</c:v>
                </c:pt>
                <c:pt idx="58">
                  <c:v>89.31256451558879</c:v>
                </c:pt>
                <c:pt idx="59">
                  <c:v>89.887761906646887</c:v>
                </c:pt>
                <c:pt idx="60">
                  <c:v>91.676994235846152</c:v>
                </c:pt>
                <c:pt idx="61">
                  <c:v>93.307126174983026</c:v>
                </c:pt>
                <c:pt idx="62">
                  <c:v>90.379831247012106</c:v>
                </c:pt>
                <c:pt idx="63">
                  <c:v>89.093021202220399</c:v>
                </c:pt>
                <c:pt idx="64">
                  <c:v>84.512452460194453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B-486C-BECB-32F134D8147C}"/>
            </c:ext>
          </c:extLst>
        </c:ser>
        <c:ser>
          <c:idx val="1"/>
          <c:order val="1"/>
          <c:tx>
            <c:strRef>
              <c:f>Inflows!$E$12</c:f>
              <c:strCache>
                <c:ptCount val="1"/>
                <c:pt idx="0">
                  <c:v>Vacancies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Inflows!$E$49:$E$114</c:f>
              <c:numCache>
                <c:formatCode>0.0</c:formatCode>
                <c:ptCount val="66"/>
                <c:pt idx="0">
                  <c:v>100</c:v>
                </c:pt>
                <c:pt idx="1">
                  <c:v>100.86206896551724</c:v>
                </c:pt>
                <c:pt idx="2">
                  <c:v>97.906403940886705</c:v>
                </c:pt>
                <c:pt idx="3">
                  <c:v>78.448275862068968</c:v>
                </c:pt>
                <c:pt idx="4">
                  <c:v>58.004926108374391</c:v>
                </c:pt>
                <c:pt idx="5">
                  <c:v>40.39408866995074</c:v>
                </c:pt>
                <c:pt idx="6">
                  <c:v>45.443349753694577</c:v>
                </c:pt>
                <c:pt idx="7">
                  <c:v>52.709359605911331</c:v>
                </c:pt>
                <c:pt idx="8">
                  <c:v>60.344827586206897</c:v>
                </c:pt>
                <c:pt idx="9">
                  <c:v>65.886699507389153</c:v>
                </c:pt>
                <c:pt idx="10">
                  <c:v>68.965517241379317</c:v>
                </c:pt>
                <c:pt idx="11">
                  <c:v>74.137931034482762</c:v>
                </c:pt>
                <c:pt idx="12">
                  <c:v>75.98522167487684</c:v>
                </c:pt>
                <c:pt idx="13">
                  <c:v>76.477832512315274</c:v>
                </c:pt>
                <c:pt idx="14">
                  <c:v>77.093596059113295</c:v>
                </c:pt>
                <c:pt idx="15">
                  <c:v>81.157635467980299</c:v>
                </c:pt>
                <c:pt idx="16">
                  <c:v>94.088669950738918</c:v>
                </c:pt>
                <c:pt idx="17">
                  <c:v>106.77339901477832</c:v>
                </c:pt>
                <c:pt idx="18">
                  <c:v>119.21182266009853</c:v>
                </c:pt>
                <c:pt idx="19">
                  <c:v>129.55665024630542</c:v>
                </c:pt>
                <c:pt idx="20">
                  <c:v>138.54679802955664</c:v>
                </c:pt>
                <c:pt idx="21">
                  <c:v>147.53694581280789</c:v>
                </c:pt>
                <c:pt idx="22">
                  <c:v>150.61576354679801</c:v>
                </c:pt>
                <c:pt idx="23">
                  <c:v>153.07881773399015</c:v>
                </c:pt>
                <c:pt idx="24">
                  <c:v>153.94088669950739</c:v>
                </c:pt>
                <c:pt idx="25">
                  <c:v>156.0344827586207</c:v>
                </c:pt>
                <c:pt idx="26">
                  <c:v>157.14285714285714</c:v>
                </c:pt>
                <c:pt idx="27">
                  <c:v>158.99014778325122</c:v>
                </c:pt>
                <c:pt idx="28">
                  <c:v>160.09852216748769</c:v>
                </c:pt>
                <c:pt idx="29">
                  <c:v>158.86699507389162</c:v>
                </c:pt>
                <c:pt idx="30">
                  <c:v>155.54187192118226</c:v>
                </c:pt>
                <c:pt idx="31">
                  <c:v>153.20197044334975</c:v>
                </c:pt>
                <c:pt idx="32">
                  <c:v>150.49261083743843</c:v>
                </c:pt>
                <c:pt idx="33">
                  <c:v>148.76847290640393</c:v>
                </c:pt>
                <c:pt idx="34">
                  <c:v>143.7192118226601</c:v>
                </c:pt>
                <c:pt idx="35">
                  <c:v>140.14778325123152</c:v>
                </c:pt>
                <c:pt idx="36">
                  <c:v>137.19211822660097</c:v>
                </c:pt>
                <c:pt idx="37">
                  <c:v>136.94581280788179</c:v>
                </c:pt>
                <c:pt idx="38">
                  <c:v>135.96059113300493</c:v>
                </c:pt>
                <c:pt idx="39">
                  <c:v>132.38916256157637</c:v>
                </c:pt>
                <c:pt idx="40">
                  <c:v>128.44827586206898</c:v>
                </c:pt>
                <c:pt idx="41">
                  <c:v>126.23152709359606</c:v>
                </c:pt>
                <c:pt idx="42">
                  <c:v>124.38423645320198</c:v>
                </c:pt>
                <c:pt idx="43">
                  <c:v>121.67487684729063</c:v>
                </c:pt>
                <c:pt idx="44">
                  <c:v>119.82758620689656</c:v>
                </c:pt>
                <c:pt idx="45">
                  <c:v>117.24137931034481</c:v>
                </c:pt>
                <c:pt idx="46">
                  <c:v>116.74876847290641</c:v>
                </c:pt>
                <c:pt idx="47">
                  <c:v>113.79310344827587</c:v>
                </c:pt>
                <c:pt idx="48">
                  <c:v>112.80788177339902</c:v>
                </c:pt>
                <c:pt idx="49">
                  <c:v>111.33004926108374</c:v>
                </c:pt>
                <c:pt idx="50">
                  <c:v>111.45320197044335</c:v>
                </c:pt>
                <c:pt idx="51">
                  <c:v>109.85221674876848</c:v>
                </c:pt>
                <c:pt idx="52">
                  <c:v>109.11330049261083</c:v>
                </c:pt>
                <c:pt idx="53">
                  <c:v>106.89655172413792</c:v>
                </c:pt>
                <c:pt idx="54">
                  <c:v>105.78817733990147</c:v>
                </c:pt>
                <c:pt idx="55">
                  <c:v>104.06403940886699</c:v>
                </c:pt>
                <c:pt idx="56">
                  <c:v>102.46305418719213</c:v>
                </c:pt>
                <c:pt idx="57">
                  <c:v>101.35467980295567</c:v>
                </c:pt>
                <c:pt idx="58">
                  <c:v>99.384236453201964</c:v>
                </c:pt>
                <c:pt idx="59">
                  <c:v>99.261083743842363</c:v>
                </c:pt>
                <c:pt idx="60">
                  <c:v>99.01477832512316</c:v>
                </c:pt>
                <c:pt idx="61">
                  <c:v>98.399014778325125</c:v>
                </c:pt>
                <c:pt idx="62">
                  <c:v>96.305418719211815</c:v>
                </c:pt>
                <c:pt idx="63">
                  <c:v>93.596059113300484</c:v>
                </c:pt>
                <c:pt idx="64">
                  <c:v>90.64039408866995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B-486C-BECB-32F134D8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76687"/>
        <c:axId val="424986287"/>
      </c:lineChart>
      <c:catAx>
        <c:axId val="42497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86287"/>
        <c:crosses val="autoZero"/>
        <c:auto val="1"/>
        <c:lblAlgn val="ctr"/>
        <c:lblOffset val="100"/>
        <c:noMultiLvlLbl val="0"/>
      </c:catAx>
      <c:valAx>
        <c:axId val="42498628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7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Outflows!$B$14:$B$114</c:f>
              <c:numCache>
                <c:formatCode>0</c:formatCode>
                <c:ptCount val="101"/>
                <c:pt idx="0">
                  <c:v>657675</c:v>
                </c:pt>
                <c:pt idx="1">
                  <c:v>642590</c:v>
                </c:pt>
                <c:pt idx="2">
                  <c:v>642813</c:v>
                </c:pt>
                <c:pt idx="3">
                  <c:v>644204</c:v>
                </c:pt>
                <c:pt idx="4">
                  <c:v>646143</c:v>
                </c:pt>
                <c:pt idx="5">
                  <c:v>642228</c:v>
                </c:pt>
                <c:pt idx="6">
                  <c:v>655072</c:v>
                </c:pt>
                <c:pt idx="7">
                  <c:v>645276</c:v>
                </c:pt>
                <c:pt idx="8">
                  <c:v>641300</c:v>
                </c:pt>
                <c:pt idx="9">
                  <c:v>648093</c:v>
                </c:pt>
                <c:pt idx="10">
                  <c:v>642261</c:v>
                </c:pt>
                <c:pt idx="11">
                  <c:v>640721</c:v>
                </c:pt>
                <c:pt idx="12">
                  <c:v>647172</c:v>
                </c:pt>
                <c:pt idx="13">
                  <c:v>654983</c:v>
                </c:pt>
                <c:pt idx="14">
                  <c:v>650426</c:v>
                </c:pt>
                <c:pt idx="15">
                  <c:v>611563</c:v>
                </c:pt>
                <c:pt idx="16">
                  <c:v>637995</c:v>
                </c:pt>
                <c:pt idx="17">
                  <c:v>645981</c:v>
                </c:pt>
                <c:pt idx="18">
                  <c:v>630010</c:v>
                </c:pt>
                <c:pt idx="19">
                  <c:v>640553</c:v>
                </c:pt>
                <c:pt idx="20">
                  <c:v>665757</c:v>
                </c:pt>
                <c:pt idx="21">
                  <c:v>631850</c:v>
                </c:pt>
                <c:pt idx="22">
                  <c:v>626277</c:v>
                </c:pt>
                <c:pt idx="23">
                  <c:v>666422</c:v>
                </c:pt>
                <c:pt idx="24">
                  <c:v>638319</c:v>
                </c:pt>
                <c:pt idx="25">
                  <c:v>640148</c:v>
                </c:pt>
                <c:pt idx="26">
                  <c:v>631416</c:v>
                </c:pt>
                <c:pt idx="27">
                  <c:v>672201</c:v>
                </c:pt>
                <c:pt idx="28">
                  <c:v>647024</c:v>
                </c:pt>
                <c:pt idx="29">
                  <c:v>655789</c:v>
                </c:pt>
                <c:pt idx="30">
                  <c:v>651156</c:v>
                </c:pt>
                <c:pt idx="31">
                  <c:v>630779</c:v>
                </c:pt>
                <c:pt idx="32">
                  <c:v>632555</c:v>
                </c:pt>
                <c:pt idx="33">
                  <c:v>640684</c:v>
                </c:pt>
                <c:pt idx="34">
                  <c:v>640944</c:v>
                </c:pt>
                <c:pt idx="35">
                  <c:v>658887</c:v>
                </c:pt>
                <c:pt idx="36">
                  <c:v>647578</c:v>
                </c:pt>
                <c:pt idx="37">
                  <c:v>688189</c:v>
                </c:pt>
                <c:pt idx="38">
                  <c:v>694326</c:v>
                </c:pt>
                <c:pt idx="39">
                  <c:v>908918</c:v>
                </c:pt>
                <c:pt idx="40">
                  <c:v>586561</c:v>
                </c:pt>
                <c:pt idx="41">
                  <c:v>464781</c:v>
                </c:pt>
                <c:pt idx="42">
                  <c:v>476434</c:v>
                </c:pt>
                <c:pt idx="43">
                  <c:v>595960</c:v>
                </c:pt>
                <c:pt idx="44">
                  <c:v>610345</c:v>
                </c:pt>
                <c:pt idx="45">
                  <c:v>590745</c:v>
                </c:pt>
                <c:pt idx="46">
                  <c:v>640218</c:v>
                </c:pt>
                <c:pt idx="47">
                  <c:v>570147</c:v>
                </c:pt>
                <c:pt idx="48">
                  <c:v>552763</c:v>
                </c:pt>
                <c:pt idx="49">
                  <c:v>505926</c:v>
                </c:pt>
                <c:pt idx="50">
                  <c:v>501587</c:v>
                </c:pt>
                <c:pt idx="51">
                  <c:v>506479</c:v>
                </c:pt>
                <c:pt idx="52">
                  <c:v>552245</c:v>
                </c:pt>
                <c:pt idx="53">
                  <c:v>586363</c:v>
                </c:pt>
                <c:pt idx="54">
                  <c:v>582426</c:v>
                </c:pt>
                <c:pt idx="55">
                  <c:v>561386</c:v>
                </c:pt>
                <c:pt idx="56">
                  <c:v>595393</c:v>
                </c:pt>
                <c:pt idx="57">
                  <c:v>670641</c:v>
                </c:pt>
                <c:pt idx="58">
                  <c:v>619191</c:v>
                </c:pt>
                <c:pt idx="59">
                  <c:v>621206</c:v>
                </c:pt>
                <c:pt idx="60">
                  <c:v>638897</c:v>
                </c:pt>
                <c:pt idx="61">
                  <c:v>609267</c:v>
                </c:pt>
                <c:pt idx="62">
                  <c:v>636991</c:v>
                </c:pt>
                <c:pt idx="63">
                  <c:v>676301</c:v>
                </c:pt>
                <c:pt idx="64">
                  <c:v>655588</c:v>
                </c:pt>
                <c:pt idx="65">
                  <c:v>648914</c:v>
                </c:pt>
                <c:pt idx="66">
                  <c:v>626365</c:v>
                </c:pt>
                <c:pt idx="67">
                  <c:v>639412</c:v>
                </c:pt>
                <c:pt idx="68">
                  <c:v>629477</c:v>
                </c:pt>
                <c:pt idx="69">
                  <c:v>651524</c:v>
                </c:pt>
                <c:pt idx="70">
                  <c:v>629563</c:v>
                </c:pt>
                <c:pt idx="71">
                  <c:v>635218</c:v>
                </c:pt>
                <c:pt idx="72">
                  <c:v>643577</c:v>
                </c:pt>
                <c:pt idx="73">
                  <c:v>629540</c:v>
                </c:pt>
                <c:pt idx="74">
                  <c:v>630792</c:v>
                </c:pt>
                <c:pt idx="75">
                  <c:v>632448</c:v>
                </c:pt>
                <c:pt idx="76">
                  <c:v>624752</c:v>
                </c:pt>
                <c:pt idx="77">
                  <c:v>620378</c:v>
                </c:pt>
                <c:pt idx="78">
                  <c:v>643011</c:v>
                </c:pt>
                <c:pt idx="79">
                  <c:v>620025</c:v>
                </c:pt>
                <c:pt idx="80">
                  <c:v>609313</c:v>
                </c:pt>
                <c:pt idx="81">
                  <c:v>616742</c:v>
                </c:pt>
                <c:pt idx="82">
                  <c:v>619334</c:v>
                </c:pt>
                <c:pt idx="83">
                  <c:v>608244</c:v>
                </c:pt>
                <c:pt idx="84">
                  <c:v>632172</c:v>
                </c:pt>
                <c:pt idx="85">
                  <c:v>636286</c:v>
                </c:pt>
                <c:pt idx="86">
                  <c:v>618909</c:v>
                </c:pt>
                <c:pt idx="87">
                  <c:v>600482</c:v>
                </c:pt>
                <c:pt idx="88">
                  <c:v>610752</c:v>
                </c:pt>
                <c:pt idx="89">
                  <c:v>625616</c:v>
                </c:pt>
                <c:pt idx="90">
                  <c:v>595960</c:v>
                </c:pt>
                <c:pt idx="91">
                  <c:v>619298</c:v>
                </c:pt>
                <c:pt idx="92">
                  <c:v>607525</c:v>
                </c:pt>
                <c:pt idx="93">
                  <c:v>565730</c:v>
                </c:pt>
                <c:pt idx="94">
                  <c:v>616435</c:v>
                </c:pt>
                <c:pt idx="95">
                  <c:v>621962</c:v>
                </c:pt>
                <c:pt idx="96">
                  <c:v>615566</c:v>
                </c:pt>
                <c:pt idx="97">
                  <c:v>621850</c:v>
                </c:pt>
                <c:pt idx="98">
                  <c:v>620325</c:v>
                </c:pt>
                <c:pt idx="99">
                  <c:v>610089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B-4802-8A27-E02B6E16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497056"/>
        <c:axId val="285313936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Outflows!$C$14:$C$114</c:f>
              <c:numCache>
                <c:formatCode>0</c:formatCode>
                <c:ptCount val="101"/>
                <c:pt idx="0">
                  <c:v>29332</c:v>
                </c:pt>
                <c:pt idx="1">
                  <c:v>23593</c:v>
                </c:pt>
                <c:pt idx="2">
                  <c:v>28578</c:v>
                </c:pt>
                <c:pt idx="3">
                  <c:v>19543</c:v>
                </c:pt>
                <c:pt idx="4">
                  <c:v>37364</c:v>
                </c:pt>
                <c:pt idx="5">
                  <c:v>19518</c:v>
                </c:pt>
                <c:pt idx="6">
                  <c:v>21370</c:v>
                </c:pt>
                <c:pt idx="7">
                  <c:v>34790</c:v>
                </c:pt>
                <c:pt idx="8">
                  <c:v>20258</c:v>
                </c:pt>
                <c:pt idx="9">
                  <c:v>21234</c:v>
                </c:pt>
                <c:pt idx="10">
                  <c:v>29026</c:v>
                </c:pt>
                <c:pt idx="11">
                  <c:v>23171</c:v>
                </c:pt>
                <c:pt idx="12">
                  <c:v>38752</c:v>
                </c:pt>
                <c:pt idx="13">
                  <c:v>36801</c:v>
                </c:pt>
                <c:pt idx="14">
                  <c:v>156723</c:v>
                </c:pt>
                <c:pt idx="15">
                  <c:v>22837</c:v>
                </c:pt>
                <c:pt idx="16">
                  <c:v>32379</c:v>
                </c:pt>
                <c:pt idx="17">
                  <c:v>25486</c:v>
                </c:pt>
                <c:pt idx="18">
                  <c:v>18882</c:v>
                </c:pt>
                <c:pt idx="19">
                  <c:v>22678</c:v>
                </c:pt>
                <c:pt idx="20">
                  <c:v>19461</c:v>
                </c:pt>
                <c:pt idx="21">
                  <c:v>26968</c:v>
                </c:pt>
                <c:pt idx="22">
                  <c:v>25064</c:v>
                </c:pt>
                <c:pt idx="23">
                  <c:v>16154</c:v>
                </c:pt>
                <c:pt idx="24">
                  <c:v>28138</c:v>
                </c:pt>
                <c:pt idx="25">
                  <c:v>32189</c:v>
                </c:pt>
                <c:pt idx="26">
                  <c:v>41626</c:v>
                </c:pt>
                <c:pt idx="27">
                  <c:v>85913</c:v>
                </c:pt>
                <c:pt idx="28">
                  <c:v>36304</c:v>
                </c:pt>
                <c:pt idx="29">
                  <c:v>24024</c:v>
                </c:pt>
                <c:pt idx="30">
                  <c:v>21456</c:v>
                </c:pt>
                <c:pt idx="31">
                  <c:v>22642</c:v>
                </c:pt>
                <c:pt idx="32">
                  <c:v>26716</c:v>
                </c:pt>
                <c:pt idx="33">
                  <c:v>23882</c:v>
                </c:pt>
                <c:pt idx="34">
                  <c:v>27820</c:v>
                </c:pt>
                <c:pt idx="35">
                  <c:v>16733</c:v>
                </c:pt>
                <c:pt idx="36">
                  <c:v>29496</c:v>
                </c:pt>
                <c:pt idx="37">
                  <c:v>27804</c:v>
                </c:pt>
                <c:pt idx="38">
                  <c:v>44235</c:v>
                </c:pt>
                <c:pt idx="39">
                  <c:v>61502</c:v>
                </c:pt>
                <c:pt idx="40">
                  <c:v>73254</c:v>
                </c:pt>
                <c:pt idx="41">
                  <c:v>155576</c:v>
                </c:pt>
                <c:pt idx="42">
                  <c:v>149301</c:v>
                </c:pt>
                <c:pt idx="43">
                  <c:v>57749</c:v>
                </c:pt>
                <c:pt idx="44">
                  <c:v>81670</c:v>
                </c:pt>
                <c:pt idx="45">
                  <c:v>51351</c:v>
                </c:pt>
                <c:pt idx="46">
                  <c:v>36686</c:v>
                </c:pt>
                <c:pt idx="47">
                  <c:v>23083</c:v>
                </c:pt>
                <c:pt idx="48">
                  <c:v>31946</c:v>
                </c:pt>
                <c:pt idx="49">
                  <c:v>26576</c:v>
                </c:pt>
                <c:pt idx="50">
                  <c:v>27809</c:v>
                </c:pt>
                <c:pt idx="51">
                  <c:v>18492</c:v>
                </c:pt>
                <c:pt idx="52">
                  <c:v>19211</c:v>
                </c:pt>
                <c:pt idx="53">
                  <c:v>15741</c:v>
                </c:pt>
                <c:pt idx="54">
                  <c:v>14078</c:v>
                </c:pt>
                <c:pt idx="55">
                  <c:v>12687</c:v>
                </c:pt>
                <c:pt idx="56">
                  <c:v>13836</c:v>
                </c:pt>
                <c:pt idx="57">
                  <c:v>12818</c:v>
                </c:pt>
                <c:pt idx="58">
                  <c:v>16892</c:v>
                </c:pt>
                <c:pt idx="59">
                  <c:v>7141</c:v>
                </c:pt>
                <c:pt idx="60">
                  <c:v>13684</c:v>
                </c:pt>
                <c:pt idx="61">
                  <c:v>19413</c:v>
                </c:pt>
                <c:pt idx="62">
                  <c:v>25216</c:v>
                </c:pt>
                <c:pt idx="63">
                  <c:v>16041</c:v>
                </c:pt>
                <c:pt idx="64">
                  <c:v>16415</c:v>
                </c:pt>
                <c:pt idx="65">
                  <c:v>10974</c:v>
                </c:pt>
                <c:pt idx="66">
                  <c:v>12159</c:v>
                </c:pt>
                <c:pt idx="67">
                  <c:v>16491</c:v>
                </c:pt>
                <c:pt idx="68">
                  <c:v>14369</c:v>
                </c:pt>
                <c:pt idx="69">
                  <c:v>13992</c:v>
                </c:pt>
                <c:pt idx="70">
                  <c:v>22580</c:v>
                </c:pt>
                <c:pt idx="71">
                  <c:v>12654</c:v>
                </c:pt>
                <c:pt idx="72">
                  <c:v>25257</c:v>
                </c:pt>
                <c:pt idx="73">
                  <c:v>34636</c:v>
                </c:pt>
                <c:pt idx="74">
                  <c:v>23692</c:v>
                </c:pt>
                <c:pt idx="75">
                  <c:v>21045</c:v>
                </c:pt>
                <c:pt idx="76">
                  <c:v>19001</c:v>
                </c:pt>
                <c:pt idx="77">
                  <c:v>25564</c:v>
                </c:pt>
                <c:pt idx="78">
                  <c:v>24641</c:v>
                </c:pt>
                <c:pt idx="79">
                  <c:v>28361</c:v>
                </c:pt>
                <c:pt idx="80">
                  <c:v>18865</c:v>
                </c:pt>
                <c:pt idx="81">
                  <c:v>25359</c:v>
                </c:pt>
                <c:pt idx="82">
                  <c:v>38555</c:v>
                </c:pt>
                <c:pt idx="83">
                  <c:v>17057</c:v>
                </c:pt>
                <c:pt idx="84">
                  <c:v>26788</c:v>
                </c:pt>
                <c:pt idx="85">
                  <c:v>31043</c:v>
                </c:pt>
                <c:pt idx="86">
                  <c:v>26233</c:v>
                </c:pt>
                <c:pt idx="87">
                  <c:v>18450</c:v>
                </c:pt>
                <c:pt idx="88">
                  <c:v>25455</c:v>
                </c:pt>
                <c:pt idx="89">
                  <c:v>16768</c:v>
                </c:pt>
                <c:pt idx="90">
                  <c:v>21212</c:v>
                </c:pt>
                <c:pt idx="91">
                  <c:v>14518</c:v>
                </c:pt>
                <c:pt idx="92">
                  <c:v>22409</c:v>
                </c:pt>
                <c:pt idx="93">
                  <c:v>19559</c:v>
                </c:pt>
                <c:pt idx="94">
                  <c:v>23906</c:v>
                </c:pt>
                <c:pt idx="95">
                  <c:v>20808</c:v>
                </c:pt>
                <c:pt idx="96">
                  <c:v>23199</c:v>
                </c:pt>
                <c:pt idx="97">
                  <c:v>28706</c:v>
                </c:pt>
                <c:pt idx="98">
                  <c:v>31825</c:v>
                </c:pt>
                <c:pt idx="99">
                  <c:v>23769</c:v>
                </c:pt>
                <c:pt idx="100">
                  <c:v>24615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B-4802-8A27-E02B6E16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21807"/>
        <c:axId val="425018447"/>
      </c:lineChart>
      <c:catAx>
        <c:axId val="188949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13936"/>
        <c:crosses val="autoZero"/>
        <c:auto val="1"/>
        <c:lblAlgn val="ctr"/>
        <c:lblOffset val="100"/>
        <c:noMultiLvlLbl val="0"/>
      </c:catAx>
      <c:valAx>
        <c:axId val="2853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497056"/>
        <c:crosses val="autoZero"/>
        <c:crossBetween val="between"/>
      </c:valAx>
      <c:valAx>
        <c:axId val="42501844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21807"/>
        <c:crosses val="max"/>
        <c:crossBetween val="between"/>
      </c:valAx>
      <c:catAx>
        <c:axId val="425021807"/>
        <c:scaling>
          <c:orientation val="minMax"/>
        </c:scaling>
        <c:delete val="1"/>
        <c:axPos val="b"/>
        <c:majorTickMark val="out"/>
        <c:minorTickMark val="none"/>
        <c:tickLblPos val="nextTo"/>
        <c:crossAx val="42501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HAVERM!$AI$10:$AI$109</c:f>
              <c:numCache>
                <c:formatCode>0.0</c:formatCode>
                <c:ptCount val="100"/>
                <c:pt idx="0">
                  <c:v>764</c:v>
                </c:pt>
                <c:pt idx="1">
                  <c:v>771</c:v>
                </c:pt>
                <c:pt idx="2">
                  <c:v>791</c:v>
                </c:pt>
                <c:pt idx="3">
                  <c:v>786</c:v>
                </c:pt>
                <c:pt idx="4">
                  <c:v>786</c:v>
                </c:pt>
                <c:pt idx="5">
                  <c:v>784</c:v>
                </c:pt>
                <c:pt idx="6">
                  <c:v>793</c:v>
                </c:pt>
                <c:pt idx="7">
                  <c:v>800</c:v>
                </c:pt>
                <c:pt idx="8">
                  <c:v>812</c:v>
                </c:pt>
                <c:pt idx="9">
                  <c:v>819</c:v>
                </c:pt>
                <c:pt idx="10">
                  <c:v>820</c:v>
                </c:pt>
                <c:pt idx="11">
                  <c:v>817</c:v>
                </c:pt>
                <c:pt idx="12">
                  <c:v>814</c:v>
                </c:pt>
                <c:pt idx="13">
                  <c:v>815</c:v>
                </c:pt>
                <c:pt idx="14">
                  <c:v>811</c:v>
                </c:pt>
                <c:pt idx="15">
                  <c:v>821</c:v>
                </c:pt>
                <c:pt idx="16">
                  <c:v>832</c:v>
                </c:pt>
                <c:pt idx="17">
                  <c:v>837</c:v>
                </c:pt>
                <c:pt idx="18">
                  <c:v>842</c:v>
                </c:pt>
                <c:pt idx="19">
                  <c:v>846</c:v>
                </c:pt>
                <c:pt idx="20">
                  <c:v>864</c:v>
                </c:pt>
                <c:pt idx="21">
                  <c:v>862</c:v>
                </c:pt>
                <c:pt idx="22">
                  <c:v>856</c:v>
                </c:pt>
                <c:pt idx="23">
                  <c:v>855</c:v>
                </c:pt>
                <c:pt idx="24">
                  <c:v>847</c:v>
                </c:pt>
                <c:pt idx="25">
                  <c:v>845</c:v>
                </c:pt>
                <c:pt idx="26">
                  <c:v>840</c:v>
                </c:pt>
                <c:pt idx="27">
                  <c:v>835</c:v>
                </c:pt>
                <c:pt idx="28">
                  <c:v>822</c:v>
                </c:pt>
                <c:pt idx="29">
                  <c:v>821</c:v>
                </c:pt>
                <c:pt idx="30">
                  <c:v>815</c:v>
                </c:pt>
                <c:pt idx="31">
                  <c:v>818</c:v>
                </c:pt>
                <c:pt idx="32">
                  <c:v>813</c:v>
                </c:pt>
                <c:pt idx="33">
                  <c:v>809</c:v>
                </c:pt>
                <c:pt idx="34">
                  <c:v>811</c:v>
                </c:pt>
                <c:pt idx="35">
                  <c:v>812</c:v>
                </c:pt>
                <c:pt idx="36">
                  <c:v>819</c:v>
                </c:pt>
                <c:pt idx="37">
                  <c:v>795</c:v>
                </c:pt>
                <c:pt idx="38">
                  <c:v>637</c:v>
                </c:pt>
                <c:pt idx="39">
                  <c:v>471</c:v>
                </c:pt>
                <c:pt idx="40">
                  <c:v>328</c:v>
                </c:pt>
                <c:pt idx="41">
                  <c:v>369</c:v>
                </c:pt>
                <c:pt idx="42">
                  <c:v>428</c:v>
                </c:pt>
                <c:pt idx="43">
                  <c:v>490</c:v>
                </c:pt>
                <c:pt idx="44">
                  <c:v>535</c:v>
                </c:pt>
                <c:pt idx="45">
                  <c:v>560</c:v>
                </c:pt>
                <c:pt idx="46">
                  <c:v>602</c:v>
                </c:pt>
                <c:pt idx="47">
                  <c:v>617</c:v>
                </c:pt>
                <c:pt idx="48">
                  <c:v>621</c:v>
                </c:pt>
                <c:pt idx="49">
                  <c:v>626</c:v>
                </c:pt>
                <c:pt idx="50">
                  <c:v>659</c:v>
                </c:pt>
                <c:pt idx="51">
                  <c:v>764</c:v>
                </c:pt>
                <c:pt idx="52">
                  <c:v>867</c:v>
                </c:pt>
                <c:pt idx="53">
                  <c:v>968</c:v>
                </c:pt>
                <c:pt idx="54">
                  <c:v>1052</c:v>
                </c:pt>
                <c:pt idx="55">
                  <c:v>1125</c:v>
                </c:pt>
                <c:pt idx="56">
                  <c:v>1198</c:v>
                </c:pt>
                <c:pt idx="57">
                  <c:v>1223</c:v>
                </c:pt>
                <c:pt idx="58">
                  <c:v>1243</c:v>
                </c:pt>
                <c:pt idx="59">
                  <c:v>1250</c:v>
                </c:pt>
                <c:pt idx="60">
                  <c:v>1267</c:v>
                </c:pt>
                <c:pt idx="61">
                  <c:v>1276</c:v>
                </c:pt>
                <c:pt idx="62">
                  <c:v>1291</c:v>
                </c:pt>
                <c:pt idx="63">
                  <c:v>1300</c:v>
                </c:pt>
                <c:pt idx="64">
                  <c:v>1290</c:v>
                </c:pt>
                <c:pt idx="65">
                  <c:v>1263</c:v>
                </c:pt>
                <c:pt idx="66">
                  <c:v>1244</c:v>
                </c:pt>
                <c:pt idx="67">
                  <c:v>1222</c:v>
                </c:pt>
                <c:pt idx="68">
                  <c:v>1208</c:v>
                </c:pt>
                <c:pt idx="69">
                  <c:v>1167</c:v>
                </c:pt>
                <c:pt idx="70">
                  <c:v>1138</c:v>
                </c:pt>
                <c:pt idx="71">
                  <c:v>1114</c:v>
                </c:pt>
                <c:pt idx="72">
                  <c:v>1112</c:v>
                </c:pt>
                <c:pt idx="73">
                  <c:v>1104</c:v>
                </c:pt>
                <c:pt idx="74">
                  <c:v>1075</c:v>
                </c:pt>
                <c:pt idx="75">
                  <c:v>1043</c:v>
                </c:pt>
                <c:pt idx="76">
                  <c:v>1025</c:v>
                </c:pt>
                <c:pt idx="77">
                  <c:v>1010</c:v>
                </c:pt>
                <c:pt idx="78">
                  <c:v>988</c:v>
                </c:pt>
                <c:pt idx="79">
                  <c:v>973</c:v>
                </c:pt>
                <c:pt idx="80">
                  <c:v>952</c:v>
                </c:pt>
                <c:pt idx="81">
                  <c:v>948</c:v>
                </c:pt>
                <c:pt idx="82">
                  <c:v>924</c:v>
                </c:pt>
                <c:pt idx="83">
                  <c:v>916</c:v>
                </c:pt>
                <c:pt idx="84">
                  <c:v>904</c:v>
                </c:pt>
                <c:pt idx="85">
                  <c:v>905</c:v>
                </c:pt>
                <c:pt idx="86">
                  <c:v>892</c:v>
                </c:pt>
                <c:pt idx="87">
                  <c:v>886</c:v>
                </c:pt>
                <c:pt idx="88">
                  <c:v>868</c:v>
                </c:pt>
                <c:pt idx="89">
                  <c:v>859</c:v>
                </c:pt>
                <c:pt idx="90">
                  <c:v>845</c:v>
                </c:pt>
                <c:pt idx="91">
                  <c:v>832</c:v>
                </c:pt>
                <c:pt idx="92">
                  <c:v>823</c:v>
                </c:pt>
                <c:pt idx="93">
                  <c:v>807</c:v>
                </c:pt>
                <c:pt idx="94">
                  <c:v>806</c:v>
                </c:pt>
                <c:pt idx="95">
                  <c:v>804</c:v>
                </c:pt>
                <c:pt idx="96">
                  <c:v>799</c:v>
                </c:pt>
                <c:pt idx="97">
                  <c:v>782</c:v>
                </c:pt>
                <c:pt idx="98">
                  <c:v>760</c:v>
                </c:pt>
                <c:pt idx="99">
                  <c:v>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1-484B-AE0E-94269133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82927"/>
        <c:axId val="424984367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HAVERM!$L$10:$L$109</c:f>
              <c:numCache>
                <c:formatCode>0</c:formatCode>
                <c:ptCount val="100"/>
                <c:pt idx="0">
                  <c:v>665559</c:v>
                </c:pt>
                <c:pt idx="1">
                  <c:v>682700</c:v>
                </c:pt>
                <c:pt idx="2">
                  <c:v>682127</c:v>
                </c:pt>
                <c:pt idx="3">
                  <c:v>678453</c:v>
                </c:pt>
                <c:pt idx="4">
                  <c:v>686841</c:v>
                </c:pt>
                <c:pt idx="5">
                  <c:v>676578</c:v>
                </c:pt>
                <c:pt idx="6">
                  <c:v>676046</c:v>
                </c:pt>
                <c:pt idx="7">
                  <c:v>680466</c:v>
                </c:pt>
                <c:pt idx="8">
                  <c:v>678714</c:v>
                </c:pt>
                <c:pt idx="9">
                  <c:v>680017</c:v>
                </c:pt>
                <c:pt idx="10">
                  <c:v>675360</c:v>
                </c:pt>
                <c:pt idx="11">
                  <c:v>667559</c:v>
                </c:pt>
                <c:pt idx="12">
                  <c:v>667921</c:v>
                </c:pt>
                <c:pt idx="13">
                  <c:v>662669</c:v>
                </c:pt>
                <c:pt idx="14">
                  <c:v>654218</c:v>
                </c:pt>
                <c:pt idx="15">
                  <c:v>650108</c:v>
                </c:pt>
                <c:pt idx="16">
                  <c:v>666682</c:v>
                </c:pt>
                <c:pt idx="17">
                  <c:v>664166</c:v>
                </c:pt>
                <c:pt idx="18">
                  <c:v>669767</c:v>
                </c:pt>
                <c:pt idx="19">
                  <c:v>679282</c:v>
                </c:pt>
                <c:pt idx="20">
                  <c:v>675797</c:v>
                </c:pt>
                <c:pt idx="21">
                  <c:v>664106</c:v>
                </c:pt>
                <c:pt idx="22">
                  <c:v>681702</c:v>
                </c:pt>
                <c:pt idx="23">
                  <c:v>666126</c:v>
                </c:pt>
                <c:pt idx="24">
                  <c:v>676840</c:v>
                </c:pt>
                <c:pt idx="25">
                  <c:v>668161</c:v>
                </c:pt>
                <c:pt idx="26">
                  <c:v>680711</c:v>
                </c:pt>
                <c:pt idx="27">
                  <c:v>686967</c:v>
                </c:pt>
                <c:pt idx="28">
                  <c:v>661067</c:v>
                </c:pt>
                <c:pt idx="29">
                  <c:v>657879</c:v>
                </c:pt>
                <c:pt idx="30">
                  <c:v>644954</c:v>
                </c:pt>
                <c:pt idx="31">
                  <c:v>664942</c:v>
                </c:pt>
                <c:pt idx="32">
                  <c:v>663453</c:v>
                </c:pt>
                <c:pt idx="33">
                  <c:v>646959</c:v>
                </c:pt>
                <c:pt idx="34">
                  <c:v>647283</c:v>
                </c:pt>
                <c:pt idx="35">
                  <c:v>676212</c:v>
                </c:pt>
                <c:pt idx="36">
                  <c:v>705146</c:v>
                </c:pt>
                <c:pt idx="37">
                  <c:v>676372</c:v>
                </c:pt>
                <c:pt idx="38">
                  <c:v>658550</c:v>
                </c:pt>
                <c:pt idx="39">
                  <c:v>465778</c:v>
                </c:pt>
                <c:pt idx="40">
                  <c:v>434276</c:v>
                </c:pt>
                <c:pt idx="41">
                  <c:v>410819</c:v>
                </c:pt>
                <c:pt idx="42">
                  <c:v>444827</c:v>
                </c:pt>
                <c:pt idx="43">
                  <c:v>530404</c:v>
                </c:pt>
                <c:pt idx="44">
                  <c:v>547800</c:v>
                </c:pt>
                <c:pt idx="45">
                  <c:v>559266</c:v>
                </c:pt>
                <c:pt idx="46">
                  <c:v>564675</c:v>
                </c:pt>
                <c:pt idx="47">
                  <c:v>605261</c:v>
                </c:pt>
                <c:pt idx="48">
                  <c:v>590208</c:v>
                </c:pt>
                <c:pt idx="49">
                  <c:v>502842</c:v>
                </c:pt>
                <c:pt idx="50">
                  <c:v>537763</c:v>
                </c:pt>
                <c:pt idx="51">
                  <c:v>629812</c:v>
                </c:pt>
                <c:pt idx="52">
                  <c:v>753574</c:v>
                </c:pt>
                <c:pt idx="53">
                  <c:v>751934</c:v>
                </c:pt>
                <c:pt idx="54">
                  <c:v>697531</c:v>
                </c:pt>
                <c:pt idx="55">
                  <c:v>709645</c:v>
                </c:pt>
                <c:pt idx="56">
                  <c:v>699738</c:v>
                </c:pt>
                <c:pt idx="57">
                  <c:v>689877</c:v>
                </c:pt>
                <c:pt idx="58">
                  <c:v>717306</c:v>
                </c:pt>
                <c:pt idx="59">
                  <c:v>701123</c:v>
                </c:pt>
                <c:pt idx="60">
                  <c:v>687724</c:v>
                </c:pt>
                <c:pt idx="61">
                  <c:v>725868</c:v>
                </c:pt>
                <c:pt idx="62">
                  <c:v>711900</c:v>
                </c:pt>
                <c:pt idx="63">
                  <c:v>710645</c:v>
                </c:pt>
                <c:pt idx="64">
                  <c:v>694596</c:v>
                </c:pt>
                <c:pt idx="65">
                  <c:v>666670</c:v>
                </c:pt>
                <c:pt idx="66">
                  <c:v>697852</c:v>
                </c:pt>
                <c:pt idx="67">
                  <c:v>693580</c:v>
                </c:pt>
                <c:pt idx="68">
                  <c:v>701009</c:v>
                </c:pt>
                <c:pt idx="69">
                  <c:v>688017</c:v>
                </c:pt>
                <c:pt idx="70">
                  <c:v>693789</c:v>
                </c:pt>
                <c:pt idx="71">
                  <c:v>677061</c:v>
                </c:pt>
                <c:pt idx="72">
                  <c:v>669733</c:v>
                </c:pt>
                <c:pt idx="73">
                  <c:v>684876</c:v>
                </c:pt>
                <c:pt idx="74">
                  <c:v>681078</c:v>
                </c:pt>
                <c:pt idx="75">
                  <c:v>688041</c:v>
                </c:pt>
                <c:pt idx="76">
                  <c:v>663122</c:v>
                </c:pt>
                <c:pt idx="77">
                  <c:v>662825</c:v>
                </c:pt>
                <c:pt idx="78">
                  <c:v>648213</c:v>
                </c:pt>
                <c:pt idx="79">
                  <c:v>639446</c:v>
                </c:pt>
                <c:pt idx="80">
                  <c:v>646221</c:v>
                </c:pt>
                <c:pt idx="81">
                  <c:v>643318</c:v>
                </c:pt>
                <c:pt idx="82">
                  <c:v>647368</c:v>
                </c:pt>
                <c:pt idx="83">
                  <c:v>653608</c:v>
                </c:pt>
                <c:pt idx="84">
                  <c:v>643112</c:v>
                </c:pt>
                <c:pt idx="85">
                  <c:v>641025</c:v>
                </c:pt>
                <c:pt idx="86">
                  <c:v>636106</c:v>
                </c:pt>
                <c:pt idx="87">
                  <c:v>615343</c:v>
                </c:pt>
                <c:pt idx="88">
                  <c:v>660283</c:v>
                </c:pt>
                <c:pt idx="89">
                  <c:v>629040</c:v>
                </c:pt>
                <c:pt idx="90">
                  <c:v>601021</c:v>
                </c:pt>
                <c:pt idx="91">
                  <c:v>592738</c:v>
                </c:pt>
                <c:pt idx="92">
                  <c:v>607124</c:v>
                </c:pt>
                <c:pt idx="93">
                  <c:v>586621</c:v>
                </c:pt>
                <c:pt idx="94">
                  <c:v>590399</c:v>
                </c:pt>
                <c:pt idx="95">
                  <c:v>602151</c:v>
                </c:pt>
                <c:pt idx="96">
                  <c:v>612858</c:v>
                </c:pt>
                <c:pt idx="97">
                  <c:v>593631</c:v>
                </c:pt>
                <c:pt idx="98">
                  <c:v>585179</c:v>
                </c:pt>
                <c:pt idx="99">
                  <c:v>555093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1-484B-AE0E-94269133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28047"/>
        <c:axId val="425013647"/>
      </c:lineChart>
      <c:catAx>
        <c:axId val="42498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84367"/>
        <c:crosses val="autoZero"/>
        <c:auto val="1"/>
        <c:lblAlgn val="ctr"/>
        <c:lblOffset val="100"/>
        <c:noMultiLvlLbl val="0"/>
      </c:catAx>
      <c:valAx>
        <c:axId val="4249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82927"/>
        <c:crosses val="autoZero"/>
        <c:crossBetween val="between"/>
      </c:valAx>
      <c:valAx>
        <c:axId val="42501364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28047"/>
        <c:crosses val="max"/>
        <c:crossBetween val="between"/>
      </c:valAx>
      <c:catAx>
        <c:axId val="425028047"/>
        <c:scaling>
          <c:orientation val="minMax"/>
        </c:scaling>
        <c:delete val="1"/>
        <c:axPos val="b"/>
        <c:majorTickMark val="out"/>
        <c:minorTickMark val="none"/>
        <c:tickLblPos val="nextTo"/>
        <c:crossAx val="425013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AD1D01-0FD3-4DDB-B2F0-9039F74D428F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CAE862-185F-4931-88B1-2FD65C6AAD8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0A9E7-60A7-517F-2895-B6CEE19AC4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44CBC5F-5737-E47B-C915-C8A714C8B5C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payrolled employee growth</a:t>
          </a:r>
        </a:p>
      </cdr:txBody>
    </cdr:sp>
  </cdr:relSizeAnchor>
  <cdr:relSizeAnchor xmlns:cdr="http://schemas.openxmlformats.org/drawingml/2006/chartDrawing">
    <cdr:from>
      <cdr:x>0</cdr:x>
      <cdr:y>0.93926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F9E7848-D6C6-F1AF-8FF0-EACC8177B5C8}"/>
            </a:ext>
          </a:extLst>
        </cdr:cNvPr>
        <cdr:cNvSpPr/>
      </cdr:nvSpPr>
      <cdr:spPr>
        <a:xfrm xmlns:a="http://schemas.openxmlformats.org/drawingml/2006/main">
          <a:off x="50800" y="5911701"/>
          <a:ext cx="866588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Haver Analytics &amp; ONS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1</cdr:x>
      <cdr:y>0.12657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1AA8F0C-8627-09B5-6BFB-7C9D8DCACCF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3-month change, 000s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8DA1F-EA4B-1A97-9F34-271922A4DE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4A02B0-5CC2-4B5F-4E4C-F1EE0EB689E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Labour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demand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C19792E-2A44-D321-760C-C6B061C0A7E1}"/>
            </a:ext>
          </a:extLst>
        </cdr:cNvPr>
        <cdr:cNvSpPr/>
      </cdr:nvSpPr>
      <cdr:spPr>
        <a:xfrm xmlns:a="http://schemas.openxmlformats.org/drawingml/2006/main">
          <a:off x="50800" y="5911701"/>
          <a:ext cx="866588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1</cdr:x>
      <cdr:y>0.12657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65BD422-B809-848A-27AF-C406142865E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2019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Q4 = 100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506412</xdr:colOff>
      <xdr:row>15</xdr:row>
      <xdr:rowOff>30162</xdr:rowOff>
    </xdr:from>
    <xdr:to>
      <xdr:col>14</xdr:col>
      <xdr:colOff>201612</xdr:colOff>
      <xdr:row>30</xdr:row>
      <xdr:rowOff>58737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A53EA-F02B-21D6-689F-25BF35142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300037</xdr:colOff>
      <xdr:row>10</xdr:row>
      <xdr:rowOff>166687</xdr:rowOff>
    </xdr:from>
    <xdr:to>
      <xdr:col>15</xdr:col>
      <xdr:colOff>604837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28787-6844-2197-F480-9D47569D9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228600</xdr:colOff>
      <xdr:row>15</xdr:row>
      <xdr:rowOff>76200</xdr:rowOff>
    </xdr:from>
    <xdr:to>
      <xdr:col>27</xdr:col>
      <xdr:colOff>533400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8C74E-64A9-C8A6-84EA-5E28802D9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BE56-8463-41AC-BA7A-DB183A2910C0}">
  <dimension ref="A6:AD120"/>
  <sheetViews>
    <sheetView zoomScaleNormal="100" workbookViewId="0">
      <pane xSplit="1" ySplit="13" topLeftCell="N74" activePane="bottomRight" state="frozen"/>
      <selection pane="topRight" activeCell="B1" sqref="B1"/>
      <selection pane="bottomLeft" activeCell="A14" sqref="A14"/>
      <selection pane="bottomRight" activeCell="AD14" sqref="AD14"/>
    </sheetView>
  </sheetViews>
  <sheetFormatPr defaultRowHeight="14.5" x14ac:dyDescent="0.35"/>
  <cols>
    <col min="1" max="1" width="11.81640625" bestFit="1" customWidth="1"/>
  </cols>
  <sheetData>
    <row r="6" spans="1:30" x14ac:dyDescent="0.35">
      <c r="A6" t="s">
        <v>226</v>
      </c>
      <c r="B6" s="2">
        <f>HAVERA!B17</f>
        <v>31795</v>
      </c>
      <c r="C6" s="2">
        <f>HAVERA!C17</f>
        <v>47599</v>
      </c>
      <c r="D6" s="2">
        <f>HAVERA!D17</f>
        <v>37071</v>
      </c>
      <c r="E6" s="2">
        <f>HAVERA!E17</f>
        <v>53161</v>
      </c>
      <c r="F6" s="2">
        <f>HAVERA!F17</f>
        <v>39447</v>
      </c>
      <c r="G6" s="2">
        <f>HAVERA!G17</f>
        <v>41319</v>
      </c>
      <c r="H6" s="2">
        <f>HAVERA!H17</f>
        <v>32126</v>
      </c>
      <c r="I6" s="2">
        <f>HAVERA!I17</f>
        <v>38101</v>
      </c>
      <c r="J6" s="2">
        <f>HAVERA!J17</f>
        <v>27414</v>
      </c>
      <c r="K6" s="2">
        <f>HAVERA!K17</f>
        <v>48320</v>
      </c>
      <c r="L6" s="2">
        <f>HAVERA!L17</f>
        <v>52247</v>
      </c>
      <c r="M6" s="2">
        <f>HAVERA!M17</f>
        <v>34623</v>
      </c>
      <c r="N6" s="2">
        <f>HAVERA!N17</f>
        <v>44212</v>
      </c>
      <c r="O6" s="2">
        <f>HAVERA!O17</f>
        <v>33250</v>
      </c>
      <c r="P6" s="2">
        <f>HAVERA!P17</f>
        <v>39219</v>
      </c>
      <c r="Q6" s="2">
        <f>HAVERA!Q17</f>
        <v>38240</v>
      </c>
      <c r="R6" s="2">
        <f>HAVERA!R17</f>
        <v>34273</v>
      </c>
      <c r="S6" s="2">
        <f>HAVERA!S17</f>
        <v>31875</v>
      </c>
      <c r="T6" s="2">
        <f>HAVERA!T17</f>
        <v>32000</v>
      </c>
    </row>
    <row r="7" spans="1:30" x14ac:dyDescent="0.35">
      <c r="A7" t="s">
        <v>227</v>
      </c>
      <c r="B7" s="2">
        <f>IF(AND(B9=0,B6&gt;MEDIAN($B$6:$O$6,$S$6:$T$6)),1,0)</f>
        <v>0</v>
      </c>
      <c r="C7" s="2">
        <f t="shared" ref="C7:T7" si="0">IF(AND(C9=0,C6&gt;MEDIAN($B$6:$O$6,$S$6:$T$6)),1,0)</f>
        <v>1</v>
      </c>
      <c r="D7" s="2">
        <f t="shared" si="0"/>
        <v>0</v>
      </c>
      <c r="E7" s="2">
        <f t="shared" si="0"/>
        <v>1</v>
      </c>
      <c r="F7" s="2">
        <f t="shared" si="0"/>
        <v>1</v>
      </c>
      <c r="G7" s="2">
        <f t="shared" si="0"/>
        <v>1</v>
      </c>
      <c r="H7" s="2">
        <f t="shared" si="0"/>
        <v>0</v>
      </c>
      <c r="I7" s="2">
        <f t="shared" si="0"/>
        <v>1</v>
      </c>
      <c r="J7" s="2">
        <f t="shared" si="0"/>
        <v>0</v>
      </c>
      <c r="K7" s="2">
        <f t="shared" si="0"/>
        <v>1</v>
      </c>
      <c r="L7" s="2">
        <f t="shared" si="0"/>
        <v>1</v>
      </c>
      <c r="M7" s="2">
        <f t="shared" si="0"/>
        <v>0</v>
      </c>
      <c r="N7" s="2">
        <f t="shared" si="0"/>
        <v>1</v>
      </c>
      <c r="O7" s="2">
        <f t="shared" si="0"/>
        <v>0</v>
      </c>
      <c r="P7" s="2">
        <f t="shared" si="0"/>
        <v>0</v>
      </c>
      <c r="Q7" s="2">
        <f t="shared" si="0"/>
        <v>0</v>
      </c>
      <c r="R7" s="2">
        <f t="shared" si="0"/>
        <v>0</v>
      </c>
      <c r="S7" s="2">
        <f t="shared" si="0"/>
        <v>0</v>
      </c>
      <c r="T7" s="2">
        <f t="shared" si="0"/>
        <v>0</v>
      </c>
    </row>
    <row r="8" spans="1:30" x14ac:dyDescent="0.35">
      <c r="A8" t="s">
        <v>228</v>
      </c>
      <c r="B8">
        <f>IF(OR(B7=1,B9=1),0,1)</f>
        <v>1</v>
      </c>
      <c r="C8">
        <f t="shared" ref="C8:T8" si="1">IF(OR(C7=1,C9=1),0,1)</f>
        <v>0</v>
      </c>
      <c r="D8">
        <f t="shared" si="1"/>
        <v>1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1</v>
      </c>
      <c r="I8">
        <f t="shared" si="1"/>
        <v>0</v>
      </c>
      <c r="J8">
        <f t="shared" si="1"/>
        <v>1</v>
      </c>
      <c r="K8">
        <f t="shared" si="1"/>
        <v>0</v>
      </c>
      <c r="L8">
        <f t="shared" si="1"/>
        <v>0</v>
      </c>
      <c r="M8">
        <f t="shared" si="1"/>
        <v>1</v>
      </c>
      <c r="N8">
        <f t="shared" si="1"/>
        <v>0</v>
      </c>
      <c r="O8">
        <f t="shared" si="1"/>
        <v>1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1</v>
      </c>
      <c r="T8">
        <f t="shared" si="1"/>
        <v>1</v>
      </c>
    </row>
    <row r="9" spans="1:30" x14ac:dyDescent="0.35">
      <c r="A9" t="s">
        <v>229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</row>
    <row r="10" spans="1:30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3" spans="1:30" x14ac:dyDescent="0.35">
      <c r="B13" t="s">
        <v>207</v>
      </c>
      <c r="C13" t="s">
        <v>208</v>
      </c>
      <c r="D13" t="s">
        <v>209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K13" t="s">
        <v>216</v>
      </c>
      <c r="L13" t="s">
        <v>217</v>
      </c>
      <c r="M13" t="s">
        <v>218</v>
      </c>
      <c r="N13" t="s">
        <v>219</v>
      </c>
      <c r="O13" t="s">
        <v>220</v>
      </c>
      <c r="P13" t="s">
        <v>221</v>
      </c>
      <c r="Q13" t="s">
        <v>222</v>
      </c>
      <c r="R13" t="s">
        <v>223</v>
      </c>
      <c r="S13" t="s">
        <v>224</v>
      </c>
      <c r="T13" t="s">
        <v>225</v>
      </c>
      <c r="V13" t="s">
        <v>231</v>
      </c>
      <c r="W13" t="s">
        <v>232</v>
      </c>
      <c r="X13" t="s">
        <v>229</v>
      </c>
      <c r="Y13" t="s">
        <v>230</v>
      </c>
      <c r="AA13" t="s">
        <v>231</v>
      </c>
      <c r="AB13" t="s">
        <v>232</v>
      </c>
      <c r="AC13" t="s">
        <v>229</v>
      </c>
      <c r="AD13" t="s">
        <v>242</v>
      </c>
    </row>
    <row r="14" spans="1:30" x14ac:dyDescent="0.35">
      <c r="A14" s="4">
        <f>DATE(LEFT(HAVERM!J10,4),RIGHT(HAVERM!J10,2),1)</f>
        <v>42736</v>
      </c>
      <c r="B14" s="5">
        <f>HAVERM!N10</f>
        <v>181714</v>
      </c>
      <c r="C14" s="5">
        <f>HAVERM!O10</f>
        <v>48543</v>
      </c>
      <c r="D14" s="5">
        <f>HAVERM!P10</f>
        <v>2401843</v>
      </c>
      <c r="E14" s="5">
        <f>HAVERM!Q10</f>
        <v>101879</v>
      </c>
      <c r="F14" s="5">
        <f>HAVERM!R10</f>
        <v>167124</v>
      </c>
      <c r="G14" s="5">
        <f>HAVERM!S10</f>
        <v>1197052</v>
      </c>
      <c r="H14" s="5">
        <f>HAVERM!T10</f>
        <v>4504148</v>
      </c>
      <c r="I14" s="5">
        <f>HAVERM!U10</f>
        <v>1258528</v>
      </c>
      <c r="J14" s="5">
        <f>HAVERM!V10</f>
        <v>1947038</v>
      </c>
      <c r="K14" s="5">
        <f>HAVERM!W10</f>
        <v>1134830</v>
      </c>
      <c r="L14" s="5">
        <f>HAVERM!X10</f>
        <v>1077510</v>
      </c>
      <c r="M14" s="5">
        <f>HAVERM!Y10</f>
        <v>409208</v>
      </c>
      <c r="N14" s="5">
        <f>HAVERM!Z10</f>
        <v>1998212</v>
      </c>
      <c r="O14" s="5">
        <f>HAVERM!AA10</f>
        <v>2407474</v>
      </c>
      <c r="P14" s="5">
        <f>HAVERM!AB10</f>
        <v>1420862</v>
      </c>
      <c r="Q14" s="5">
        <f>HAVERM!AC10</f>
        <v>2997669</v>
      </c>
      <c r="R14" s="5">
        <f>HAVERM!AD10</f>
        <v>3633454</v>
      </c>
      <c r="S14" s="5">
        <f>HAVERM!AE10</f>
        <v>578483</v>
      </c>
      <c r="T14" s="5">
        <f>HAVERM!AF10</f>
        <v>520626</v>
      </c>
      <c r="V14">
        <f>SUMPRODUCT($B$7:$T$7,B14:T14)</f>
        <v>6983678</v>
      </c>
      <c r="W14">
        <f>SUMPRODUCT(B14:T14,$B$8:$T$8)</f>
        <v>12950534</v>
      </c>
      <c r="X14">
        <f>SUMPRODUCT(B14:T14,$B$9:$T$9)</f>
        <v>8051985</v>
      </c>
      <c r="Y14" s="2" t="b">
        <f>SUM(V14:X14)=SUM(B14:T14)</f>
        <v>1</v>
      </c>
    </row>
    <row r="15" spans="1:30" x14ac:dyDescent="0.35">
      <c r="A15" s="4">
        <f>DATE(LEFT(HAVERM!J11,4),RIGHT(HAVERM!J11,2),1)</f>
        <v>42767</v>
      </c>
      <c r="B15" s="5">
        <f>HAVERM!N11</f>
        <v>181842</v>
      </c>
      <c r="C15" s="5">
        <f>HAVERM!O11</f>
        <v>48605</v>
      </c>
      <c r="D15" s="5">
        <f>HAVERM!P11</f>
        <v>2405098</v>
      </c>
      <c r="E15" s="5">
        <f>HAVERM!Q11</f>
        <v>102048</v>
      </c>
      <c r="F15" s="5">
        <f>HAVERM!R11</f>
        <v>167850</v>
      </c>
      <c r="G15" s="5">
        <f>HAVERM!S11</f>
        <v>1203664</v>
      </c>
      <c r="H15" s="5">
        <f>HAVERM!T11</f>
        <v>4500487</v>
      </c>
      <c r="I15" s="5">
        <f>HAVERM!U11</f>
        <v>1264134</v>
      </c>
      <c r="J15" s="5">
        <f>HAVERM!V11</f>
        <v>1953471</v>
      </c>
      <c r="K15" s="5">
        <f>HAVERM!W11</f>
        <v>1136121</v>
      </c>
      <c r="L15" s="5">
        <f>HAVERM!X11</f>
        <v>1078088</v>
      </c>
      <c r="M15" s="5">
        <f>HAVERM!Y11</f>
        <v>409774</v>
      </c>
      <c r="N15" s="5">
        <f>HAVERM!Z11</f>
        <v>2001466</v>
      </c>
      <c r="O15" s="5">
        <f>HAVERM!AA11</f>
        <v>2410297</v>
      </c>
      <c r="P15" s="5">
        <f>HAVERM!AB11</f>
        <v>1420878</v>
      </c>
      <c r="Q15" s="5">
        <f>HAVERM!AC11</f>
        <v>2999284</v>
      </c>
      <c r="R15" s="5">
        <f>HAVERM!AD11</f>
        <v>3639992</v>
      </c>
      <c r="S15" s="5">
        <f>HAVERM!AE11</f>
        <v>581481</v>
      </c>
      <c r="T15" s="5">
        <f>HAVERM!AF11</f>
        <v>521317</v>
      </c>
      <c r="V15">
        <f t="shared" ref="V15:V78" si="2">SUMPRODUCT($B$7:$T$7,B15:T15)</f>
        <v>7001976</v>
      </c>
      <c r="W15">
        <f t="shared" ref="W15:W78" si="3">SUMPRODUCT(B15:T15,$B$8:$T$8)</f>
        <v>12963767</v>
      </c>
      <c r="X15">
        <f t="shared" ref="X15:X78" si="4">SUMPRODUCT(B15:T15,$B$9:$T$9)</f>
        <v>8060154</v>
      </c>
      <c r="Y15" s="2" t="b">
        <f t="shared" ref="Y15:Y78" si="5">SUM(V15:X15)=SUM(B15:T15)</f>
        <v>1</v>
      </c>
    </row>
    <row r="16" spans="1:30" x14ac:dyDescent="0.35">
      <c r="A16" s="4">
        <f>DATE(LEFT(HAVERM!J12,4),RIGHT(HAVERM!J12,2),1)</f>
        <v>42795</v>
      </c>
      <c r="B16" s="5">
        <f>HAVERM!N12</f>
        <v>181881</v>
      </c>
      <c r="C16" s="5">
        <f>HAVERM!O12</f>
        <v>48981</v>
      </c>
      <c r="D16" s="5">
        <f>HAVERM!P12</f>
        <v>2406415</v>
      </c>
      <c r="E16" s="5">
        <f>HAVERM!Q12</f>
        <v>102098</v>
      </c>
      <c r="F16" s="5">
        <f>HAVERM!R12</f>
        <v>168675</v>
      </c>
      <c r="G16" s="5">
        <f>HAVERM!S12</f>
        <v>1208222</v>
      </c>
      <c r="H16" s="5">
        <f>HAVERM!T12</f>
        <v>4498066</v>
      </c>
      <c r="I16" s="5">
        <f>HAVERM!U12</f>
        <v>1272009</v>
      </c>
      <c r="J16" s="5">
        <f>HAVERM!V12</f>
        <v>1963472</v>
      </c>
      <c r="K16" s="5">
        <f>HAVERM!W12</f>
        <v>1137367</v>
      </c>
      <c r="L16" s="5">
        <f>HAVERM!X12</f>
        <v>1076194</v>
      </c>
      <c r="M16" s="5">
        <f>HAVERM!Y12</f>
        <v>409947</v>
      </c>
      <c r="N16" s="5">
        <f>HAVERM!Z12</f>
        <v>2006335</v>
      </c>
      <c r="O16" s="5">
        <f>HAVERM!AA12</f>
        <v>2414681</v>
      </c>
      <c r="P16" s="5">
        <f>HAVERM!AB12</f>
        <v>1421731</v>
      </c>
      <c r="Q16" s="5">
        <f>HAVERM!AC12</f>
        <v>3001756</v>
      </c>
      <c r="R16" s="5">
        <f>HAVERM!AD12</f>
        <v>3644924</v>
      </c>
      <c r="S16" s="5">
        <f>HAVERM!AE12</f>
        <v>579740</v>
      </c>
      <c r="T16" s="5">
        <f>HAVERM!AF12</f>
        <v>522287</v>
      </c>
      <c r="V16">
        <f t="shared" si="2"/>
        <v>7019881</v>
      </c>
      <c r="W16">
        <f t="shared" si="3"/>
        <v>12976489</v>
      </c>
      <c r="X16">
        <f t="shared" si="4"/>
        <v>8068411</v>
      </c>
      <c r="Y16" s="2" t="b">
        <f t="shared" si="5"/>
        <v>1</v>
      </c>
    </row>
    <row r="17" spans="1:30" x14ac:dyDescent="0.35">
      <c r="A17" s="4">
        <f>DATE(LEFT(HAVERM!J13,4),RIGHT(HAVERM!J13,2),1)</f>
        <v>42826</v>
      </c>
      <c r="B17" s="5">
        <f>HAVERM!N13</f>
        <v>182308</v>
      </c>
      <c r="C17" s="5">
        <f>HAVERM!O13</f>
        <v>48489</v>
      </c>
      <c r="D17" s="5">
        <f>HAVERM!P13</f>
        <v>2409801</v>
      </c>
      <c r="E17" s="5">
        <f>HAVERM!Q13</f>
        <v>102357</v>
      </c>
      <c r="F17" s="5">
        <f>HAVERM!R13</f>
        <v>168049</v>
      </c>
      <c r="G17" s="5">
        <f>HAVERM!S13</f>
        <v>1208464</v>
      </c>
      <c r="H17" s="5">
        <f>HAVERM!T13</f>
        <v>4508802</v>
      </c>
      <c r="I17" s="5">
        <f>HAVERM!U13</f>
        <v>1273040</v>
      </c>
      <c r="J17" s="5">
        <f>HAVERM!V13</f>
        <v>1964245</v>
      </c>
      <c r="K17" s="5">
        <f>HAVERM!W13</f>
        <v>1139663</v>
      </c>
      <c r="L17" s="5">
        <f>HAVERM!X13</f>
        <v>1077647</v>
      </c>
      <c r="M17" s="5">
        <f>HAVERM!Y13</f>
        <v>410102</v>
      </c>
      <c r="N17" s="5">
        <f>HAVERM!Z13</f>
        <v>2011093</v>
      </c>
      <c r="O17" s="5">
        <f>HAVERM!AA13</f>
        <v>2424508</v>
      </c>
      <c r="P17" s="5">
        <f>HAVERM!AB13</f>
        <v>1420878</v>
      </c>
      <c r="Q17" s="5">
        <f>HAVERM!AC13</f>
        <v>2994724</v>
      </c>
      <c r="R17" s="5">
        <f>HAVERM!AD13</f>
        <v>3649211</v>
      </c>
      <c r="S17" s="5">
        <f>HAVERM!AE13</f>
        <v>582704</v>
      </c>
      <c r="T17" s="5">
        <f>HAVERM!AF13</f>
        <v>522701</v>
      </c>
      <c r="V17">
        <f t="shared" si="2"/>
        <v>7028802</v>
      </c>
      <c r="W17">
        <f t="shared" si="3"/>
        <v>13005171</v>
      </c>
      <c r="X17">
        <f t="shared" si="4"/>
        <v>8064813</v>
      </c>
      <c r="Y17" s="2" t="b">
        <f t="shared" si="5"/>
        <v>1</v>
      </c>
      <c r="AA17" s="5">
        <f>(V17-V14)/1000</f>
        <v>45.124000000000002</v>
      </c>
      <c r="AB17" s="5">
        <f t="shared" ref="AB17:AC17" si="6">(W17-W14)/1000</f>
        <v>54.637</v>
      </c>
      <c r="AC17" s="5">
        <f t="shared" si="6"/>
        <v>12.827999999999999</v>
      </c>
      <c r="AD17" s="5">
        <f>SUM(AA17:AC17)</f>
        <v>112.589</v>
      </c>
    </row>
    <row r="18" spans="1:30" x14ac:dyDescent="0.35">
      <c r="A18" s="4">
        <f>DATE(LEFT(HAVERM!J14,4),RIGHT(HAVERM!J14,2),1)</f>
        <v>42856</v>
      </c>
      <c r="B18" s="5">
        <f>HAVERM!N14</f>
        <v>182432</v>
      </c>
      <c r="C18" s="5">
        <f>HAVERM!O14</f>
        <v>48559</v>
      </c>
      <c r="D18" s="5">
        <f>HAVERM!P14</f>
        <v>2411552</v>
      </c>
      <c r="E18" s="5">
        <f>HAVERM!Q14</f>
        <v>102425</v>
      </c>
      <c r="F18" s="5">
        <f>HAVERM!R14</f>
        <v>168835</v>
      </c>
      <c r="G18" s="5">
        <f>HAVERM!S14</f>
        <v>1211272</v>
      </c>
      <c r="H18" s="5">
        <f>HAVERM!T14</f>
        <v>4508012</v>
      </c>
      <c r="I18" s="5">
        <f>HAVERM!U14</f>
        <v>1274781</v>
      </c>
      <c r="J18" s="5">
        <f>HAVERM!V14</f>
        <v>1967451</v>
      </c>
      <c r="K18" s="5">
        <f>HAVERM!W14</f>
        <v>1142750</v>
      </c>
      <c r="L18" s="5">
        <f>HAVERM!X14</f>
        <v>1075914</v>
      </c>
      <c r="M18" s="5">
        <f>HAVERM!Y14</f>
        <v>410837</v>
      </c>
      <c r="N18" s="5">
        <f>HAVERM!Z14</f>
        <v>2022660</v>
      </c>
      <c r="O18" s="5">
        <f>HAVERM!AA14</f>
        <v>2430162</v>
      </c>
      <c r="P18" s="5">
        <f>HAVERM!AB14</f>
        <v>1422810</v>
      </c>
      <c r="Q18" s="5">
        <f>HAVERM!AC14</f>
        <v>2991815</v>
      </c>
      <c r="R18" s="5">
        <f>HAVERM!AD14</f>
        <v>3657842</v>
      </c>
      <c r="S18" s="5">
        <f>HAVERM!AE14</f>
        <v>585101</v>
      </c>
      <c r="T18" s="5">
        <f>HAVERM!AF14</f>
        <v>523969</v>
      </c>
      <c r="V18">
        <f t="shared" si="2"/>
        <v>7047196</v>
      </c>
      <c r="W18">
        <f t="shared" si="3"/>
        <v>13019516</v>
      </c>
      <c r="X18">
        <f t="shared" si="4"/>
        <v>8072467</v>
      </c>
      <c r="Y18" s="2" t="b">
        <f t="shared" si="5"/>
        <v>1</v>
      </c>
      <c r="AA18" s="5">
        <f t="shared" ref="AA18:AA81" si="7">(V18-V15)/1000</f>
        <v>45.22</v>
      </c>
      <c r="AB18" s="5">
        <f t="shared" ref="AB18:AB81" si="8">(W18-W15)/1000</f>
        <v>55.749000000000002</v>
      </c>
      <c r="AC18" s="5">
        <f t="shared" ref="AC18:AC81" si="9">(X18-X15)/1000</f>
        <v>12.313000000000001</v>
      </c>
      <c r="AD18" s="5">
        <f t="shared" ref="AD18:AD81" si="10">SUM(AA18:AC18)</f>
        <v>113.282</v>
      </c>
    </row>
    <row r="19" spans="1:30" x14ac:dyDescent="0.35">
      <c r="A19" s="4">
        <f>DATE(LEFT(HAVERM!J15,4),RIGHT(HAVERM!J15,2),1)</f>
        <v>42887</v>
      </c>
      <c r="B19" s="5">
        <f>HAVERM!N15</f>
        <v>182209</v>
      </c>
      <c r="C19" s="5">
        <f>HAVERM!O15</f>
        <v>48654</v>
      </c>
      <c r="D19" s="5">
        <f>HAVERM!P15</f>
        <v>2413468</v>
      </c>
      <c r="E19" s="5">
        <f>HAVERM!Q15</f>
        <v>102484</v>
      </c>
      <c r="F19" s="5">
        <f>HAVERM!R15</f>
        <v>168951</v>
      </c>
      <c r="G19" s="5">
        <f>HAVERM!S15</f>
        <v>1213536</v>
      </c>
      <c r="H19" s="5">
        <f>HAVERM!T15</f>
        <v>4502089</v>
      </c>
      <c r="I19" s="5">
        <f>HAVERM!U15</f>
        <v>1276530</v>
      </c>
      <c r="J19" s="5">
        <f>HAVERM!V15</f>
        <v>1972841</v>
      </c>
      <c r="K19" s="5">
        <f>HAVERM!W15</f>
        <v>1143454</v>
      </c>
      <c r="L19" s="5">
        <f>HAVERM!X15</f>
        <v>1074659</v>
      </c>
      <c r="M19" s="5">
        <f>HAVERM!Y15</f>
        <v>410808</v>
      </c>
      <c r="N19" s="5">
        <f>HAVERM!Z15</f>
        <v>2026899</v>
      </c>
      <c r="O19" s="5">
        <f>HAVERM!AA15</f>
        <v>2434505</v>
      </c>
      <c r="P19" s="5">
        <f>HAVERM!AB15</f>
        <v>1429402</v>
      </c>
      <c r="Q19" s="5">
        <f>HAVERM!AC15</f>
        <v>3001441</v>
      </c>
      <c r="R19" s="5">
        <f>HAVERM!AD15</f>
        <v>3661784</v>
      </c>
      <c r="S19" s="5">
        <f>HAVERM!AE15</f>
        <v>585043</v>
      </c>
      <c r="T19" s="5">
        <f>HAVERM!AF15</f>
        <v>524425</v>
      </c>
      <c r="V19">
        <f t="shared" si="2"/>
        <v>7055167</v>
      </c>
      <c r="W19">
        <f t="shared" si="3"/>
        <v>13025388</v>
      </c>
      <c r="X19">
        <f t="shared" si="4"/>
        <v>8092627</v>
      </c>
      <c r="Y19" s="2" t="b">
        <f t="shared" si="5"/>
        <v>1</v>
      </c>
      <c r="AA19" s="5">
        <f t="shared" si="7"/>
        <v>35.286000000000001</v>
      </c>
      <c r="AB19" s="5">
        <f t="shared" si="8"/>
        <v>48.899000000000001</v>
      </c>
      <c r="AC19" s="5">
        <f t="shared" si="9"/>
        <v>24.216000000000001</v>
      </c>
      <c r="AD19" s="5">
        <f t="shared" si="10"/>
        <v>108.40100000000001</v>
      </c>
    </row>
    <row r="20" spans="1:30" x14ac:dyDescent="0.35">
      <c r="A20" s="4">
        <f>DATE(LEFT(HAVERM!J16,4),RIGHT(HAVERM!J16,2),1)</f>
        <v>42917</v>
      </c>
      <c r="B20" s="5">
        <f>HAVERM!N16</f>
        <v>182498</v>
      </c>
      <c r="C20" s="5">
        <f>HAVERM!O16</f>
        <v>48647</v>
      </c>
      <c r="D20" s="5">
        <f>HAVERM!P16</f>
        <v>2414847</v>
      </c>
      <c r="E20" s="5">
        <f>HAVERM!Q16</f>
        <v>102574</v>
      </c>
      <c r="F20" s="5">
        <f>HAVERM!R16</f>
        <v>169004</v>
      </c>
      <c r="G20" s="5">
        <f>HAVERM!S16</f>
        <v>1215226</v>
      </c>
      <c r="H20" s="5">
        <f>HAVERM!T16</f>
        <v>4504327</v>
      </c>
      <c r="I20" s="5">
        <f>HAVERM!U16</f>
        <v>1278218</v>
      </c>
      <c r="J20" s="5">
        <f>HAVERM!V16</f>
        <v>1980896</v>
      </c>
      <c r="K20" s="5">
        <f>HAVERM!W16</f>
        <v>1142286</v>
      </c>
      <c r="L20" s="5">
        <f>HAVERM!X16</f>
        <v>1074498</v>
      </c>
      <c r="M20" s="5">
        <f>HAVERM!Y16</f>
        <v>410787</v>
      </c>
      <c r="N20" s="5">
        <f>HAVERM!Z16</f>
        <v>2029550</v>
      </c>
      <c r="O20" s="5">
        <f>HAVERM!AA16</f>
        <v>2438446</v>
      </c>
      <c r="P20" s="5">
        <f>HAVERM!AB16</f>
        <v>1424419</v>
      </c>
      <c r="Q20" s="5">
        <f>HAVERM!AC16</f>
        <v>3004983</v>
      </c>
      <c r="R20" s="5">
        <f>HAVERM!AD16</f>
        <v>3662852</v>
      </c>
      <c r="S20" s="5">
        <f>HAVERM!AE16</f>
        <v>585322</v>
      </c>
      <c r="T20" s="5">
        <f>HAVERM!AF16</f>
        <v>524685</v>
      </c>
      <c r="V20">
        <f t="shared" si="2"/>
        <v>7060003</v>
      </c>
      <c r="W20">
        <f t="shared" si="3"/>
        <v>13041808</v>
      </c>
      <c r="X20">
        <f t="shared" si="4"/>
        <v>8092254</v>
      </c>
      <c r="Y20" s="2" t="b">
        <f t="shared" si="5"/>
        <v>1</v>
      </c>
      <c r="AA20" s="5">
        <f t="shared" si="7"/>
        <v>31.201000000000001</v>
      </c>
      <c r="AB20" s="5">
        <f t="shared" si="8"/>
        <v>36.637</v>
      </c>
      <c r="AC20" s="5">
        <f t="shared" si="9"/>
        <v>27.440999999999999</v>
      </c>
      <c r="AD20" s="5">
        <f t="shared" si="10"/>
        <v>95.278999999999996</v>
      </c>
    </row>
    <row r="21" spans="1:30" x14ac:dyDescent="0.35">
      <c r="A21" s="4">
        <f>DATE(LEFT(HAVERM!J17,4),RIGHT(HAVERM!J17,2),1)</f>
        <v>42948</v>
      </c>
      <c r="B21" s="5">
        <f>HAVERM!N17</f>
        <v>182930</v>
      </c>
      <c r="C21" s="5">
        <f>HAVERM!O17</f>
        <v>48817</v>
      </c>
      <c r="D21" s="5">
        <f>HAVERM!P17</f>
        <v>2417904</v>
      </c>
      <c r="E21" s="5">
        <f>HAVERM!Q17</f>
        <v>102998</v>
      </c>
      <c r="F21" s="5">
        <f>HAVERM!R17</f>
        <v>169425</v>
      </c>
      <c r="G21" s="5">
        <f>HAVERM!S17</f>
        <v>1218259</v>
      </c>
      <c r="H21" s="5">
        <f>HAVERM!T17</f>
        <v>4509570</v>
      </c>
      <c r="I21" s="5">
        <f>HAVERM!U17</f>
        <v>1281420</v>
      </c>
      <c r="J21" s="5">
        <f>HAVERM!V17</f>
        <v>1984781</v>
      </c>
      <c r="K21" s="5">
        <f>HAVERM!W17</f>
        <v>1143917</v>
      </c>
      <c r="L21" s="5">
        <f>HAVERM!X17</f>
        <v>1076563</v>
      </c>
      <c r="M21" s="5">
        <f>HAVERM!Y17</f>
        <v>411979</v>
      </c>
      <c r="N21" s="5">
        <f>HAVERM!Z17</f>
        <v>2033687</v>
      </c>
      <c r="O21" s="5">
        <f>HAVERM!AA17</f>
        <v>2445199</v>
      </c>
      <c r="P21" s="5">
        <f>HAVERM!AB17</f>
        <v>1413601</v>
      </c>
      <c r="Q21" s="5">
        <f>HAVERM!AC17</f>
        <v>3008414</v>
      </c>
      <c r="R21" s="5">
        <f>HAVERM!AD17</f>
        <v>3668033</v>
      </c>
      <c r="S21" s="5">
        <f>HAVERM!AE17</f>
        <v>586089</v>
      </c>
      <c r="T21" s="5">
        <f>HAVERM!AF17</f>
        <v>525439</v>
      </c>
      <c r="V21">
        <f t="shared" si="2"/>
        <v>7075086</v>
      </c>
      <c r="W21">
        <f t="shared" si="3"/>
        <v>13063891</v>
      </c>
      <c r="X21">
        <f t="shared" si="4"/>
        <v>8090048</v>
      </c>
      <c r="Y21" s="2" t="b">
        <f t="shared" si="5"/>
        <v>1</v>
      </c>
      <c r="AA21" s="5">
        <f t="shared" si="7"/>
        <v>27.89</v>
      </c>
      <c r="AB21" s="5">
        <f t="shared" si="8"/>
        <v>44.375</v>
      </c>
      <c r="AC21" s="5">
        <f t="shared" si="9"/>
        <v>17.581</v>
      </c>
      <c r="AD21" s="5">
        <f t="shared" si="10"/>
        <v>89.846000000000004</v>
      </c>
    </row>
    <row r="22" spans="1:30" x14ac:dyDescent="0.35">
      <c r="A22" s="4">
        <f>DATE(LEFT(HAVERM!J18,4),RIGHT(HAVERM!J18,2),1)</f>
        <v>42979</v>
      </c>
      <c r="B22" s="5">
        <f>HAVERM!N18</f>
        <v>182970</v>
      </c>
      <c r="C22" s="5">
        <f>HAVERM!O18</f>
        <v>48923</v>
      </c>
      <c r="D22" s="5">
        <f>HAVERM!P18</f>
        <v>2421343</v>
      </c>
      <c r="E22" s="5">
        <f>HAVERM!Q18</f>
        <v>103528</v>
      </c>
      <c r="F22" s="5">
        <f>HAVERM!R18</f>
        <v>169914</v>
      </c>
      <c r="G22" s="5">
        <f>HAVERM!S18</f>
        <v>1220793</v>
      </c>
      <c r="H22" s="5">
        <f>HAVERM!T18</f>
        <v>4512615</v>
      </c>
      <c r="I22" s="5">
        <f>HAVERM!U18</f>
        <v>1286153</v>
      </c>
      <c r="J22" s="5">
        <f>HAVERM!V18</f>
        <v>1988552</v>
      </c>
      <c r="K22" s="5">
        <f>HAVERM!W18</f>
        <v>1146056</v>
      </c>
      <c r="L22" s="5">
        <f>HAVERM!X18</f>
        <v>1081744</v>
      </c>
      <c r="M22" s="5">
        <f>HAVERM!Y18</f>
        <v>413018</v>
      </c>
      <c r="N22" s="5">
        <f>HAVERM!Z18</f>
        <v>2038523</v>
      </c>
      <c r="O22" s="5">
        <f>HAVERM!AA18</f>
        <v>2450455</v>
      </c>
      <c r="P22" s="5">
        <f>HAVERM!AB18</f>
        <v>1413507</v>
      </c>
      <c r="Q22" s="5">
        <f>HAVERM!AC18</f>
        <v>3001002</v>
      </c>
      <c r="R22" s="5">
        <f>HAVERM!AD18</f>
        <v>3673305</v>
      </c>
      <c r="S22" s="5">
        <f>HAVERM!AE18</f>
        <v>587271</v>
      </c>
      <c r="T22" s="5">
        <f>HAVERM!AF18</f>
        <v>526433</v>
      </c>
      <c r="V22">
        <f t="shared" si="2"/>
        <v>7095634</v>
      </c>
      <c r="W22">
        <f t="shared" si="3"/>
        <v>13082657</v>
      </c>
      <c r="X22">
        <f t="shared" si="4"/>
        <v>8087814</v>
      </c>
      <c r="Y22" s="2" t="b">
        <f t="shared" si="5"/>
        <v>1</v>
      </c>
      <c r="AA22" s="5">
        <f t="shared" si="7"/>
        <v>40.466999999999999</v>
      </c>
      <c r="AB22" s="5">
        <f t="shared" si="8"/>
        <v>57.268999999999998</v>
      </c>
      <c r="AC22" s="5">
        <f t="shared" si="9"/>
        <v>-4.8129999999999997</v>
      </c>
      <c r="AD22" s="5">
        <f t="shared" si="10"/>
        <v>92.922999999999988</v>
      </c>
    </row>
    <row r="23" spans="1:30" x14ac:dyDescent="0.35">
      <c r="A23" s="4">
        <f>DATE(LEFT(HAVERM!J19,4),RIGHT(HAVERM!J19,2),1)</f>
        <v>43009</v>
      </c>
      <c r="B23" s="5">
        <f>HAVERM!N19</f>
        <v>183338</v>
      </c>
      <c r="C23" s="5">
        <f>HAVERM!O19</f>
        <v>48976</v>
      </c>
      <c r="D23" s="5">
        <f>HAVERM!P19</f>
        <v>2424837</v>
      </c>
      <c r="E23" s="5">
        <f>HAVERM!Q19</f>
        <v>103959</v>
      </c>
      <c r="F23" s="5">
        <f>HAVERM!R19</f>
        <v>170439</v>
      </c>
      <c r="G23" s="5">
        <f>HAVERM!S19</f>
        <v>1222673</v>
      </c>
      <c r="H23" s="5">
        <f>HAVERM!T19</f>
        <v>4511596</v>
      </c>
      <c r="I23" s="5">
        <f>HAVERM!U19</f>
        <v>1288383</v>
      </c>
      <c r="J23" s="5">
        <f>HAVERM!V19</f>
        <v>1991960</v>
      </c>
      <c r="K23" s="5">
        <f>HAVERM!W19</f>
        <v>1147963</v>
      </c>
      <c r="L23" s="5">
        <f>HAVERM!X19</f>
        <v>1081811</v>
      </c>
      <c r="M23" s="5">
        <f>HAVERM!Y19</f>
        <v>413609</v>
      </c>
      <c r="N23" s="5">
        <f>HAVERM!Z19</f>
        <v>2042651</v>
      </c>
      <c r="O23" s="5">
        <f>HAVERM!AA19</f>
        <v>2458598</v>
      </c>
      <c r="P23" s="5">
        <f>HAVERM!AB19</f>
        <v>1413881</v>
      </c>
      <c r="Q23" s="5">
        <f>HAVERM!AC19</f>
        <v>3000592</v>
      </c>
      <c r="R23" s="5">
        <f>HAVERM!AD19</f>
        <v>3677764</v>
      </c>
      <c r="S23" s="5">
        <f>HAVERM!AE19</f>
        <v>588326</v>
      </c>
      <c r="T23" s="5">
        <f>HAVERM!AF19</f>
        <v>526566</v>
      </c>
      <c r="V23">
        <f t="shared" si="2"/>
        <v>7106855</v>
      </c>
      <c r="W23">
        <f t="shared" si="3"/>
        <v>13098830</v>
      </c>
      <c r="X23">
        <f t="shared" si="4"/>
        <v>8092237</v>
      </c>
      <c r="Y23" s="2" t="b">
        <f t="shared" si="5"/>
        <v>1</v>
      </c>
      <c r="AA23" s="5">
        <f t="shared" si="7"/>
        <v>46.851999999999997</v>
      </c>
      <c r="AB23" s="5">
        <f t="shared" si="8"/>
        <v>57.021999999999998</v>
      </c>
      <c r="AC23" s="5">
        <f t="shared" si="9"/>
        <v>-1.7000000000000001E-2</v>
      </c>
      <c r="AD23" s="5">
        <f t="shared" si="10"/>
        <v>103.857</v>
      </c>
    </row>
    <row r="24" spans="1:30" x14ac:dyDescent="0.35">
      <c r="A24" s="4">
        <f>DATE(LEFT(HAVERM!J20,4),RIGHT(HAVERM!J20,2),1)</f>
        <v>43040</v>
      </c>
      <c r="B24" s="5">
        <f>HAVERM!N20</f>
        <v>183781</v>
      </c>
      <c r="C24" s="5">
        <f>HAVERM!O20</f>
        <v>49001</v>
      </c>
      <c r="D24" s="5">
        <f>HAVERM!P20</f>
        <v>2427824</v>
      </c>
      <c r="E24" s="5">
        <f>HAVERM!Q20</f>
        <v>104013</v>
      </c>
      <c r="F24" s="5">
        <f>HAVERM!R20</f>
        <v>170914</v>
      </c>
      <c r="G24" s="5">
        <f>HAVERM!S20</f>
        <v>1223903</v>
      </c>
      <c r="H24" s="5">
        <f>HAVERM!T20</f>
        <v>4509898</v>
      </c>
      <c r="I24" s="5">
        <f>HAVERM!U20</f>
        <v>1292404</v>
      </c>
      <c r="J24" s="5">
        <f>HAVERM!V20</f>
        <v>1996167</v>
      </c>
      <c r="K24" s="5">
        <f>HAVERM!W20</f>
        <v>1149411</v>
      </c>
      <c r="L24" s="5">
        <f>HAVERM!X20</f>
        <v>1081602</v>
      </c>
      <c r="M24" s="5">
        <f>HAVERM!Y20</f>
        <v>414507</v>
      </c>
      <c r="N24" s="5">
        <f>HAVERM!Z20</f>
        <v>2045855</v>
      </c>
      <c r="O24" s="5">
        <f>HAVERM!AA20</f>
        <v>2465483</v>
      </c>
      <c r="P24" s="5">
        <f>HAVERM!AB20</f>
        <v>1413398</v>
      </c>
      <c r="Q24" s="5">
        <f>HAVERM!AC20</f>
        <v>3002619</v>
      </c>
      <c r="R24" s="5">
        <f>HAVERM!AD20</f>
        <v>3683250</v>
      </c>
      <c r="S24" s="5">
        <f>HAVERM!AE20</f>
        <v>589296</v>
      </c>
      <c r="T24" s="5">
        <f>HAVERM!AF20</f>
        <v>527352</v>
      </c>
      <c r="V24">
        <f t="shared" si="2"/>
        <v>7117103</v>
      </c>
      <c r="W24">
        <f t="shared" si="3"/>
        <v>13114308</v>
      </c>
      <c r="X24">
        <f t="shared" si="4"/>
        <v>8099267</v>
      </c>
      <c r="Y24" s="2" t="b">
        <f t="shared" si="5"/>
        <v>1</v>
      </c>
      <c r="AA24" s="5">
        <f t="shared" si="7"/>
        <v>42.017000000000003</v>
      </c>
      <c r="AB24" s="5">
        <f t="shared" si="8"/>
        <v>50.417000000000002</v>
      </c>
      <c r="AC24" s="5">
        <f t="shared" si="9"/>
        <v>9.2189999999999994</v>
      </c>
      <c r="AD24" s="5">
        <f t="shared" si="10"/>
        <v>101.65299999999999</v>
      </c>
    </row>
    <row r="25" spans="1:30" x14ac:dyDescent="0.35">
      <c r="A25" s="4">
        <f>DATE(LEFT(HAVERM!J21,4),RIGHT(HAVERM!J21,2),1)</f>
        <v>43070</v>
      </c>
      <c r="B25" s="5">
        <f>HAVERM!N21</f>
        <v>184043</v>
      </c>
      <c r="C25" s="5">
        <f>HAVERM!O21</f>
        <v>48975</v>
      </c>
      <c r="D25" s="5">
        <f>HAVERM!P21</f>
        <v>2436958</v>
      </c>
      <c r="E25" s="5">
        <f>HAVERM!Q21</f>
        <v>104305</v>
      </c>
      <c r="F25" s="5">
        <f>HAVERM!R21</f>
        <v>171350</v>
      </c>
      <c r="G25" s="5">
        <f>HAVERM!S21</f>
        <v>1222469</v>
      </c>
      <c r="H25" s="5">
        <f>HAVERM!T21</f>
        <v>4506721</v>
      </c>
      <c r="I25" s="5">
        <f>HAVERM!U21</f>
        <v>1295585</v>
      </c>
      <c r="J25" s="5">
        <f>HAVERM!V21</f>
        <v>2000983</v>
      </c>
      <c r="K25" s="5">
        <f>HAVERM!W21</f>
        <v>1150632</v>
      </c>
      <c r="L25" s="5">
        <f>HAVERM!X21</f>
        <v>1080955</v>
      </c>
      <c r="M25" s="5">
        <f>HAVERM!Y21</f>
        <v>414932</v>
      </c>
      <c r="N25" s="5">
        <f>HAVERM!Z21</f>
        <v>2049232</v>
      </c>
      <c r="O25" s="5">
        <f>HAVERM!AA21</f>
        <v>2469895</v>
      </c>
      <c r="P25" s="5">
        <f>HAVERM!AB21</f>
        <v>1411963</v>
      </c>
      <c r="Q25" s="5">
        <f>HAVERM!AC21</f>
        <v>3003171</v>
      </c>
      <c r="R25" s="5">
        <f>HAVERM!AD21</f>
        <v>3687520</v>
      </c>
      <c r="S25" s="5">
        <f>HAVERM!AE21</f>
        <v>590099</v>
      </c>
      <c r="T25" s="5">
        <f>HAVERM!AF21</f>
        <v>527557</v>
      </c>
      <c r="V25">
        <f t="shared" si="2"/>
        <v>7123503</v>
      </c>
      <c r="W25">
        <f t="shared" si="3"/>
        <v>13131188</v>
      </c>
      <c r="X25">
        <f t="shared" si="4"/>
        <v>8102654</v>
      </c>
      <c r="Y25" s="2" t="b">
        <f t="shared" si="5"/>
        <v>1</v>
      </c>
      <c r="AA25" s="5">
        <f t="shared" si="7"/>
        <v>27.869</v>
      </c>
      <c r="AB25" s="5">
        <f t="shared" si="8"/>
        <v>48.530999999999999</v>
      </c>
      <c r="AC25" s="5">
        <f t="shared" si="9"/>
        <v>14.84</v>
      </c>
      <c r="AD25" s="5">
        <f t="shared" si="10"/>
        <v>91.240000000000009</v>
      </c>
    </row>
    <row r="26" spans="1:30" x14ac:dyDescent="0.35">
      <c r="A26" s="4">
        <f>DATE(LEFT(HAVERM!J22,4),RIGHT(HAVERM!J22,2),1)</f>
        <v>43101</v>
      </c>
      <c r="B26" s="5">
        <f>HAVERM!N22</f>
        <v>183996</v>
      </c>
      <c r="C26" s="5">
        <f>HAVERM!O22</f>
        <v>48721</v>
      </c>
      <c r="D26" s="5">
        <f>HAVERM!P22</f>
        <v>2430703</v>
      </c>
      <c r="E26" s="5">
        <f>HAVERM!Q22</f>
        <v>104454</v>
      </c>
      <c r="F26" s="5">
        <f>HAVERM!R22</f>
        <v>171601</v>
      </c>
      <c r="G26" s="5">
        <f>HAVERM!S22</f>
        <v>1224026</v>
      </c>
      <c r="H26" s="5">
        <f>HAVERM!T22</f>
        <v>4506083</v>
      </c>
      <c r="I26" s="5">
        <f>HAVERM!U22</f>
        <v>1295727</v>
      </c>
      <c r="J26" s="5">
        <f>HAVERM!V22</f>
        <v>2005557</v>
      </c>
      <c r="K26" s="5">
        <f>HAVERM!W22</f>
        <v>1152614</v>
      </c>
      <c r="L26" s="5">
        <f>HAVERM!X22</f>
        <v>1081103</v>
      </c>
      <c r="M26" s="5">
        <f>HAVERM!Y22</f>
        <v>415677</v>
      </c>
      <c r="N26" s="5">
        <f>HAVERM!Z22</f>
        <v>2054649</v>
      </c>
      <c r="O26" s="5">
        <f>HAVERM!AA22</f>
        <v>2472787</v>
      </c>
      <c r="P26" s="5">
        <f>HAVERM!AB22</f>
        <v>1410737</v>
      </c>
      <c r="Q26" s="5">
        <f>HAVERM!AC22</f>
        <v>3008215</v>
      </c>
      <c r="R26" s="5">
        <f>HAVERM!AD22</f>
        <v>3691823</v>
      </c>
      <c r="S26" s="5">
        <f>HAVERM!AE22</f>
        <v>590981</v>
      </c>
      <c r="T26" s="5">
        <f>HAVERM!AF22</f>
        <v>528222</v>
      </c>
      <c r="V26">
        <f t="shared" si="2"/>
        <v>7132895</v>
      </c>
      <c r="W26">
        <f t="shared" si="3"/>
        <v>13134006</v>
      </c>
      <c r="X26">
        <f t="shared" si="4"/>
        <v>8110775</v>
      </c>
      <c r="Y26" s="2" t="b">
        <f t="shared" si="5"/>
        <v>1</v>
      </c>
      <c r="AA26" s="5">
        <f t="shared" si="7"/>
        <v>26.04</v>
      </c>
      <c r="AB26" s="5">
        <f t="shared" si="8"/>
        <v>35.176000000000002</v>
      </c>
      <c r="AC26" s="5">
        <f t="shared" si="9"/>
        <v>18.538</v>
      </c>
      <c r="AD26" s="5">
        <f t="shared" si="10"/>
        <v>79.754000000000005</v>
      </c>
    </row>
    <row r="27" spans="1:30" x14ac:dyDescent="0.35">
      <c r="A27" s="4">
        <f>DATE(LEFT(HAVERM!J23,4),RIGHT(HAVERM!J23,2),1)</f>
        <v>43132</v>
      </c>
      <c r="B27" s="5">
        <f>HAVERM!N23</f>
        <v>184112</v>
      </c>
      <c r="C27" s="5">
        <f>HAVERM!O23</f>
        <v>48643</v>
      </c>
      <c r="D27" s="5">
        <f>HAVERM!P23</f>
        <v>2429629</v>
      </c>
      <c r="E27" s="5">
        <f>HAVERM!Q23</f>
        <v>104660</v>
      </c>
      <c r="F27" s="5">
        <f>HAVERM!R23</f>
        <v>171772</v>
      </c>
      <c r="G27" s="5">
        <f>HAVERM!S23</f>
        <v>1226448</v>
      </c>
      <c r="H27" s="5">
        <f>HAVERM!T23</f>
        <v>4506567</v>
      </c>
      <c r="I27" s="5">
        <f>HAVERM!U23</f>
        <v>1297232</v>
      </c>
      <c r="J27" s="5">
        <f>HAVERM!V23</f>
        <v>2008426</v>
      </c>
      <c r="K27" s="5">
        <f>HAVERM!W23</f>
        <v>1153420</v>
      </c>
      <c r="L27" s="5">
        <f>HAVERM!X23</f>
        <v>1080826</v>
      </c>
      <c r="M27" s="5">
        <f>HAVERM!Y23</f>
        <v>415521</v>
      </c>
      <c r="N27" s="5">
        <f>HAVERM!Z23</f>
        <v>2053989</v>
      </c>
      <c r="O27" s="5">
        <f>HAVERM!AA23</f>
        <v>2472406</v>
      </c>
      <c r="P27" s="5">
        <f>HAVERM!AB23</f>
        <v>1408762</v>
      </c>
      <c r="Q27" s="5">
        <f>HAVERM!AC23</f>
        <v>3010203</v>
      </c>
      <c r="R27" s="5">
        <f>HAVERM!AD23</f>
        <v>3693707</v>
      </c>
      <c r="S27" s="5">
        <f>HAVERM!AE23</f>
        <v>590547</v>
      </c>
      <c r="T27" s="5">
        <f>HAVERM!AF23</f>
        <v>528566</v>
      </c>
      <c r="V27">
        <f t="shared" si="2"/>
        <v>7136990</v>
      </c>
      <c r="W27">
        <f t="shared" si="3"/>
        <v>13135774</v>
      </c>
      <c r="X27">
        <f t="shared" si="4"/>
        <v>8112672</v>
      </c>
      <c r="Y27" s="2" t="b">
        <f t="shared" si="5"/>
        <v>1</v>
      </c>
      <c r="AA27" s="5">
        <f t="shared" si="7"/>
        <v>19.887</v>
      </c>
      <c r="AB27" s="5">
        <f t="shared" si="8"/>
        <v>21.466000000000001</v>
      </c>
      <c r="AC27" s="5">
        <f t="shared" si="9"/>
        <v>13.404999999999999</v>
      </c>
      <c r="AD27" s="5">
        <f t="shared" si="10"/>
        <v>54.758000000000003</v>
      </c>
    </row>
    <row r="28" spans="1:30" x14ac:dyDescent="0.35">
      <c r="A28" s="4">
        <f>DATE(LEFT(HAVERM!J24,4),RIGHT(HAVERM!J24,2),1)</f>
        <v>43160</v>
      </c>
      <c r="B28" s="5">
        <f>HAVERM!N24</f>
        <v>183800</v>
      </c>
      <c r="C28" s="5">
        <f>HAVERM!O24</f>
        <v>48667</v>
      </c>
      <c r="D28" s="5">
        <f>HAVERM!P24</f>
        <v>2428186</v>
      </c>
      <c r="E28" s="5">
        <f>HAVERM!Q24</f>
        <v>104802</v>
      </c>
      <c r="F28" s="5">
        <f>HAVERM!R24</f>
        <v>172233</v>
      </c>
      <c r="G28" s="5">
        <f>HAVERM!S24</f>
        <v>1225714</v>
      </c>
      <c r="H28" s="5">
        <f>HAVERM!T24</f>
        <v>4504923</v>
      </c>
      <c r="I28" s="5">
        <f>HAVERM!U24</f>
        <v>1299578</v>
      </c>
      <c r="J28" s="5">
        <f>HAVERM!V24</f>
        <v>2010229</v>
      </c>
      <c r="K28" s="5">
        <f>HAVERM!W24</f>
        <v>1155131</v>
      </c>
      <c r="L28" s="5">
        <f>HAVERM!X24</f>
        <v>1080378</v>
      </c>
      <c r="M28" s="5">
        <f>HAVERM!Y24</f>
        <v>415630</v>
      </c>
      <c r="N28" s="5">
        <f>HAVERM!Z24</f>
        <v>2055126</v>
      </c>
      <c r="O28" s="5">
        <f>HAVERM!AA24</f>
        <v>2472522</v>
      </c>
      <c r="P28" s="5">
        <f>HAVERM!AB24</f>
        <v>1408526</v>
      </c>
      <c r="Q28" s="5">
        <f>HAVERM!AC24</f>
        <v>3008071</v>
      </c>
      <c r="R28" s="5">
        <f>HAVERM!AD24</f>
        <v>3696216</v>
      </c>
      <c r="S28" s="5">
        <f>HAVERM!AE24</f>
        <v>590746</v>
      </c>
      <c r="T28" s="5">
        <f>HAVERM!AF24</f>
        <v>528752</v>
      </c>
      <c r="V28">
        <f t="shared" si="2"/>
        <v>7141629</v>
      </c>
      <c r="W28">
        <f t="shared" si="3"/>
        <v>13134788</v>
      </c>
      <c r="X28">
        <f t="shared" si="4"/>
        <v>8112813</v>
      </c>
      <c r="Y28" s="2" t="b">
        <f t="shared" si="5"/>
        <v>1</v>
      </c>
      <c r="AA28" s="5">
        <f t="shared" si="7"/>
        <v>18.126000000000001</v>
      </c>
      <c r="AB28" s="5">
        <f t="shared" si="8"/>
        <v>3.6</v>
      </c>
      <c r="AC28" s="5">
        <f t="shared" si="9"/>
        <v>10.159000000000001</v>
      </c>
      <c r="AD28" s="5">
        <f t="shared" si="10"/>
        <v>31.885000000000005</v>
      </c>
    </row>
    <row r="29" spans="1:30" x14ac:dyDescent="0.35">
      <c r="A29" s="4">
        <f>DATE(LEFT(HAVERM!J25,4),RIGHT(HAVERM!J25,2),1)</f>
        <v>43191</v>
      </c>
      <c r="B29" s="5">
        <f>HAVERM!N25</f>
        <v>183816</v>
      </c>
      <c r="C29" s="5">
        <f>HAVERM!O25</f>
        <v>48895</v>
      </c>
      <c r="D29" s="5">
        <f>HAVERM!P25</f>
        <v>2432961</v>
      </c>
      <c r="E29" s="5">
        <f>HAVERM!Q25</f>
        <v>105058</v>
      </c>
      <c r="F29" s="5">
        <f>HAVERM!R25</f>
        <v>172860</v>
      </c>
      <c r="G29" s="5">
        <f>HAVERM!S25</f>
        <v>1225313</v>
      </c>
      <c r="H29" s="5">
        <f>HAVERM!T25</f>
        <v>4504193</v>
      </c>
      <c r="I29" s="5">
        <f>HAVERM!U25</f>
        <v>1304067</v>
      </c>
      <c r="J29" s="5">
        <f>HAVERM!V25</f>
        <v>2011287</v>
      </c>
      <c r="K29" s="5">
        <f>HAVERM!W25</f>
        <v>1159416</v>
      </c>
      <c r="L29" s="5">
        <f>HAVERM!X25</f>
        <v>1081070</v>
      </c>
      <c r="M29" s="5">
        <f>HAVERM!Y25</f>
        <v>417587</v>
      </c>
      <c r="N29" s="5">
        <f>HAVERM!Z25</f>
        <v>2060730</v>
      </c>
      <c r="O29" s="5">
        <f>HAVERM!AA25</f>
        <v>2472379</v>
      </c>
      <c r="P29" s="5">
        <f>HAVERM!AB25</f>
        <v>1408433</v>
      </c>
      <c r="Q29" s="5">
        <f>HAVERM!AC25</f>
        <v>3011972</v>
      </c>
      <c r="R29" s="5">
        <f>HAVERM!AD25</f>
        <v>3705344</v>
      </c>
      <c r="S29" s="5">
        <f>HAVERM!AE25</f>
        <v>591815</v>
      </c>
      <c r="T29" s="5">
        <f>HAVERM!AF25</f>
        <v>529984</v>
      </c>
      <c r="V29">
        <f t="shared" si="2"/>
        <v>7157409</v>
      </c>
      <c r="W29">
        <f t="shared" si="3"/>
        <v>13144022</v>
      </c>
      <c r="X29">
        <f t="shared" si="4"/>
        <v>8125749</v>
      </c>
      <c r="Y29" s="2" t="b">
        <f t="shared" si="5"/>
        <v>1</v>
      </c>
      <c r="AA29" s="5">
        <f t="shared" si="7"/>
        <v>24.513999999999999</v>
      </c>
      <c r="AB29" s="5">
        <f t="shared" si="8"/>
        <v>10.016</v>
      </c>
      <c r="AC29" s="5">
        <f t="shared" si="9"/>
        <v>14.974</v>
      </c>
      <c r="AD29" s="5">
        <f t="shared" si="10"/>
        <v>49.504000000000005</v>
      </c>
    </row>
    <row r="30" spans="1:30" x14ac:dyDescent="0.35">
      <c r="A30" s="4">
        <f>DATE(LEFT(HAVERM!J26,4),RIGHT(HAVERM!J26,2),1)</f>
        <v>43221</v>
      </c>
      <c r="B30" s="5">
        <f>HAVERM!N26</f>
        <v>183695</v>
      </c>
      <c r="C30" s="5">
        <f>HAVERM!O26</f>
        <v>48995</v>
      </c>
      <c r="D30" s="5">
        <f>HAVERM!P26</f>
        <v>2433168</v>
      </c>
      <c r="E30" s="5">
        <f>HAVERM!Q26</f>
        <v>105215</v>
      </c>
      <c r="F30" s="5">
        <f>HAVERM!R26</f>
        <v>173508</v>
      </c>
      <c r="G30" s="5">
        <f>HAVERM!S26</f>
        <v>1225814</v>
      </c>
      <c r="H30" s="5">
        <f>HAVERM!T26</f>
        <v>4503558</v>
      </c>
      <c r="I30" s="5">
        <f>HAVERM!U26</f>
        <v>1307521</v>
      </c>
      <c r="J30" s="5">
        <f>HAVERM!V26</f>
        <v>2014293</v>
      </c>
      <c r="K30" s="5">
        <f>HAVERM!W26</f>
        <v>1161625</v>
      </c>
      <c r="L30" s="5">
        <f>HAVERM!X26</f>
        <v>1081349</v>
      </c>
      <c r="M30" s="5">
        <f>HAVERM!Y26</f>
        <v>418265</v>
      </c>
      <c r="N30" s="5">
        <f>HAVERM!Z26</f>
        <v>2065751</v>
      </c>
      <c r="O30" s="5">
        <f>HAVERM!AA26</f>
        <v>2482513</v>
      </c>
      <c r="P30" s="5">
        <f>HAVERM!AB26</f>
        <v>1401152</v>
      </c>
      <c r="Q30" s="5">
        <f>HAVERM!AC26</f>
        <v>3015193</v>
      </c>
      <c r="R30" s="5">
        <f>HAVERM!AD26</f>
        <v>3711817</v>
      </c>
      <c r="S30" s="5">
        <f>HAVERM!AE26</f>
        <v>591758</v>
      </c>
      <c r="T30" s="5">
        <f>HAVERM!AF26</f>
        <v>530543</v>
      </c>
      <c r="V30">
        <f t="shared" si="2"/>
        <v>7169778</v>
      </c>
      <c r="W30">
        <f t="shared" si="3"/>
        <v>13157793</v>
      </c>
      <c r="X30">
        <f t="shared" si="4"/>
        <v>8128162</v>
      </c>
      <c r="Y30" s="2" t="b">
        <f t="shared" si="5"/>
        <v>1</v>
      </c>
      <c r="AA30" s="5">
        <f t="shared" si="7"/>
        <v>32.787999999999997</v>
      </c>
      <c r="AB30" s="5">
        <f t="shared" si="8"/>
        <v>22.018999999999998</v>
      </c>
      <c r="AC30" s="5">
        <f t="shared" si="9"/>
        <v>15.49</v>
      </c>
      <c r="AD30" s="5">
        <f t="shared" si="10"/>
        <v>70.296999999999997</v>
      </c>
    </row>
    <row r="31" spans="1:30" x14ac:dyDescent="0.35">
      <c r="A31" s="4">
        <f>DATE(LEFT(HAVERM!J27,4),RIGHT(HAVERM!J27,2),1)</f>
        <v>43252</v>
      </c>
      <c r="B31" s="5">
        <f>HAVERM!N27</f>
        <v>183621</v>
      </c>
      <c r="C31" s="5">
        <f>HAVERM!O27</f>
        <v>49303</v>
      </c>
      <c r="D31" s="5">
        <f>HAVERM!P27</f>
        <v>2433981</v>
      </c>
      <c r="E31" s="5">
        <f>HAVERM!Q27</f>
        <v>105322</v>
      </c>
      <c r="F31" s="5">
        <f>HAVERM!R27</f>
        <v>173888</v>
      </c>
      <c r="G31" s="5">
        <f>HAVERM!S27</f>
        <v>1226510</v>
      </c>
      <c r="H31" s="5">
        <f>HAVERM!T27</f>
        <v>4503698</v>
      </c>
      <c r="I31" s="5">
        <f>HAVERM!U27</f>
        <v>1310315</v>
      </c>
      <c r="J31" s="5">
        <f>HAVERM!V27</f>
        <v>2016023</v>
      </c>
      <c r="K31" s="5">
        <f>HAVERM!W27</f>
        <v>1164838</v>
      </c>
      <c r="L31" s="5">
        <f>HAVERM!X27</f>
        <v>1082368</v>
      </c>
      <c r="M31" s="5">
        <f>HAVERM!Y27</f>
        <v>418822</v>
      </c>
      <c r="N31" s="5">
        <f>HAVERM!Z27</f>
        <v>2070084</v>
      </c>
      <c r="O31" s="5">
        <f>HAVERM!AA27</f>
        <v>2484439</v>
      </c>
      <c r="P31" s="5">
        <f>HAVERM!AB27</f>
        <v>1391678</v>
      </c>
      <c r="Q31" s="5">
        <f>HAVERM!AC27</f>
        <v>3016294</v>
      </c>
      <c r="R31" s="5">
        <f>HAVERM!AD27</f>
        <v>3719410</v>
      </c>
      <c r="S31" s="5">
        <f>HAVERM!AE27</f>
        <v>592599</v>
      </c>
      <c r="T31" s="5">
        <f>HAVERM!AF27</f>
        <v>530731</v>
      </c>
      <c r="V31">
        <f t="shared" si="2"/>
        <v>7182628</v>
      </c>
      <c r="W31">
        <f t="shared" si="3"/>
        <v>13163914</v>
      </c>
      <c r="X31">
        <f t="shared" si="4"/>
        <v>8127382</v>
      </c>
      <c r="Y31" s="2" t="b">
        <f t="shared" si="5"/>
        <v>1</v>
      </c>
      <c r="AA31" s="5">
        <f t="shared" si="7"/>
        <v>40.999000000000002</v>
      </c>
      <c r="AB31" s="5">
        <f t="shared" si="8"/>
        <v>29.126000000000001</v>
      </c>
      <c r="AC31" s="5">
        <f t="shared" si="9"/>
        <v>14.569000000000001</v>
      </c>
      <c r="AD31" s="5">
        <f t="shared" si="10"/>
        <v>84.694000000000003</v>
      </c>
    </row>
    <row r="32" spans="1:30" x14ac:dyDescent="0.35">
      <c r="A32" s="4">
        <f>DATE(LEFT(HAVERM!J28,4),RIGHT(HAVERM!J28,2),1)</f>
        <v>43282</v>
      </c>
      <c r="B32" s="5">
        <f>HAVERM!N28</f>
        <v>183851</v>
      </c>
      <c r="C32" s="5">
        <f>HAVERM!O28</f>
        <v>49143</v>
      </c>
      <c r="D32" s="5">
        <f>HAVERM!P28</f>
        <v>2433199</v>
      </c>
      <c r="E32" s="5">
        <f>HAVERM!Q28</f>
        <v>105091</v>
      </c>
      <c r="F32" s="5">
        <f>HAVERM!R28</f>
        <v>174305</v>
      </c>
      <c r="G32" s="5">
        <f>HAVERM!S28</f>
        <v>1228061</v>
      </c>
      <c r="H32" s="5">
        <f>HAVERM!T28</f>
        <v>4503364</v>
      </c>
      <c r="I32" s="5">
        <f>HAVERM!U28</f>
        <v>1313689</v>
      </c>
      <c r="J32" s="5">
        <f>HAVERM!V28</f>
        <v>2014618</v>
      </c>
      <c r="K32" s="5">
        <f>HAVERM!W28</f>
        <v>1167369</v>
      </c>
      <c r="L32" s="5">
        <f>HAVERM!X28</f>
        <v>1084731</v>
      </c>
      <c r="M32" s="5">
        <f>HAVERM!Y28</f>
        <v>419242</v>
      </c>
      <c r="N32" s="5">
        <f>HAVERM!Z28</f>
        <v>2075292</v>
      </c>
      <c r="O32" s="5">
        <f>HAVERM!AA28</f>
        <v>2488245</v>
      </c>
      <c r="P32" s="5">
        <f>HAVERM!AB28</f>
        <v>1403796</v>
      </c>
      <c r="Q32" s="5">
        <f>HAVERM!AC28</f>
        <v>3018045</v>
      </c>
      <c r="R32" s="5">
        <f>HAVERM!AD28</f>
        <v>3728306</v>
      </c>
      <c r="S32" s="5">
        <f>HAVERM!AE28</f>
        <v>592750</v>
      </c>
      <c r="T32" s="5">
        <f>HAVERM!AF28</f>
        <v>530595</v>
      </c>
      <c r="V32">
        <f t="shared" si="2"/>
        <v>7197681</v>
      </c>
      <c r="W32">
        <f t="shared" si="3"/>
        <v>13165864</v>
      </c>
      <c r="X32">
        <f t="shared" si="4"/>
        <v>8150147</v>
      </c>
      <c r="Y32" s="2" t="b">
        <f t="shared" si="5"/>
        <v>1</v>
      </c>
      <c r="AA32" s="5">
        <f t="shared" si="7"/>
        <v>40.271999999999998</v>
      </c>
      <c r="AB32" s="5">
        <f t="shared" si="8"/>
        <v>21.841999999999999</v>
      </c>
      <c r="AC32" s="5">
        <f t="shared" si="9"/>
        <v>24.398</v>
      </c>
      <c r="AD32" s="5">
        <f t="shared" si="10"/>
        <v>86.512</v>
      </c>
    </row>
    <row r="33" spans="1:30" x14ac:dyDescent="0.35">
      <c r="A33" s="4">
        <f>DATE(LEFT(HAVERM!J29,4),RIGHT(HAVERM!J29,2),1)</f>
        <v>43313</v>
      </c>
      <c r="B33" s="5">
        <f>HAVERM!N29</f>
        <v>183827</v>
      </c>
      <c r="C33" s="5">
        <f>HAVERM!O29</f>
        <v>49217</v>
      </c>
      <c r="D33" s="5">
        <f>HAVERM!P29</f>
        <v>2436175</v>
      </c>
      <c r="E33" s="5">
        <f>HAVERM!Q29</f>
        <v>105105</v>
      </c>
      <c r="F33" s="5">
        <f>HAVERM!R29</f>
        <v>174904</v>
      </c>
      <c r="G33" s="5">
        <f>HAVERM!S29</f>
        <v>1229807</v>
      </c>
      <c r="H33" s="5">
        <f>HAVERM!T29</f>
        <v>4501001</v>
      </c>
      <c r="I33" s="5">
        <f>HAVERM!U29</f>
        <v>1315053</v>
      </c>
      <c r="J33" s="5">
        <f>HAVERM!V29</f>
        <v>2015098</v>
      </c>
      <c r="K33" s="5">
        <f>HAVERM!W29</f>
        <v>1170868</v>
      </c>
      <c r="L33" s="5">
        <f>HAVERM!X29</f>
        <v>1085731</v>
      </c>
      <c r="M33" s="5">
        <f>HAVERM!Y29</f>
        <v>420186</v>
      </c>
      <c r="N33" s="5">
        <f>HAVERM!Z29</f>
        <v>2084386</v>
      </c>
      <c r="O33" s="5">
        <f>HAVERM!AA29</f>
        <v>2489464</v>
      </c>
      <c r="P33" s="5">
        <f>HAVERM!AB29</f>
        <v>1407642</v>
      </c>
      <c r="Q33" s="5">
        <f>HAVERM!AC29</f>
        <v>3021494</v>
      </c>
      <c r="R33" s="5">
        <f>HAVERM!AD29</f>
        <v>3738695</v>
      </c>
      <c r="S33" s="5">
        <f>HAVERM!AE29</f>
        <v>592549</v>
      </c>
      <c r="T33" s="5">
        <f>HAVERM!AF29</f>
        <v>531275</v>
      </c>
      <c r="V33">
        <f t="shared" si="2"/>
        <v>7215071</v>
      </c>
      <c r="W33">
        <f t="shared" si="3"/>
        <v>13169575</v>
      </c>
      <c r="X33">
        <f t="shared" si="4"/>
        <v>8167831</v>
      </c>
      <c r="Y33" s="2" t="b">
        <f t="shared" si="5"/>
        <v>1</v>
      </c>
      <c r="AA33" s="5">
        <f t="shared" si="7"/>
        <v>45.292999999999999</v>
      </c>
      <c r="AB33" s="5">
        <f t="shared" si="8"/>
        <v>11.782</v>
      </c>
      <c r="AC33" s="5">
        <f t="shared" si="9"/>
        <v>39.668999999999997</v>
      </c>
      <c r="AD33" s="5">
        <f t="shared" si="10"/>
        <v>96.744</v>
      </c>
    </row>
    <row r="34" spans="1:30" x14ac:dyDescent="0.35">
      <c r="A34" s="4">
        <f>DATE(LEFT(HAVERM!J30,4),RIGHT(HAVERM!J30,2),1)</f>
        <v>43344</v>
      </c>
      <c r="B34" s="5">
        <f>HAVERM!N30</f>
        <v>184022</v>
      </c>
      <c r="C34" s="5">
        <f>HAVERM!O30</f>
        <v>49278</v>
      </c>
      <c r="D34" s="5">
        <f>HAVERM!P30</f>
        <v>2439342</v>
      </c>
      <c r="E34" s="5">
        <f>HAVERM!Q30</f>
        <v>104954</v>
      </c>
      <c r="F34" s="5">
        <f>HAVERM!R30</f>
        <v>175333</v>
      </c>
      <c r="G34" s="5">
        <f>HAVERM!S30</f>
        <v>1231533</v>
      </c>
      <c r="H34" s="5">
        <f>HAVERM!T30</f>
        <v>4500078</v>
      </c>
      <c r="I34" s="5">
        <f>HAVERM!U30</f>
        <v>1319215</v>
      </c>
      <c r="J34" s="5">
        <f>HAVERM!V30</f>
        <v>2014230</v>
      </c>
      <c r="K34" s="5">
        <f>HAVERM!W30</f>
        <v>1173854</v>
      </c>
      <c r="L34" s="5">
        <f>HAVERM!X30</f>
        <v>1085273</v>
      </c>
      <c r="M34" s="5">
        <f>HAVERM!Y30</f>
        <v>421001</v>
      </c>
      <c r="N34" s="5">
        <f>HAVERM!Z30</f>
        <v>2091403</v>
      </c>
      <c r="O34" s="5">
        <f>HAVERM!AA30</f>
        <v>2489055</v>
      </c>
      <c r="P34" s="5">
        <f>HAVERM!AB30</f>
        <v>1408988</v>
      </c>
      <c r="Q34" s="5">
        <f>HAVERM!AC30</f>
        <v>3020140</v>
      </c>
      <c r="R34" s="5">
        <f>HAVERM!AD30</f>
        <v>3730641</v>
      </c>
      <c r="S34" s="5">
        <f>HAVERM!AE30</f>
        <v>592442</v>
      </c>
      <c r="T34" s="5">
        <f>HAVERM!AF30</f>
        <v>531458</v>
      </c>
      <c r="V34">
        <f t="shared" si="2"/>
        <v>7230843</v>
      </c>
      <c r="W34">
        <f t="shared" si="3"/>
        <v>13171628</v>
      </c>
      <c r="X34">
        <f t="shared" si="4"/>
        <v>8159769</v>
      </c>
      <c r="Y34" s="2" t="b">
        <f t="shared" si="5"/>
        <v>1</v>
      </c>
      <c r="AA34" s="5">
        <f t="shared" si="7"/>
        <v>48.215000000000003</v>
      </c>
      <c r="AB34" s="5">
        <f t="shared" si="8"/>
        <v>7.7140000000000004</v>
      </c>
      <c r="AC34" s="5">
        <f t="shared" si="9"/>
        <v>32.387</v>
      </c>
      <c r="AD34" s="5">
        <f t="shared" si="10"/>
        <v>88.316000000000003</v>
      </c>
    </row>
    <row r="35" spans="1:30" x14ac:dyDescent="0.35">
      <c r="A35" s="4">
        <f>DATE(LEFT(HAVERM!J31,4),RIGHT(HAVERM!J31,2),1)</f>
        <v>43374</v>
      </c>
      <c r="B35" s="5">
        <f>HAVERM!N31</f>
        <v>184503</v>
      </c>
      <c r="C35" s="5">
        <f>HAVERM!O31</f>
        <v>49223</v>
      </c>
      <c r="D35" s="5">
        <f>HAVERM!P31</f>
        <v>2442795</v>
      </c>
      <c r="E35" s="5">
        <f>HAVERM!Q31</f>
        <v>104791</v>
      </c>
      <c r="F35" s="5">
        <f>HAVERM!R31</f>
        <v>175795</v>
      </c>
      <c r="G35" s="5">
        <f>HAVERM!S31</f>
        <v>1234222</v>
      </c>
      <c r="H35" s="5">
        <f>HAVERM!T31</f>
        <v>4502396</v>
      </c>
      <c r="I35" s="5">
        <f>HAVERM!U31</f>
        <v>1321431</v>
      </c>
      <c r="J35" s="5">
        <f>HAVERM!V31</f>
        <v>2014686</v>
      </c>
      <c r="K35" s="5">
        <f>HAVERM!W31</f>
        <v>1176034</v>
      </c>
      <c r="L35" s="5">
        <f>HAVERM!X31</f>
        <v>1084732</v>
      </c>
      <c r="M35" s="5">
        <f>HAVERM!Y31</f>
        <v>422065</v>
      </c>
      <c r="N35" s="5">
        <f>HAVERM!Z31</f>
        <v>2098759</v>
      </c>
      <c r="O35" s="5">
        <f>HAVERM!AA31</f>
        <v>2486080</v>
      </c>
      <c r="P35" s="5">
        <f>HAVERM!AB31</f>
        <v>1412115</v>
      </c>
      <c r="Q35" s="5">
        <f>HAVERM!AC31</f>
        <v>3020749</v>
      </c>
      <c r="R35" s="5">
        <f>HAVERM!AD31</f>
        <v>3738470</v>
      </c>
      <c r="S35" s="5">
        <f>HAVERM!AE31</f>
        <v>592735</v>
      </c>
      <c r="T35" s="5">
        <f>HAVERM!AF31</f>
        <v>532337</v>
      </c>
      <c r="V35">
        <f t="shared" si="2"/>
        <v>7244987</v>
      </c>
      <c r="W35">
        <f t="shared" si="3"/>
        <v>13177597</v>
      </c>
      <c r="X35">
        <f t="shared" si="4"/>
        <v>8171334</v>
      </c>
      <c r="Y35" s="2" t="b">
        <f t="shared" si="5"/>
        <v>1</v>
      </c>
      <c r="AA35" s="5">
        <f t="shared" si="7"/>
        <v>47.305999999999997</v>
      </c>
      <c r="AB35" s="5">
        <f t="shared" si="8"/>
        <v>11.733000000000001</v>
      </c>
      <c r="AC35" s="5">
        <f t="shared" si="9"/>
        <v>21.187000000000001</v>
      </c>
      <c r="AD35" s="5">
        <f t="shared" si="10"/>
        <v>80.225999999999999</v>
      </c>
    </row>
    <row r="36" spans="1:30" x14ac:dyDescent="0.35">
      <c r="A36" s="4">
        <f>DATE(LEFT(HAVERM!J32,4),RIGHT(HAVERM!J32,2),1)</f>
        <v>43405</v>
      </c>
      <c r="B36" s="5">
        <f>HAVERM!N32</f>
        <v>185141</v>
      </c>
      <c r="C36" s="5">
        <f>HAVERM!O32</f>
        <v>49292</v>
      </c>
      <c r="D36" s="5">
        <f>HAVERM!P32</f>
        <v>2445377</v>
      </c>
      <c r="E36" s="5">
        <f>HAVERM!Q32</f>
        <v>104732</v>
      </c>
      <c r="F36" s="5">
        <f>HAVERM!R32</f>
        <v>176615</v>
      </c>
      <c r="G36" s="5">
        <f>HAVERM!S32</f>
        <v>1237414</v>
      </c>
      <c r="H36" s="5">
        <f>HAVERM!T32</f>
        <v>4506177</v>
      </c>
      <c r="I36" s="5">
        <f>HAVERM!U32</f>
        <v>1325074</v>
      </c>
      <c r="J36" s="5">
        <f>HAVERM!V32</f>
        <v>2016731</v>
      </c>
      <c r="K36" s="5">
        <f>HAVERM!W32</f>
        <v>1180446</v>
      </c>
      <c r="L36" s="5">
        <f>HAVERM!X32</f>
        <v>1086827</v>
      </c>
      <c r="M36" s="5">
        <f>HAVERM!Y32</f>
        <v>423015</v>
      </c>
      <c r="N36" s="5">
        <f>HAVERM!Z32</f>
        <v>2107523</v>
      </c>
      <c r="O36" s="5">
        <f>HAVERM!AA32</f>
        <v>2488336</v>
      </c>
      <c r="P36" s="5">
        <f>HAVERM!AB32</f>
        <v>1412851</v>
      </c>
      <c r="Q36" s="5">
        <f>HAVERM!AC32</f>
        <v>3026519</v>
      </c>
      <c r="R36" s="5">
        <f>HAVERM!AD32</f>
        <v>3750192</v>
      </c>
      <c r="S36" s="5">
        <f>HAVERM!AE32</f>
        <v>593751</v>
      </c>
      <c r="T36" s="5">
        <f>HAVERM!AF32</f>
        <v>533126</v>
      </c>
      <c r="V36">
        <f t="shared" si="2"/>
        <v>7267923</v>
      </c>
      <c r="W36">
        <f t="shared" si="3"/>
        <v>13191654</v>
      </c>
      <c r="X36">
        <f t="shared" si="4"/>
        <v>8189562</v>
      </c>
      <c r="Y36" s="2" t="b">
        <f t="shared" si="5"/>
        <v>1</v>
      </c>
      <c r="AA36" s="5">
        <f t="shared" si="7"/>
        <v>52.851999999999997</v>
      </c>
      <c r="AB36" s="5">
        <f t="shared" si="8"/>
        <v>22.079000000000001</v>
      </c>
      <c r="AC36" s="5">
        <f t="shared" si="9"/>
        <v>21.731000000000002</v>
      </c>
      <c r="AD36" s="5">
        <f t="shared" si="10"/>
        <v>96.662000000000006</v>
      </c>
    </row>
    <row r="37" spans="1:30" x14ac:dyDescent="0.35">
      <c r="A37" s="4">
        <f>DATE(LEFT(HAVERM!J33,4),RIGHT(HAVERM!J33,2),1)</f>
        <v>43435</v>
      </c>
      <c r="B37" s="5">
        <f>HAVERM!N33</f>
        <v>185669</v>
      </c>
      <c r="C37" s="5">
        <f>HAVERM!O33</f>
        <v>49369</v>
      </c>
      <c r="D37" s="5">
        <f>HAVERM!P33</f>
        <v>2444014</v>
      </c>
      <c r="E37" s="5">
        <f>HAVERM!Q33</f>
        <v>104562</v>
      </c>
      <c r="F37" s="5">
        <f>HAVERM!R33</f>
        <v>176679</v>
      </c>
      <c r="G37" s="5">
        <f>HAVERM!S33</f>
        <v>1232358</v>
      </c>
      <c r="H37" s="5">
        <f>HAVERM!T33</f>
        <v>4502125</v>
      </c>
      <c r="I37" s="5">
        <f>HAVERM!U33</f>
        <v>1326524</v>
      </c>
      <c r="J37" s="5">
        <f>HAVERM!V33</f>
        <v>2017222</v>
      </c>
      <c r="K37" s="5">
        <f>HAVERM!W33</f>
        <v>1182170</v>
      </c>
      <c r="L37" s="5">
        <f>HAVERM!X33</f>
        <v>1087913</v>
      </c>
      <c r="M37" s="5">
        <f>HAVERM!Y33</f>
        <v>423687</v>
      </c>
      <c r="N37" s="5">
        <f>HAVERM!Z33</f>
        <v>2111631</v>
      </c>
      <c r="O37" s="5">
        <f>HAVERM!AA33</f>
        <v>2486421</v>
      </c>
      <c r="P37" s="5">
        <f>HAVERM!AB33</f>
        <v>1411652</v>
      </c>
      <c r="Q37" s="5">
        <f>HAVERM!AC33</f>
        <v>3023519</v>
      </c>
      <c r="R37" s="5">
        <f>HAVERM!AD33</f>
        <v>3755772</v>
      </c>
      <c r="S37" s="5">
        <f>HAVERM!AE33</f>
        <v>593721</v>
      </c>
      <c r="T37" s="5">
        <f>HAVERM!AF33</f>
        <v>533474</v>
      </c>
      <c r="V37">
        <f t="shared" si="2"/>
        <v>7271206</v>
      </c>
      <c r="W37">
        <f t="shared" si="3"/>
        <v>13186333</v>
      </c>
      <c r="X37">
        <f t="shared" si="4"/>
        <v>8190943</v>
      </c>
      <c r="Y37" s="2" t="b">
        <f t="shared" si="5"/>
        <v>1</v>
      </c>
      <c r="AA37" s="5">
        <f t="shared" si="7"/>
        <v>40.363</v>
      </c>
      <c r="AB37" s="5">
        <f t="shared" si="8"/>
        <v>14.705</v>
      </c>
      <c r="AC37" s="5">
        <f t="shared" si="9"/>
        <v>31.173999999999999</v>
      </c>
      <c r="AD37" s="5">
        <f t="shared" si="10"/>
        <v>86.24199999999999</v>
      </c>
    </row>
    <row r="38" spans="1:30" x14ac:dyDescent="0.35">
      <c r="A38" s="4">
        <f>DATE(LEFT(HAVERM!J34,4),RIGHT(HAVERM!J34,2),1)</f>
        <v>43466</v>
      </c>
      <c r="B38" s="5">
        <f>HAVERM!N34</f>
        <v>185944</v>
      </c>
      <c r="C38" s="5">
        <f>HAVERM!O34</f>
        <v>49563</v>
      </c>
      <c r="D38" s="5">
        <f>HAVERM!P34</f>
        <v>2444493</v>
      </c>
      <c r="E38" s="5">
        <f>HAVERM!Q34</f>
        <v>104528</v>
      </c>
      <c r="F38" s="5">
        <f>HAVERM!R34</f>
        <v>177302</v>
      </c>
      <c r="G38" s="5">
        <f>HAVERM!S34</f>
        <v>1240635</v>
      </c>
      <c r="H38" s="5">
        <f>HAVERM!T34</f>
        <v>4497406</v>
      </c>
      <c r="I38" s="5">
        <f>HAVERM!U34</f>
        <v>1327810</v>
      </c>
      <c r="J38" s="5">
        <f>HAVERM!V34</f>
        <v>2023346</v>
      </c>
      <c r="K38" s="5">
        <f>HAVERM!W34</f>
        <v>1185406</v>
      </c>
      <c r="L38" s="5">
        <f>HAVERM!X34</f>
        <v>1089696</v>
      </c>
      <c r="M38" s="5">
        <f>HAVERM!Y34</f>
        <v>424434</v>
      </c>
      <c r="N38" s="5">
        <f>HAVERM!Z34</f>
        <v>2117118</v>
      </c>
      <c r="O38" s="5">
        <f>HAVERM!AA34</f>
        <v>2489256</v>
      </c>
      <c r="P38" s="5">
        <f>HAVERM!AB34</f>
        <v>1411016</v>
      </c>
      <c r="Q38" s="5">
        <f>HAVERM!AC34</f>
        <v>3025358</v>
      </c>
      <c r="R38" s="5">
        <f>HAVERM!AD34</f>
        <v>3764701</v>
      </c>
      <c r="S38" s="5">
        <f>HAVERM!AE34</f>
        <v>594136</v>
      </c>
      <c r="T38" s="5">
        <f>HAVERM!AF34</f>
        <v>534637</v>
      </c>
      <c r="V38">
        <f t="shared" si="2"/>
        <v>7292058</v>
      </c>
      <c r="W38">
        <f t="shared" si="3"/>
        <v>13193652</v>
      </c>
      <c r="X38">
        <f t="shared" si="4"/>
        <v>8201075</v>
      </c>
      <c r="Y38" s="2" t="b">
        <f t="shared" si="5"/>
        <v>1</v>
      </c>
      <c r="AA38" s="5">
        <f t="shared" si="7"/>
        <v>47.070999999999998</v>
      </c>
      <c r="AB38" s="5">
        <f t="shared" si="8"/>
        <v>16.055</v>
      </c>
      <c r="AC38" s="5">
        <f t="shared" si="9"/>
        <v>29.741</v>
      </c>
      <c r="AD38" s="5">
        <f t="shared" si="10"/>
        <v>92.86699999999999</v>
      </c>
    </row>
    <row r="39" spans="1:30" x14ac:dyDescent="0.35">
      <c r="A39" s="4">
        <f>DATE(LEFT(HAVERM!J35,4),RIGHT(HAVERM!J35,2),1)</f>
        <v>43497</v>
      </c>
      <c r="B39" s="5">
        <f>HAVERM!N35</f>
        <v>186063</v>
      </c>
      <c r="C39" s="5">
        <f>HAVERM!O35</f>
        <v>49605</v>
      </c>
      <c r="D39" s="5">
        <f>HAVERM!P35</f>
        <v>2445726</v>
      </c>
      <c r="E39" s="5">
        <f>HAVERM!Q35</f>
        <v>104586</v>
      </c>
      <c r="F39" s="5">
        <f>HAVERM!R35</f>
        <v>177746</v>
      </c>
      <c r="G39" s="5">
        <f>HAVERM!S35</f>
        <v>1241966</v>
      </c>
      <c r="H39" s="5">
        <f>HAVERM!T35</f>
        <v>4486238</v>
      </c>
      <c r="I39" s="5">
        <f>HAVERM!U35</f>
        <v>1329810</v>
      </c>
      <c r="J39" s="5">
        <f>HAVERM!V35</f>
        <v>2029234</v>
      </c>
      <c r="K39" s="5">
        <f>HAVERM!W35</f>
        <v>1187815</v>
      </c>
      <c r="L39" s="5">
        <f>HAVERM!X35</f>
        <v>1089889</v>
      </c>
      <c r="M39" s="5">
        <f>HAVERM!Y35</f>
        <v>424749</v>
      </c>
      <c r="N39" s="5">
        <f>HAVERM!Z35</f>
        <v>2121298</v>
      </c>
      <c r="O39" s="5">
        <f>HAVERM!AA35</f>
        <v>2493523</v>
      </c>
      <c r="P39" s="5">
        <f>HAVERM!AB35</f>
        <v>1410608</v>
      </c>
      <c r="Q39" s="5">
        <f>HAVERM!AC35</f>
        <v>3031919</v>
      </c>
      <c r="R39" s="5">
        <f>HAVERM!AD35</f>
        <v>3773242</v>
      </c>
      <c r="S39" s="5">
        <f>HAVERM!AE35</f>
        <v>594547</v>
      </c>
      <c r="T39" s="5">
        <f>HAVERM!AF35</f>
        <v>535621</v>
      </c>
      <c r="V39">
        <f t="shared" si="2"/>
        <v>7302715</v>
      </c>
      <c r="W39">
        <f t="shared" si="3"/>
        <v>13195701</v>
      </c>
      <c r="X39">
        <f t="shared" si="4"/>
        <v>8215769</v>
      </c>
      <c r="Y39" s="2" t="b">
        <f t="shared" si="5"/>
        <v>1</v>
      </c>
      <c r="AA39" s="5">
        <f t="shared" si="7"/>
        <v>34.792000000000002</v>
      </c>
      <c r="AB39" s="5">
        <f t="shared" si="8"/>
        <v>4.0469999999999997</v>
      </c>
      <c r="AC39" s="5">
        <f t="shared" si="9"/>
        <v>26.207000000000001</v>
      </c>
      <c r="AD39" s="5">
        <f t="shared" si="10"/>
        <v>65.045999999999992</v>
      </c>
    </row>
    <row r="40" spans="1:30" x14ac:dyDescent="0.35">
      <c r="A40" s="4">
        <f>DATE(LEFT(HAVERM!J36,4),RIGHT(HAVERM!J36,2),1)</f>
        <v>43525</v>
      </c>
      <c r="B40" s="5">
        <f>HAVERM!N36</f>
        <v>187241</v>
      </c>
      <c r="C40" s="5">
        <f>HAVERM!O36</f>
        <v>49625</v>
      </c>
      <c r="D40" s="5">
        <f>HAVERM!P36</f>
        <v>2446942</v>
      </c>
      <c r="E40" s="5">
        <f>HAVERM!Q36</f>
        <v>104631</v>
      </c>
      <c r="F40" s="5">
        <f>HAVERM!R36</f>
        <v>178154</v>
      </c>
      <c r="G40" s="5">
        <f>HAVERM!S36</f>
        <v>1243990</v>
      </c>
      <c r="H40" s="5">
        <f>HAVERM!T36</f>
        <v>4477193</v>
      </c>
      <c r="I40" s="5">
        <f>HAVERM!U36</f>
        <v>1332961</v>
      </c>
      <c r="J40" s="5">
        <f>HAVERM!V36</f>
        <v>2041263</v>
      </c>
      <c r="K40" s="5">
        <f>HAVERM!W36</f>
        <v>1193755</v>
      </c>
      <c r="L40" s="5">
        <f>HAVERM!X36</f>
        <v>1091636</v>
      </c>
      <c r="M40" s="5">
        <f>HAVERM!Y36</f>
        <v>425339</v>
      </c>
      <c r="N40" s="5">
        <f>HAVERM!Z36</f>
        <v>2126222</v>
      </c>
      <c r="O40" s="5">
        <f>HAVERM!AA36</f>
        <v>2494055</v>
      </c>
      <c r="P40" s="5">
        <f>HAVERM!AB36</f>
        <v>1413200</v>
      </c>
      <c r="Q40" s="5">
        <f>HAVERM!AC36</f>
        <v>3040391</v>
      </c>
      <c r="R40" s="5">
        <f>HAVERM!AD36</f>
        <v>3782307</v>
      </c>
      <c r="S40" s="5">
        <f>HAVERM!AE36</f>
        <v>597302</v>
      </c>
      <c r="T40" s="5">
        <f>HAVERM!AF36</f>
        <v>536729</v>
      </c>
      <c r="V40">
        <f t="shared" si="2"/>
        <v>7320974</v>
      </c>
      <c r="W40">
        <f t="shared" si="3"/>
        <v>13206064</v>
      </c>
      <c r="X40">
        <f t="shared" si="4"/>
        <v>8235898</v>
      </c>
      <c r="Y40" s="2" t="b">
        <f t="shared" si="5"/>
        <v>1</v>
      </c>
      <c r="AA40" s="5">
        <f t="shared" si="7"/>
        <v>49.768000000000001</v>
      </c>
      <c r="AB40" s="5">
        <f t="shared" si="8"/>
        <v>19.731000000000002</v>
      </c>
      <c r="AC40" s="5">
        <f t="shared" si="9"/>
        <v>44.954999999999998</v>
      </c>
      <c r="AD40" s="5">
        <f t="shared" si="10"/>
        <v>114.45399999999999</v>
      </c>
    </row>
    <row r="41" spans="1:30" x14ac:dyDescent="0.35">
      <c r="A41" s="4">
        <f>DATE(LEFT(HAVERM!J37,4),RIGHT(HAVERM!J37,2),1)</f>
        <v>43556</v>
      </c>
      <c r="B41" s="5">
        <f>HAVERM!N37</f>
        <v>187753</v>
      </c>
      <c r="C41" s="5">
        <f>HAVERM!O37</f>
        <v>49569</v>
      </c>
      <c r="D41" s="5">
        <f>HAVERM!P37</f>
        <v>2445178</v>
      </c>
      <c r="E41" s="5">
        <f>HAVERM!Q37</f>
        <v>102578</v>
      </c>
      <c r="F41" s="5">
        <f>HAVERM!R37</f>
        <v>178325</v>
      </c>
      <c r="G41" s="5">
        <f>HAVERM!S37</f>
        <v>1243825</v>
      </c>
      <c r="H41" s="5">
        <f>HAVERM!T37</f>
        <v>4474326</v>
      </c>
      <c r="I41" s="5">
        <f>HAVERM!U37</f>
        <v>1337323</v>
      </c>
      <c r="J41" s="5">
        <f>HAVERM!V37</f>
        <v>2048789</v>
      </c>
      <c r="K41" s="5">
        <f>HAVERM!W37</f>
        <v>1198784</v>
      </c>
      <c r="L41" s="5">
        <f>HAVERM!X37</f>
        <v>1092726</v>
      </c>
      <c r="M41" s="5">
        <f>HAVERM!Y37</f>
        <v>425198</v>
      </c>
      <c r="N41" s="5">
        <f>HAVERM!Z37</f>
        <v>2127818</v>
      </c>
      <c r="O41" s="5">
        <f>HAVERM!AA37</f>
        <v>2489112</v>
      </c>
      <c r="P41" s="5">
        <f>HAVERM!AB37</f>
        <v>1414677</v>
      </c>
      <c r="Q41" s="5">
        <f>HAVERM!AC37</f>
        <v>3039732</v>
      </c>
      <c r="R41" s="5">
        <f>HAVERM!AD37</f>
        <v>3787570</v>
      </c>
      <c r="S41" s="5">
        <f>HAVERM!AE37</f>
        <v>597370</v>
      </c>
      <c r="T41" s="5">
        <f>HAVERM!AF37</f>
        <v>536952</v>
      </c>
      <c r="V41">
        <f t="shared" si="2"/>
        <v>7330948</v>
      </c>
      <c r="W41">
        <f t="shared" si="3"/>
        <v>13204678</v>
      </c>
      <c r="X41">
        <f t="shared" si="4"/>
        <v>8241979</v>
      </c>
      <c r="Y41" s="2" t="b">
        <f t="shared" si="5"/>
        <v>1</v>
      </c>
      <c r="AA41" s="5">
        <f t="shared" si="7"/>
        <v>38.89</v>
      </c>
      <c r="AB41" s="5">
        <f t="shared" si="8"/>
        <v>11.026</v>
      </c>
      <c r="AC41" s="5">
        <f t="shared" si="9"/>
        <v>40.904000000000003</v>
      </c>
      <c r="AD41" s="5">
        <f t="shared" si="10"/>
        <v>90.82</v>
      </c>
    </row>
    <row r="42" spans="1:30" x14ac:dyDescent="0.35">
      <c r="A42" s="4">
        <f>DATE(LEFT(HAVERM!J38,4),RIGHT(HAVERM!J38,2),1)</f>
        <v>43586</v>
      </c>
      <c r="B42" s="5">
        <f>HAVERM!N38</f>
        <v>188207</v>
      </c>
      <c r="C42" s="5">
        <f>HAVERM!O38</f>
        <v>49655</v>
      </c>
      <c r="D42" s="5">
        <f>HAVERM!P38</f>
        <v>2441615</v>
      </c>
      <c r="E42" s="5">
        <f>HAVERM!Q38</f>
        <v>102664</v>
      </c>
      <c r="F42" s="5">
        <f>HAVERM!R38</f>
        <v>178695</v>
      </c>
      <c r="G42" s="5">
        <f>HAVERM!S38</f>
        <v>1245607</v>
      </c>
      <c r="H42" s="5">
        <f>HAVERM!T38</f>
        <v>4475376</v>
      </c>
      <c r="I42" s="5">
        <f>HAVERM!U38</f>
        <v>1337371</v>
      </c>
      <c r="J42" s="5">
        <f>HAVERM!V38</f>
        <v>2051291</v>
      </c>
      <c r="K42" s="5">
        <f>HAVERM!W38</f>
        <v>1201403</v>
      </c>
      <c r="L42" s="5">
        <f>HAVERM!X38</f>
        <v>1094063</v>
      </c>
      <c r="M42" s="5">
        <f>HAVERM!Y38</f>
        <v>425378</v>
      </c>
      <c r="N42" s="5">
        <f>HAVERM!Z38</f>
        <v>2130167</v>
      </c>
      <c r="O42" s="5">
        <f>HAVERM!AA38</f>
        <v>2483613</v>
      </c>
      <c r="P42" s="5">
        <f>HAVERM!AB38</f>
        <v>1420484</v>
      </c>
      <c r="Q42" s="5">
        <f>HAVERM!AC38</f>
        <v>3035979</v>
      </c>
      <c r="R42" s="5">
        <f>HAVERM!AD38</f>
        <v>3792860</v>
      </c>
      <c r="S42" s="5">
        <f>HAVERM!AE38</f>
        <v>599731</v>
      </c>
      <c r="T42" s="5">
        <f>HAVERM!AF38</f>
        <v>537271</v>
      </c>
      <c r="V42">
        <f t="shared" si="2"/>
        <v>7339625</v>
      </c>
      <c r="W42">
        <f t="shared" si="3"/>
        <v>13202482</v>
      </c>
      <c r="X42">
        <f t="shared" si="4"/>
        <v>8249323</v>
      </c>
      <c r="Y42" s="2" t="b">
        <f t="shared" si="5"/>
        <v>1</v>
      </c>
      <c r="AA42" s="5">
        <f t="shared" si="7"/>
        <v>36.909999999999997</v>
      </c>
      <c r="AB42" s="5">
        <f t="shared" si="8"/>
        <v>6.7809999999999997</v>
      </c>
      <c r="AC42" s="5">
        <f t="shared" si="9"/>
        <v>33.554000000000002</v>
      </c>
      <c r="AD42" s="5">
        <f t="shared" si="10"/>
        <v>77.245000000000005</v>
      </c>
    </row>
    <row r="43" spans="1:30" x14ac:dyDescent="0.35">
      <c r="A43" s="4">
        <f>DATE(LEFT(HAVERM!J39,4),RIGHT(HAVERM!J39,2),1)</f>
        <v>43617</v>
      </c>
      <c r="B43" s="5">
        <f>HAVERM!N39</f>
        <v>188603</v>
      </c>
      <c r="C43" s="5">
        <f>HAVERM!O39</f>
        <v>49654</v>
      </c>
      <c r="D43" s="5">
        <f>HAVERM!P39</f>
        <v>2438387</v>
      </c>
      <c r="E43" s="5">
        <f>HAVERM!Q39</f>
        <v>102766</v>
      </c>
      <c r="F43" s="5">
        <f>HAVERM!R39</f>
        <v>179059</v>
      </c>
      <c r="G43" s="5">
        <f>HAVERM!S39</f>
        <v>1245391</v>
      </c>
      <c r="H43" s="5">
        <f>HAVERM!T39</f>
        <v>4458683</v>
      </c>
      <c r="I43" s="5">
        <f>HAVERM!U39</f>
        <v>1337048</v>
      </c>
      <c r="J43" s="5">
        <f>HAVERM!V39</f>
        <v>2052794</v>
      </c>
      <c r="K43" s="5">
        <f>HAVERM!W39</f>
        <v>1204220</v>
      </c>
      <c r="L43" s="5">
        <f>HAVERM!X39</f>
        <v>1093693</v>
      </c>
      <c r="M43" s="5">
        <f>HAVERM!Y39</f>
        <v>425269</v>
      </c>
      <c r="N43" s="5">
        <f>HAVERM!Z39</f>
        <v>2133128</v>
      </c>
      <c r="O43" s="5">
        <f>HAVERM!AA39</f>
        <v>2481439</v>
      </c>
      <c r="P43" s="5">
        <f>HAVERM!AB39</f>
        <v>1423709</v>
      </c>
      <c r="Q43" s="5">
        <f>HAVERM!AC39</f>
        <v>3042960</v>
      </c>
      <c r="R43" s="5">
        <f>HAVERM!AD39</f>
        <v>3799714</v>
      </c>
      <c r="S43" s="5">
        <f>HAVERM!AE39</f>
        <v>599876</v>
      </c>
      <c r="T43" s="5">
        <f>HAVERM!AF39</f>
        <v>537206</v>
      </c>
      <c r="V43">
        <f t="shared" si="2"/>
        <v>7344959</v>
      </c>
      <c r="W43">
        <f t="shared" si="3"/>
        <v>13182257</v>
      </c>
      <c r="X43">
        <f t="shared" si="4"/>
        <v>8266383</v>
      </c>
      <c r="Y43" s="2" t="b">
        <f t="shared" si="5"/>
        <v>1</v>
      </c>
      <c r="AA43" s="5">
        <f t="shared" si="7"/>
        <v>23.984999999999999</v>
      </c>
      <c r="AB43" s="5">
        <f t="shared" si="8"/>
        <v>-23.806999999999999</v>
      </c>
      <c r="AC43" s="5">
        <f t="shared" si="9"/>
        <v>30.484999999999999</v>
      </c>
      <c r="AD43" s="5">
        <f t="shared" si="10"/>
        <v>30.663</v>
      </c>
    </row>
    <row r="44" spans="1:30" x14ac:dyDescent="0.35">
      <c r="A44" s="4">
        <f>DATE(LEFT(HAVERM!J40,4),RIGHT(HAVERM!J40,2),1)</f>
        <v>43647</v>
      </c>
      <c r="B44" s="5">
        <f>HAVERM!N40</f>
        <v>188361</v>
      </c>
      <c r="C44" s="5">
        <f>HAVERM!O40</f>
        <v>49822</v>
      </c>
      <c r="D44" s="5">
        <f>HAVERM!P40</f>
        <v>2435559</v>
      </c>
      <c r="E44" s="5">
        <f>HAVERM!Q40</f>
        <v>102903</v>
      </c>
      <c r="F44" s="5">
        <f>HAVERM!R40</f>
        <v>179304</v>
      </c>
      <c r="G44" s="5">
        <f>HAVERM!S40</f>
        <v>1244449</v>
      </c>
      <c r="H44" s="5">
        <f>HAVERM!T40</f>
        <v>4454103</v>
      </c>
      <c r="I44" s="5">
        <f>HAVERM!U40</f>
        <v>1336105</v>
      </c>
      <c r="J44" s="5">
        <f>HAVERM!V40</f>
        <v>2054967</v>
      </c>
      <c r="K44" s="5">
        <f>HAVERM!W40</f>
        <v>1207490</v>
      </c>
      <c r="L44" s="5">
        <f>HAVERM!X40</f>
        <v>1093661</v>
      </c>
      <c r="M44" s="5">
        <f>HAVERM!Y40</f>
        <v>426203</v>
      </c>
      <c r="N44" s="5">
        <f>HAVERM!Z40</f>
        <v>2136968</v>
      </c>
      <c r="O44" s="5">
        <f>HAVERM!AA40</f>
        <v>2478263</v>
      </c>
      <c r="P44" s="5">
        <f>HAVERM!AB40</f>
        <v>1415302</v>
      </c>
      <c r="Q44" s="5">
        <f>HAVERM!AC40</f>
        <v>3040274</v>
      </c>
      <c r="R44" s="5">
        <f>HAVERM!AD40</f>
        <v>3805615</v>
      </c>
      <c r="S44" s="5">
        <f>HAVERM!AE40</f>
        <v>600916</v>
      </c>
      <c r="T44" s="5">
        <f>HAVERM!AF40</f>
        <v>537090</v>
      </c>
      <c r="V44">
        <f t="shared" si="2"/>
        <v>7350702</v>
      </c>
      <c r="W44">
        <f t="shared" si="3"/>
        <v>13175462</v>
      </c>
      <c r="X44">
        <f t="shared" si="4"/>
        <v>8261191</v>
      </c>
      <c r="Y44" s="2" t="b">
        <f t="shared" si="5"/>
        <v>1</v>
      </c>
      <c r="AA44" s="5">
        <f t="shared" si="7"/>
        <v>19.754000000000001</v>
      </c>
      <c r="AB44" s="5">
        <f t="shared" si="8"/>
        <v>-29.216000000000001</v>
      </c>
      <c r="AC44" s="5">
        <f t="shared" si="9"/>
        <v>19.212</v>
      </c>
      <c r="AD44" s="5">
        <f t="shared" si="10"/>
        <v>9.75</v>
      </c>
    </row>
    <row r="45" spans="1:30" x14ac:dyDescent="0.35">
      <c r="A45" s="4">
        <f>DATE(LEFT(HAVERM!J41,4),RIGHT(HAVERM!J41,2),1)</f>
        <v>43678</v>
      </c>
      <c r="B45" s="5">
        <f>HAVERM!N41</f>
        <v>188449</v>
      </c>
      <c r="C45" s="5">
        <f>HAVERM!O41</f>
        <v>50001</v>
      </c>
      <c r="D45" s="5">
        <f>HAVERM!P41</f>
        <v>2435096</v>
      </c>
      <c r="E45" s="5">
        <f>HAVERM!Q41</f>
        <v>102935</v>
      </c>
      <c r="F45" s="5">
        <f>HAVERM!R41</f>
        <v>179929</v>
      </c>
      <c r="G45" s="5">
        <f>HAVERM!S41</f>
        <v>1245941</v>
      </c>
      <c r="H45" s="5">
        <f>HAVERM!T41</f>
        <v>4457811</v>
      </c>
      <c r="I45" s="5">
        <f>HAVERM!U41</f>
        <v>1336980</v>
      </c>
      <c r="J45" s="5">
        <f>HAVERM!V41</f>
        <v>2056196</v>
      </c>
      <c r="K45" s="5">
        <f>HAVERM!W41</f>
        <v>1211264</v>
      </c>
      <c r="L45" s="5">
        <f>HAVERM!X41</f>
        <v>1093403</v>
      </c>
      <c r="M45" s="5">
        <f>HAVERM!Y41</f>
        <v>427091</v>
      </c>
      <c r="N45" s="5">
        <f>HAVERM!Z41</f>
        <v>2144181</v>
      </c>
      <c r="O45" s="5">
        <f>HAVERM!AA41</f>
        <v>2482272</v>
      </c>
      <c r="P45" s="5">
        <f>HAVERM!AB41</f>
        <v>1412449</v>
      </c>
      <c r="Q45" s="5">
        <f>HAVERM!AC41</f>
        <v>3042793</v>
      </c>
      <c r="R45" s="5">
        <f>HAVERM!AD41</f>
        <v>3815543</v>
      </c>
      <c r="S45" s="5">
        <f>HAVERM!AE41</f>
        <v>601409</v>
      </c>
      <c r="T45" s="5">
        <f>HAVERM!AF41</f>
        <v>537487</v>
      </c>
      <c r="V45">
        <f t="shared" si="2"/>
        <v>7364634</v>
      </c>
      <c r="W45">
        <f t="shared" si="3"/>
        <v>13185811</v>
      </c>
      <c r="X45">
        <f t="shared" si="4"/>
        <v>8270785</v>
      </c>
      <c r="Y45" s="2" t="b">
        <f t="shared" si="5"/>
        <v>1</v>
      </c>
      <c r="AA45" s="5">
        <f t="shared" si="7"/>
        <v>25.009</v>
      </c>
      <c r="AB45" s="5">
        <f t="shared" si="8"/>
        <v>-16.670999999999999</v>
      </c>
      <c r="AC45" s="5">
        <f t="shared" si="9"/>
        <v>21.462</v>
      </c>
      <c r="AD45" s="5">
        <f t="shared" si="10"/>
        <v>29.8</v>
      </c>
    </row>
    <row r="46" spans="1:30" x14ac:dyDescent="0.35">
      <c r="A46" s="4">
        <f>DATE(LEFT(HAVERM!J42,4),RIGHT(HAVERM!J42,2),1)</f>
        <v>43709</v>
      </c>
      <c r="B46" s="5">
        <f>HAVERM!N42</f>
        <v>188524</v>
      </c>
      <c r="C46" s="5">
        <f>HAVERM!O42</f>
        <v>50237</v>
      </c>
      <c r="D46" s="5">
        <f>HAVERM!P42</f>
        <v>2434312</v>
      </c>
      <c r="E46" s="5">
        <f>HAVERM!Q42</f>
        <v>102998</v>
      </c>
      <c r="F46" s="5">
        <f>HAVERM!R42</f>
        <v>180166</v>
      </c>
      <c r="G46" s="5">
        <f>HAVERM!S42</f>
        <v>1247162</v>
      </c>
      <c r="H46" s="5">
        <f>HAVERM!T42</f>
        <v>4457825</v>
      </c>
      <c r="I46" s="5">
        <f>HAVERM!U42</f>
        <v>1338064</v>
      </c>
      <c r="J46" s="5">
        <f>HAVERM!V42</f>
        <v>2056951</v>
      </c>
      <c r="K46" s="5">
        <f>HAVERM!W42</f>
        <v>1214376</v>
      </c>
      <c r="L46" s="5">
        <f>HAVERM!X42</f>
        <v>1092314</v>
      </c>
      <c r="M46" s="5">
        <f>HAVERM!Y42</f>
        <v>427512</v>
      </c>
      <c r="N46" s="5">
        <f>HAVERM!Z42</f>
        <v>2150718</v>
      </c>
      <c r="O46" s="5">
        <f>HAVERM!AA42</f>
        <v>2487942</v>
      </c>
      <c r="P46" s="5">
        <f>HAVERM!AB42</f>
        <v>1413282</v>
      </c>
      <c r="Q46" s="5">
        <f>HAVERM!AC42</f>
        <v>3043278</v>
      </c>
      <c r="R46" s="5">
        <f>HAVERM!AD42</f>
        <v>3826859</v>
      </c>
      <c r="S46" s="5">
        <f>HAVERM!AE42</f>
        <v>601073</v>
      </c>
      <c r="T46" s="5">
        <f>HAVERM!AF42</f>
        <v>538151</v>
      </c>
      <c r="V46">
        <f t="shared" si="2"/>
        <v>7376035</v>
      </c>
      <c r="W46">
        <f t="shared" si="3"/>
        <v>13192290</v>
      </c>
      <c r="X46">
        <f t="shared" si="4"/>
        <v>8283419</v>
      </c>
      <c r="Y46" s="2" t="b">
        <f t="shared" si="5"/>
        <v>1</v>
      </c>
      <c r="AA46" s="5">
        <f t="shared" si="7"/>
        <v>31.076000000000001</v>
      </c>
      <c r="AB46" s="5">
        <f t="shared" si="8"/>
        <v>10.032999999999999</v>
      </c>
      <c r="AC46" s="5">
        <f t="shared" si="9"/>
        <v>17.036000000000001</v>
      </c>
      <c r="AD46" s="5">
        <f t="shared" si="10"/>
        <v>58.145000000000003</v>
      </c>
    </row>
    <row r="47" spans="1:30" x14ac:dyDescent="0.35">
      <c r="A47" s="4">
        <f>DATE(LEFT(HAVERM!J43,4),RIGHT(HAVERM!J43,2),1)</f>
        <v>43739</v>
      </c>
      <c r="B47" s="5">
        <f>HAVERM!N43</f>
        <v>188366</v>
      </c>
      <c r="C47" s="5">
        <f>HAVERM!O43</f>
        <v>50325</v>
      </c>
      <c r="D47" s="5">
        <f>HAVERM!P43</f>
        <v>2432127</v>
      </c>
      <c r="E47" s="5">
        <f>HAVERM!Q43</f>
        <v>103142</v>
      </c>
      <c r="F47" s="5">
        <f>HAVERM!R43</f>
        <v>180202</v>
      </c>
      <c r="G47" s="5">
        <f>HAVERM!S43</f>
        <v>1247227</v>
      </c>
      <c r="H47" s="5">
        <f>HAVERM!T43</f>
        <v>4454350</v>
      </c>
      <c r="I47" s="5">
        <f>HAVERM!U43</f>
        <v>1338702</v>
      </c>
      <c r="J47" s="5">
        <f>HAVERM!V43</f>
        <v>2059713</v>
      </c>
      <c r="K47" s="5">
        <f>HAVERM!W43</f>
        <v>1216049</v>
      </c>
      <c r="L47" s="5">
        <f>HAVERM!X43</f>
        <v>1089461</v>
      </c>
      <c r="M47" s="5">
        <f>HAVERM!Y43</f>
        <v>427817</v>
      </c>
      <c r="N47" s="5">
        <f>HAVERM!Z43</f>
        <v>2154396</v>
      </c>
      <c r="O47" s="5">
        <f>HAVERM!AA43</f>
        <v>2487549</v>
      </c>
      <c r="P47" s="5">
        <f>HAVERM!AB43</f>
        <v>1413595</v>
      </c>
      <c r="Q47" s="5">
        <f>HAVERM!AC43</f>
        <v>3041759</v>
      </c>
      <c r="R47" s="5">
        <f>HAVERM!AD43</f>
        <v>3834087</v>
      </c>
      <c r="S47" s="5">
        <f>HAVERM!AE43</f>
        <v>600413</v>
      </c>
      <c r="T47" s="5">
        <f>HAVERM!AF43</f>
        <v>538663</v>
      </c>
      <c r="V47">
        <f t="shared" si="2"/>
        <v>7379504</v>
      </c>
      <c r="W47">
        <f t="shared" si="3"/>
        <v>13188998</v>
      </c>
      <c r="X47">
        <f t="shared" si="4"/>
        <v>8289441</v>
      </c>
      <c r="Y47" s="2" t="b">
        <f t="shared" si="5"/>
        <v>1</v>
      </c>
      <c r="AA47" s="5">
        <f t="shared" si="7"/>
        <v>28.802</v>
      </c>
      <c r="AB47" s="5">
        <f t="shared" si="8"/>
        <v>13.536</v>
      </c>
      <c r="AC47" s="5">
        <f t="shared" si="9"/>
        <v>28.25</v>
      </c>
      <c r="AD47" s="5">
        <f t="shared" si="10"/>
        <v>70.587999999999994</v>
      </c>
    </row>
    <row r="48" spans="1:30" x14ac:dyDescent="0.35">
      <c r="A48" s="4">
        <f>DATE(LEFT(HAVERM!J44,4),RIGHT(HAVERM!J44,2),1)</f>
        <v>43770</v>
      </c>
      <c r="B48" s="5">
        <f>HAVERM!N44</f>
        <v>188199</v>
      </c>
      <c r="C48" s="5">
        <f>HAVERM!O44</f>
        <v>50440</v>
      </c>
      <c r="D48" s="5">
        <f>HAVERM!P44</f>
        <v>2430210</v>
      </c>
      <c r="E48" s="5">
        <f>HAVERM!Q44</f>
        <v>103230</v>
      </c>
      <c r="F48" s="5">
        <f>HAVERM!R44</f>
        <v>180293</v>
      </c>
      <c r="G48" s="5">
        <f>HAVERM!S44</f>
        <v>1248832</v>
      </c>
      <c r="H48" s="5">
        <f>HAVERM!T44</f>
        <v>4451348</v>
      </c>
      <c r="I48" s="5">
        <f>HAVERM!U44</f>
        <v>1338710</v>
      </c>
      <c r="J48" s="5">
        <f>HAVERM!V44</f>
        <v>2055348</v>
      </c>
      <c r="K48" s="5">
        <f>HAVERM!W44</f>
        <v>1217834</v>
      </c>
      <c r="L48" s="5">
        <f>HAVERM!X44</f>
        <v>1087972</v>
      </c>
      <c r="M48" s="5">
        <f>HAVERM!Y44</f>
        <v>428297</v>
      </c>
      <c r="N48" s="5">
        <f>HAVERM!Z44</f>
        <v>2156594</v>
      </c>
      <c r="O48" s="5">
        <f>HAVERM!AA44</f>
        <v>2484925</v>
      </c>
      <c r="P48" s="5">
        <f>HAVERM!AB44</f>
        <v>1414639</v>
      </c>
      <c r="Q48" s="5">
        <f>HAVERM!AC44</f>
        <v>3043413</v>
      </c>
      <c r="R48" s="5">
        <f>HAVERM!AD44</f>
        <v>3843903</v>
      </c>
      <c r="S48" s="5">
        <f>HAVERM!AE44</f>
        <v>600451</v>
      </c>
      <c r="T48" s="5">
        <f>HAVERM!AF44</f>
        <v>539298</v>
      </c>
      <c r="V48">
        <f t="shared" si="2"/>
        <v>7383905</v>
      </c>
      <c r="W48">
        <f t="shared" si="3"/>
        <v>13178076</v>
      </c>
      <c r="X48">
        <f t="shared" si="4"/>
        <v>8301955</v>
      </c>
      <c r="Y48" s="2" t="b">
        <f t="shared" si="5"/>
        <v>1</v>
      </c>
      <c r="AA48" s="5">
        <f t="shared" si="7"/>
        <v>19.271000000000001</v>
      </c>
      <c r="AB48" s="5">
        <f t="shared" si="8"/>
        <v>-7.7350000000000003</v>
      </c>
      <c r="AC48" s="5">
        <f t="shared" si="9"/>
        <v>31.17</v>
      </c>
      <c r="AD48" s="5">
        <f t="shared" si="10"/>
        <v>42.706000000000003</v>
      </c>
    </row>
    <row r="49" spans="1:30" x14ac:dyDescent="0.35">
      <c r="A49" s="4">
        <f>DATE(LEFT(HAVERM!J45,4),RIGHT(HAVERM!J45,2),1)</f>
        <v>43800</v>
      </c>
      <c r="B49" s="5">
        <f>HAVERM!N45</f>
        <v>187875</v>
      </c>
      <c r="C49" s="5">
        <f>HAVERM!O45</f>
        <v>50223</v>
      </c>
      <c r="D49" s="5">
        <f>HAVERM!P45</f>
        <v>2410258</v>
      </c>
      <c r="E49" s="5">
        <f>HAVERM!Q45</f>
        <v>103134</v>
      </c>
      <c r="F49" s="5">
        <f>HAVERM!R45</f>
        <v>180036</v>
      </c>
      <c r="G49" s="5">
        <f>HAVERM!S45</f>
        <v>1239124</v>
      </c>
      <c r="H49" s="5">
        <f>HAVERM!T45</f>
        <v>4448882</v>
      </c>
      <c r="I49" s="5">
        <f>HAVERM!U45</f>
        <v>1337904</v>
      </c>
      <c r="J49" s="5">
        <f>HAVERM!V45</f>
        <v>2063627</v>
      </c>
      <c r="K49" s="5">
        <f>HAVERM!W45</f>
        <v>1219668</v>
      </c>
      <c r="L49" s="5">
        <f>HAVERM!X45</f>
        <v>1087611</v>
      </c>
      <c r="M49" s="5">
        <f>HAVERM!Y45</f>
        <v>429211</v>
      </c>
      <c r="N49" s="5">
        <f>HAVERM!Z45</f>
        <v>2160726</v>
      </c>
      <c r="O49" s="5">
        <f>HAVERM!AA45</f>
        <v>2485067</v>
      </c>
      <c r="P49" s="5">
        <f>HAVERM!AB45</f>
        <v>1429575</v>
      </c>
      <c r="Q49" s="5">
        <f>HAVERM!AC45</f>
        <v>3053978</v>
      </c>
      <c r="R49" s="5">
        <f>HAVERM!AD45</f>
        <v>3854073</v>
      </c>
      <c r="S49" s="5">
        <f>HAVERM!AE45</f>
        <v>601133</v>
      </c>
      <c r="T49" s="5">
        <f>HAVERM!AF45</f>
        <v>539058</v>
      </c>
      <c r="V49">
        <f t="shared" si="2"/>
        <v>7378426</v>
      </c>
      <c r="W49">
        <f t="shared" si="3"/>
        <v>13165111</v>
      </c>
      <c r="X49">
        <f t="shared" si="4"/>
        <v>8337626</v>
      </c>
      <c r="Y49" s="2" t="b">
        <f t="shared" si="5"/>
        <v>1</v>
      </c>
      <c r="AA49" s="5">
        <f t="shared" si="7"/>
        <v>2.391</v>
      </c>
      <c r="AB49" s="5">
        <f t="shared" si="8"/>
        <v>-27.178999999999998</v>
      </c>
      <c r="AC49" s="5">
        <f t="shared" si="9"/>
        <v>54.207000000000001</v>
      </c>
      <c r="AD49" s="5">
        <f t="shared" si="10"/>
        <v>29.419000000000004</v>
      </c>
    </row>
    <row r="50" spans="1:30" x14ac:dyDescent="0.35">
      <c r="A50" s="4">
        <f>DATE(LEFT(HAVERM!J46,4),RIGHT(HAVERM!J46,2),1)</f>
        <v>43831</v>
      </c>
      <c r="B50" s="5">
        <f>HAVERM!N46</f>
        <v>187688</v>
      </c>
      <c r="C50" s="5">
        <f>HAVERM!O46</f>
        <v>50534</v>
      </c>
      <c r="D50" s="5">
        <f>HAVERM!P46</f>
        <v>2419164</v>
      </c>
      <c r="E50" s="5">
        <f>HAVERM!Q46</f>
        <v>103198</v>
      </c>
      <c r="F50" s="5">
        <f>HAVERM!R46</f>
        <v>180737</v>
      </c>
      <c r="G50" s="5">
        <f>HAVERM!S46</f>
        <v>1253595</v>
      </c>
      <c r="H50" s="5">
        <f>HAVERM!T46</f>
        <v>4449046</v>
      </c>
      <c r="I50" s="5">
        <f>HAVERM!U46</f>
        <v>1338649</v>
      </c>
      <c r="J50" s="5">
        <f>HAVERM!V46</f>
        <v>2074510</v>
      </c>
      <c r="K50" s="5">
        <f>HAVERM!W46</f>
        <v>1219009</v>
      </c>
      <c r="L50" s="5">
        <f>HAVERM!X46</f>
        <v>1086225</v>
      </c>
      <c r="M50" s="5">
        <f>HAVERM!Y46</f>
        <v>430096</v>
      </c>
      <c r="N50" s="5">
        <f>HAVERM!Z46</f>
        <v>2163518</v>
      </c>
      <c r="O50" s="5">
        <f>HAVERM!AA46</f>
        <v>2480800</v>
      </c>
      <c r="P50" s="5">
        <f>HAVERM!AB46</f>
        <v>1442285</v>
      </c>
      <c r="Q50" s="5">
        <f>HAVERM!AC46</f>
        <v>3055418</v>
      </c>
      <c r="R50" s="5">
        <f>HAVERM!AD46</f>
        <v>3861396</v>
      </c>
      <c r="S50" s="5">
        <f>HAVERM!AE46</f>
        <v>602815</v>
      </c>
      <c r="T50" s="5">
        <f>HAVERM!AF46</f>
        <v>539605</v>
      </c>
      <c r="V50">
        <f t="shared" si="2"/>
        <v>7395465</v>
      </c>
      <c r="W50">
        <f t="shared" si="3"/>
        <v>13183724</v>
      </c>
      <c r="X50">
        <f t="shared" si="4"/>
        <v>8359099</v>
      </c>
      <c r="Y50" s="2" t="b">
        <f t="shared" si="5"/>
        <v>1</v>
      </c>
      <c r="AA50" s="5">
        <f t="shared" si="7"/>
        <v>15.961</v>
      </c>
      <c r="AB50" s="5">
        <f t="shared" si="8"/>
        <v>-5.274</v>
      </c>
      <c r="AC50" s="5">
        <f t="shared" si="9"/>
        <v>69.658000000000001</v>
      </c>
      <c r="AD50" s="5">
        <f t="shared" si="10"/>
        <v>80.344999999999999</v>
      </c>
    </row>
    <row r="51" spans="1:30" x14ac:dyDescent="0.35">
      <c r="A51" s="4">
        <f>DATE(LEFT(HAVERM!J47,4),RIGHT(HAVERM!J47,2),1)</f>
        <v>43862</v>
      </c>
      <c r="B51" s="5">
        <f>HAVERM!N47</f>
        <v>187492</v>
      </c>
      <c r="C51" s="5">
        <f>HAVERM!O47</f>
        <v>50389</v>
      </c>
      <c r="D51" s="5">
        <f>HAVERM!P47</f>
        <v>2416918</v>
      </c>
      <c r="E51" s="5">
        <f>HAVERM!Q47</f>
        <v>103178</v>
      </c>
      <c r="F51" s="5">
        <f>HAVERM!R47</f>
        <v>181206</v>
      </c>
      <c r="G51" s="5">
        <f>HAVERM!S47</f>
        <v>1254828</v>
      </c>
      <c r="H51" s="5">
        <f>HAVERM!T47</f>
        <v>4448939</v>
      </c>
      <c r="I51" s="5">
        <f>HAVERM!U47</f>
        <v>1338349</v>
      </c>
      <c r="J51" s="5">
        <f>HAVERM!V47</f>
        <v>2081207</v>
      </c>
      <c r="K51" s="5">
        <f>HAVERM!W47</f>
        <v>1216971</v>
      </c>
      <c r="L51" s="5">
        <f>HAVERM!X47</f>
        <v>1085331</v>
      </c>
      <c r="M51" s="5">
        <f>HAVERM!Y47</f>
        <v>431217</v>
      </c>
      <c r="N51" s="5">
        <f>HAVERM!Z47</f>
        <v>2166952</v>
      </c>
      <c r="O51" s="5">
        <f>HAVERM!AA47</f>
        <v>2485002</v>
      </c>
      <c r="P51" s="5">
        <f>HAVERM!AB47</f>
        <v>1417307</v>
      </c>
      <c r="Q51" s="5">
        <f>HAVERM!AC47</f>
        <v>3050640</v>
      </c>
      <c r="R51" s="5">
        <f>HAVERM!AD47</f>
        <v>3866766</v>
      </c>
      <c r="S51" s="5">
        <f>HAVERM!AE47</f>
        <v>602826</v>
      </c>
      <c r="T51" s="5">
        <f>HAVERM!AF47</f>
        <v>540940</v>
      </c>
      <c r="V51">
        <f t="shared" si="2"/>
        <v>7397204</v>
      </c>
      <c r="W51">
        <f t="shared" si="3"/>
        <v>13194541</v>
      </c>
      <c r="X51">
        <f t="shared" si="4"/>
        <v>8334713</v>
      </c>
      <c r="Y51" s="2" t="b">
        <f t="shared" si="5"/>
        <v>1</v>
      </c>
      <c r="AA51" s="5">
        <f t="shared" si="7"/>
        <v>13.298999999999999</v>
      </c>
      <c r="AB51" s="5">
        <f t="shared" si="8"/>
        <v>16.465</v>
      </c>
      <c r="AC51" s="5">
        <f t="shared" si="9"/>
        <v>32.758000000000003</v>
      </c>
      <c r="AD51" s="5">
        <f t="shared" si="10"/>
        <v>62.522000000000006</v>
      </c>
    </row>
    <row r="52" spans="1:30" x14ac:dyDescent="0.35">
      <c r="A52" s="4">
        <f>DATE(LEFT(HAVERM!J48,4),RIGHT(HAVERM!J48,2),1)</f>
        <v>43891</v>
      </c>
      <c r="B52" s="5">
        <f>HAVERM!N48</f>
        <v>186877</v>
      </c>
      <c r="C52" s="5">
        <f>HAVERM!O48</f>
        <v>50701</v>
      </c>
      <c r="D52" s="5">
        <f>HAVERM!P48</f>
        <v>2414879</v>
      </c>
      <c r="E52" s="5">
        <f>HAVERM!Q48</f>
        <v>103442</v>
      </c>
      <c r="F52" s="5">
        <f>HAVERM!R48</f>
        <v>181219</v>
      </c>
      <c r="G52" s="5">
        <f>HAVERM!S48</f>
        <v>1256453</v>
      </c>
      <c r="H52" s="5">
        <f>HAVERM!T48</f>
        <v>4459529</v>
      </c>
      <c r="I52" s="5">
        <f>HAVERM!U48</f>
        <v>1337147</v>
      </c>
      <c r="J52" s="5">
        <f>HAVERM!V48</f>
        <v>2053658</v>
      </c>
      <c r="K52" s="5">
        <f>HAVERM!W48</f>
        <v>1215837</v>
      </c>
      <c r="L52" s="5">
        <f>HAVERM!X48</f>
        <v>1086994</v>
      </c>
      <c r="M52" s="5">
        <f>HAVERM!Y48</f>
        <v>431389</v>
      </c>
      <c r="N52" s="5">
        <f>HAVERM!Z48</f>
        <v>2170081</v>
      </c>
      <c r="O52" s="5">
        <f>HAVERM!AA48</f>
        <v>2464940</v>
      </c>
      <c r="P52" s="5">
        <f>HAVERM!AB48</f>
        <v>1418278</v>
      </c>
      <c r="Q52" s="5">
        <f>HAVERM!AC48</f>
        <v>3052091</v>
      </c>
      <c r="R52" s="5">
        <f>HAVERM!AD48</f>
        <v>3877042</v>
      </c>
      <c r="S52" s="5">
        <f>HAVERM!AE48</f>
        <v>593881</v>
      </c>
      <c r="T52" s="5">
        <f>HAVERM!AF48</f>
        <v>537870</v>
      </c>
      <c r="V52">
        <f t="shared" si="2"/>
        <v>7401874</v>
      </c>
      <c r="W52">
        <f t="shared" si="3"/>
        <v>13143023</v>
      </c>
      <c r="X52">
        <f t="shared" si="4"/>
        <v>8347411</v>
      </c>
      <c r="Y52" s="2" t="b">
        <f t="shared" si="5"/>
        <v>1</v>
      </c>
      <c r="AA52" s="5">
        <f t="shared" si="7"/>
        <v>23.448</v>
      </c>
      <c r="AB52" s="5">
        <f t="shared" si="8"/>
        <v>-22.088000000000001</v>
      </c>
      <c r="AC52" s="5">
        <f t="shared" si="9"/>
        <v>9.7850000000000001</v>
      </c>
      <c r="AD52" s="5">
        <f t="shared" si="10"/>
        <v>11.145</v>
      </c>
    </row>
    <row r="53" spans="1:30" x14ac:dyDescent="0.35">
      <c r="A53" s="4">
        <f>DATE(LEFT(HAVERM!J49,4),RIGHT(HAVERM!J49,2),1)</f>
        <v>43922</v>
      </c>
      <c r="B53" s="5">
        <f>HAVERM!N49</f>
        <v>184131</v>
      </c>
      <c r="C53" s="5">
        <f>HAVERM!O49</f>
        <v>50818</v>
      </c>
      <c r="D53" s="5">
        <f>HAVERM!P49</f>
        <v>2390310</v>
      </c>
      <c r="E53" s="5">
        <f>HAVERM!Q49</f>
        <v>103139</v>
      </c>
      <c r="F53" s="5">
        <f>HAVERM!R49</f>
        <v>179538</v>
      </c>
      <c r="G53" s="5">
        <f>HAVERM!S49</f>
        <v>1239828</v>
      </c>
      <c r="H53" s="5">
        <f>HAVERM!T49</f>
        <v>4439879</v>
      </c>
      <c r="I53" s="5">
        <f>HAVERM!U49</f>
        <v>1323469</v>
      </c>
      <c r="J53" s="5">
        <f>HAVERM!V49</f>
        <v>1949031</v>
      </c>
      <c r="K53" s="5">
        <f>HAVERM!W49</f>
        <v>1204595</v>
      </c>
      <c r="L53" s="5">
        <f>HAVERM!X49</f>
        <v>1074368</v>
      </c>
      <c r="M53" s="5">
        <f>HAVERM!Y49</f>
        <v>426596</v>
      </c>
      <c r="N53" s="5">
        <f>HAVERM!Z49</f>
        <v>2146053</v>
      </c>
      <c r="O53" s="5">
        <f>HAVERM!AA49</f>
        <v>2342560</v>
      </c>
      <c r="P53" s="5">
        <f>HAVERM!AB49</f>
        <v>1416908</v>
      </c>
      <c r="Q53" s="5">
        <f>HAVERM!AC49</f>
        <v>3021799</v>
      </c>
      <c r="R53" s="5">
        <f>HAVERM!AD49</f>
        <v>3871910</v>
      </c>
      <c r="S53" s="5">
        <f>HAVERM!AE49</f>
        <v>563745</v>
      </c>
      <c r="T53" s="5">
        <f>HAVERM!AF49</f>
        <v>525211</v>
      </c>
      <c r="V53">
        <f t="shared" si="2"/>
        <v>7321808</v>
      </c>
      <c r="W53">
        <f t="shared" si="3"/>
        <v>12821463</v>
      </c>
      <c r="X53">
        <f t="shared" si="4"/>
        <v>8310617</v>
      </c>
      <c r="Y53" s="2" t="b">
        <f t="shared" si="5"/>
        <v>1</v>
      </c>
      <c r="AA53" s="5">
        <f t="shared" si="7"/>
        <v>-73.656999999999996</v>
      </c>
      <c r="AB53" s="5">
        <f t="shared" si="8"/>
        <v>-362.26100000000002</v>
      </c>
      <c r="AC53" s="5">
        <f t="shared" si="9"/>
        <v>-48.481999999999999</v>
      </c>
      <c r="AD53" s="5">
        <f t="shared" si="10"/>
        <v>-484.4</v>
      </c>
    </row>
    <row r="54" spans="1:30" x14ac:dyDescent="0.35">
      <c r="A54" s="4">
        <f>DATE(LEFT(HAVERM!J50,4),RIGHT(HAVERM!J50,2),1)</f>
        <v>43952</v>
      </c>
      <c r="B54" s="5">
        <f>HAVERM!N50</f>
        <v>184065</v>
      </c>
      <c r="C54" s="5">
        <f>HAVERM!O50</f>
        <v>50674</v>
      </c>
      <c r="D54" s="5">
        <f>HAVERM!P50</f>
        <v>2383063</v>
      </c>
      <c r="E54" s="5">
        <f>HAVERM!Q50</f>
        <v>103076</v>
      </c>
      <c r="F54" s="5">
        <f>HAVERM!R50</f>
        <v>179146</v>
      </c>
      <c r="G54" s="5">
        <f>HAVERM!S50</f>
        <v>1238642</v>
      </c>
      <c r="H54" s="5">
        <f>HAVERM!T50</f>
        <v>4426288</v>
      </c>
      <c r="I54" s="5">
        <f>HAVERM!U50</f>
        <v>1319749</v>
      </c>
      <c r="J54" s="5">
        <f>HAVERM!V50</f>
        <v>1927089</v>
      </c>
      <c r="K54" s="5">
        <f>HAVERM!W50</f>
        <v>1199184</v>
      </c>
      <c r="L54" s="5">
        <f>HAVERM!X50</f>
        <v>1071713</v>
      </c>
      <c r="M54" s="5">
        <f>HAVERM!Y50</f>
        <v>424208</v>
      </c>
      <c r="N54" s="5">
        <f>HAVERM!Z50</f>
        <v>2137207</v>
      </c>
      <c r="O54" s="5">
        <f>HAVERM!AA50</f>
        <v>2329822</v>
      </c>
      <c r="P54" s="5">
        <f>HAVERM!AB50</f>
        <v>1396912</v>
      </c>
      <c r="Q54" s="5">
        <f>HAVERM!AC50</f>
        <v>2979036</v>
      </c>
      <c r="R54" s="5">
        <f>HAVERM!AD50</f>
        <v>3873328</v>
      </c>
      <c r="S54" s="5">
        <f>HAVERM!AE50</f>
        <v>559274</v>
      </c>
      <c r="T54" s="5">
        <f>HAVERM!AF50</f>
        <v>520897</v>
      </c>
      <c r="V54">
        <f t="shared" si="2"/>
        <v>7299391</v>
      </c>
      <c r="W54">
        <f t="shared" si="3"/>
        <v>12754706</v>
      </c>
      <c r="X54">
        <f t="shared" si="4"/>
        <v>8249276</v>
      </c>
      <c r="Y54" s="2" t="b">
        <f t="shared" si="5"/>
        <v>1</v>
      </c>
      <c r="AA54" s="5">
        <f t="shared" si="7"/>
        <v>-97.813000000000002</v>
      </c>
      <c r="AB54" s="5">
        <f t="shared" si="8"/>
        <v>-439.83499999999998</v>
      </c>
      <c r="AC54" s="5">
        <f t="shared" si="9"/>
        <v>-85.436999999999998</v>
      </c>
      <c r="AD54" s="5">
        <f t="shared" si="10"/>
        <v>-623.08500000000004</v>
      </c>
    </row>
    <row r="55" spans="1:30" x14ac:dyDescent="0.35">
      <c r="A55" s="4">
        <f>DATE(LEFT(HAVERM!J51,4),RIGHT(HAVERM!J51,2),1)</f>
        <v>43983</v>
      </c>
      <c r="B55" s="5">
        <f>HAVERM!N51</f>
        <v>184068</v>
      </c>
      <c r="C55" s="5">
        <f>HAVERM!O51</f>
        <v>50459</v>
      </c>
      <c r="D55" s="5">
        <f>HAVERM!P51</f>
        <v>2374890</v>
      </c>
      <c r="E55" s="5">
        <f>HAVERM!Q51</f>
        <v>102939</v>
      </c>
      <c r="F55" s="5">
        <f>HAVERM!R51</f>
        <v>179055</v>
      </c>
      <c r="G55" s="5">
        <f>HAVERM!S51</f>
        <v>1239427</v>
      </c>
      <c r="H55" s="5">
        <f>HAVERM!T51</f>
        <v>4412629</v>
      </c>
      <c r="I55" s="5">
        <f>HAVERM!U51</f>
        <v>1318385</v>
      </c>
      <c r="J55" s="5">
        <f>HAVERM!V51</f>
        <v>1902289</v>
      </c>
      <c r="K55" s="5">
        <f>HAVERM!W51</f>
        <v>1195648</v>
      </c>
      <c r="L55" s="5">
        <f>HAVERM!X51</f>
        <v>1068453</v>
      </c>
      <c r="M55" s="5">
        <f>HAVERM!Y51</f>
        <v>423463</v>
      </c>
      <c r="N55" s="5">
        <f>HAVERM!Z51</f>
        <v>2133649</v>
      </c>
      <c r="O55" s="5">
        <f>HAVERM!AA51</f>
        <v>2340974</v>
      </c>
      <c r="P55" s="5">
        <f>HAVERM!AB51</f>
        <v>1396804</v>
      </c>
      <c r="Q55" s="5">
        <f>HAVERM!AC51</f>
        <v>2966804</v>
      </c>
      <c r="R55" s="5">
        <f>HAVERM!AD51</f>
        <v>3885617</v>
      </c>
      <c r="S55" s="5">
        <f>HAVERM!AE51</f>
        <v>556305</v>
      </c>
      <c r="T55" s="5">
        <f>HAVERM!AF51</f>
        <v>517035</v>
      </c>
      <c r="V55">
        <f t="shared" si="2"/>
        <v>7288015</v>
      </c>
      <c r="W55">
        <f t="shared" si="3"/>
        <v>12711653</v>
      </c>
      <c r="X55">
        <f t="shared" si="4"/>
        <v>8249225</v>
      </c>
      <c r="Y55" s="2" t="b">
        <f t="shared" si="5"/>
        <v>1</v>
      </c>
      <c r="AA55" s="5">
        <f t="shared" si="7"/>
        <v>-113.85899999999999</v>
      </c>
      <c r="AB55" s="5">
        <f t="shared" si="8"/>
        <v>-431.37</v>
      </c>
      <c r="AC55" s="5">
        <f t="shared" si="9"/>
        <v>-98.186000000000007</v>
      </c>
      <c r="AD55" s="5">
        <f t="shared" si="10"/>
        <v>-643.41500000000008</v>
      </c>
    </row>
    <row r="56" spans="1:30" x14ac:dyDescent="0.35">
      <c r="A56" s="4">
        <f>DATE(LEFT(HAVERM!J52,4),RIGHT(HAVERM!J52,2),1)</f>
        <v>44013</v>
      </c>
      <c r="B56" s="5">
        <f>HAVERM!N52</f>
        <v>183638</v>
      </c>
      <c r="C56" s="5">
        <f>HAVERM!O52</f>
        <v>50052</v>
      </c>
      <c r="D56" s="5">
        <f>HAVERM!P52</f>
        <v>2365521</v>
      </c>
      <c r="E56" s="5">
        <f>HAVERM!Q52</f>
        <v>102659</v>
      </c>
      <c r="F56" s="5">
        <f>HAVERM!R52</f>
        <v>179012</v>
      </c>
      <c r="G56" s="5">
        <f>HAVERM!S52</f>
        <v>1241032</v>
      </c>
      <c r="H56" s="5">
        <f>HAVERM!T52</f>
        <v>4399467</v>
      </c>
      <c r="I56" s="5">
        <f>HAVERM!U52</f>
        <v>1319433</v>
      </c>
      <c r="J56" s="5">
        <f>HAVERM!V52</f>
        <v>1894756</v>
      </c>
      <c r="K56" s="5">
        <f>HAVERM!W52</f>
        <v>1191537</v>
      </c>
      <c r="L56" s="5">
        <f>HAVERM!X52</f>
        <v>1063484</v>
      </c>
      <c r="M56" s="5">
        <f>HAVERM!Y52</f>
        <v>422716</v>
      </c>
      <c r="N56" s="5">
        <f>HAVERM!Z52</f>
        <v>2128530</v>
      </c>
      <c r="O56" s="5">
        <f>HAVERM!AA52</f>
        <v>2339078</v>
      </c>
      <c r="P56" s="5">
        <f>HAVERM!AB52</f>
        <v>1415305</v>
      </c>
      <c r="Q56" s="5">
        <f>HAVERM!AC52</f>
        <v>2957509</v>
      </c>
      <c r="R56" s="5">
        <f>HAVERM!AD52</f>
        <v>3896807</v>
      </c>
      <c r="S56" s="5">
        <f>HAVERM!AE52</f>
        <v>549720</v>
      </c>
      <c r="T56" s="5">
        <f>HAVERM!AF52</f>
        <v>515717</v>
      </c>
      <c r="V56">
        <f t="shared" si="2"/>
        <v>7275739</v>
      </c>
      <c r="W56">
        <f t="shared" si="3"/>
        <v>12670613</v>
      </c>
      <c r="X56">
        <f t="shared" si="4"/>
        <v>8269621</v>
      </c>
      <c r="Y56" s="2" t="b">
        <f t="shared" si="5"/>
        <v>1</v>
      </c>
      <c r="AA56" s="5">
        <f t="shared" si="7"/>
        <v>-46.069000000000003</v>
      </c>
      <c r="AB56" s="5">
        <f t="shared" si="8"/>
        <v>-150.85</v>
      </c>
      <c r="AC56" s="5">
        <f t="shared" si="9"/>
        <v>-40.996000000000002</v>
      </c>
      <c r="AD56" s="5">
        <f t="shared" si="10"/>
        <v>-237.91499999999999</v>
      </c>
    </row>
    <row r="57" spans="1:30" x14ac:dyDescent="0.35">
      <c r="A57" s="4">
        <f>DATE(LEFT(HAVERM!J53,4),RIGHT(HAVERM!J53,2),1)</f>
        <v>44044</v>
      </c>
      <c r="B57" s="5">
        <f>HAVERM!N53</f>
        <v>183410</v>
      </c>
      <c r="C57" s="5">
        <f>HAVERM!O53</f>
        <v>49187</v>
      </c>
      <c r="D57" s="5">
        <f>HAVERM!P53</f>
        <v>2344452</v>
      </c>
      <c r="E57" s="5">
        <f>HAVERM!Q53</f>
        <v>102403</v>
      </c>
      <c r="F57" s="5">
        <f>HAVERM!R53</f>
        <v>178837</v>
      </c>
      <c r="G57" s="5">
        <f>HAVERM!S53</f>
        <v>1235479</v>
      </c>
      <c r="H57" s="5">
        <f>HAVERM!T53</f>
        <v>4372072</v>
      </c>
      <c r="I57" s="5">
        <f>HAVERM!U53</f>
        <v>1322316</v>
      </c>
      <c r="J57" s="5">
        <f>HAVERM!V53</f>
        <v>1871737</v>
      </c>
      <c r="K57" s="5">
        <f>HAVERM!W53</f>
        <v>1188503</v>
      </c>
      <c r="L57" s="5">
        <f>HAVERM!X53</f>
        <v>1060674</v>
      </c>
      <c r="M57" s="5">
        <f>HAVERM!Y53</f>
        <v>421728</v>
      </c>
      <c r="N57" s="5">
        <f>HAVERM!Z53</f>
        <v>2124888</v>
      </c>
      <c r="O57" s="5">
        <f>HAVERM!AA53</f>
        <v>2342297</v>
      </c>
      <c r="P57" s="5">
        <f>HAVERM!AB53</f>
        <v>1423150</v>
      </c>
      <c r="Q57" s="5">
        <f>HAVERM!AC53</f>
        <v>2990493</v>
      </c>
      <c r="R57" s="5">
        <f>HAVERM!AD53</f>
        <v>3898707</v>
      </c>
      <c r="S57" s="5">
        <f>HAVERM!AE53</f>
        <v>526500</v>
      </c>
      <c r="T57" s="5">
        <f>HAVERM!AF53</f>
        <v>512261</v>
      </c>
      <c r="V57">
        <f t="shared" si="2"/>
        <v>7262287</v>
      </c>
      <c r="W57">
        <f t="shared" si="3"/>
        <v>12574457</v>
      </c>
      <c r="X57">
        <f t="shared" si="4"/>
        <v>8312350</v>
      </c>
      <c r="Y57" s="2" t="b">
        <f t="shared" si="5"/>
        <v>1</v>
      </c>
      <c r="AA57" s="5">
        <f t="shared" si="7"/>
        <v>-37.103999999999999</v>
      </c>
      <c r="AB57" s="5">
        <f t="shared" si="8"/>
        <v>-180.249</v>
      </c>
      <c r="AC57" s="5">
        <f t="shared" si="9"/>
        <v>63.073999999999998</v>
      </c>
      <c r="AD57" s="5">
        <f t="shared" si="10"/>
        <v>-154.279</v>
      </c>
    </row>
    <row r="58" spans="1:30" x14ac:dyDescent="0.35">
      <c r="A58" s="4">
        <f>DATE(LEFT(HAVERM!J54,4),RIGHT(HAVERM!J54,2),1)</f>
        <v>44075</v>
      </c>
      <c r="B58" s="5">
        <f>HAVERM!N54</f>
        <v>184190</v>
      </c>
      <c r="C58" s="5">
        <f>HAVERM!O54</f>
        <v>48613</v>
      </c>
      <c r="D58" s="5">
        <f>HAVERM!P54</f>
        <v>2327138</v>
      </c>
      <c r="E58" s="5">
        <f>HAVERM!Q54</f>
        <v>102166</v>
      </c>
      <c r="F58" s="5">
        <f>HAVERM!R54</f>
        <v>179142</v>
      </c>
      <c r="G58" s="5">
        <f>HAVERM!S54</f>
        <v>1235467</v>
      </c>
      <c r="H58" s="5">
        <f>HAVERM!T54</f>
        <v>4349127</v>
      </c>
      <c r="I58" s="5">
        <f>HAVERM!U54</f>
        <v>1320343</v>
      </c>
      <c r="J58" s="5">
        <f>HAVERM!V54</f>
        <v>1856494</v>
      </c>
      <c r="K58" s="5">
        <f>HAVERM!W54</f>
        <v>1186310</v>
      </c>
      <c r="L58" s="5">
        <f>HAVERM!X54</f>
        <v>1059466</v>
      </c>
      <c r="M58" s="5">
        <f>HAVERM!Y54</f>
        <v>422071</v>
      </c>
      <c r="N58" s="5">
        <f>HAVERM!Z54</f>
        <v>2116319</v>
      </c>
      <c r="O58" s="5">
        <f>HAVERM!AA54</f>
        <v>2321486</v>
      </c>
      <c r="P58" s="5">
        <f>HAVERM!AB54</f>
        <v>1431135</v>
      </c>
      <c r="Q58" s="5">
        <f>HAVERM!AC54</f>
        <v>3024653</v>
      </c>
      <c r="R58" s="5">
        <f>HAVERM!AD54</f>
        <v>3903850</v>
      </c>
      <c r="S58" s="5">
        <f>HAVERM!AE54</f>
        <v>509310</v>
      </c>
      <c r="T58" s="5">
        <f>HAVERM!AF54</f>
        <v>508328</v>
      </c>
      <c r="V58">
        <f t="shared" si="2"/>
        <v>7247826</v>
      </c>
      <c r="W58">
        <f t="shared" si="3"/>
        <v>12478144</v>
      </c>
      <c r="X58">
        <f t="shared" si="4"/>
        <v>8359638</v>
      </c>
      <c r="Y58" s="2" t="b">
        <f t="shared" si="5"/>
        <v>1</v>
      </c>
      <c r="AA58" s="5">
        <f t="shared" si="7"/>
        <v>-40.189</v>
      </c>
      <c r="AB58" s="5">
        <f t="shared" si="8"/>
        <v>-233.50899999999999</v>
      </c>
      <c r="AC58" s="5">
        <f t="shared" si="9"/>
        <v>110.413</v>
      </c>
      <c r="AD58" s="5">
        <f t="shared" si="10"/>
        <v>-163.28499999999997</v>
      </c>
    </row>
    <row r="59" spans="1:30" x14ac:dyDescent="0.35">
      <c r="A59" s="4">
        <f>DATE(LEFT(HAVERM!J55,4),RIGHT(HAVERM!J55,2),1)</f>
        <v>44105</v>
      </c>
      <c r="B59" s="5">
        <f>HAVERM!N55</f>
        <v>184320</v>
      </c>
      <c r="C59" s="5">
        <f>HAVERM!O55</f>
        <v>48286</v>
      </c>
      <c r="D59" s="5">
        <f>HAVERM!P55</f>
        <v>2317047</v>
      </c>
      <c r="E59" s="5">
        <f>HAVERM!Q55</f>
        <v>102031</v>
      </c>
      <c r="F59" s="5">
        <f>HAVERM!R55</f>
        <v>179870</v>
      </c>
      <c r="G59" s="5">
        <f>HAVERM!S55</f>
        <v>1239660</v>
      </c>
      <c r="H59" s="5">
        <f>HAVERM!T55</f>
        <v>4340475</v>
      </c>
      <c r="I59" s="5">
        <f>HAVERM!U55</f>
        <v>1320978</v>
      </c>
      <c r="J59" s="5">
        <f>HAVERM!V55</f>
        <v>1831138</v>
      </c>
      <c r="K59" s="5">
        <f>HAVERM!W55</f>
        <v>1184918</v>
      </c>
      <c r="L59" s="5">
        <f>HAVERM!X55</f>
        <v>1057477</v>
      </c>
      <c r="M59" s="5">
        <f>HAVERM!Y55</f>
        <v>422410</v>
      </c>
      <c r="N59" s="5">
        <f>HAVERM!Z55</f>
        <v>2117934</v>
      </c>
      <c r="O59" s="5">
        <f>HAVERM!AA55</f>
        <v>2334517</v>
      </c>
      <c r="P59" s="5">
        <f>HAVERM!AB55</f>
        <v>1433773</v>
      </c>
      <c r="Q59" s="5">
        <f>HAVERM!AC55</f>
        <v>3018366</v>
      </c>
      <c r="R59" s="5">
        <f>HAVERM!AD55</f>
        <v>3910915</v>
      </c>
      <c r="S59" s="5">
        <f>HAVERM!AE55</f>
        <v>503606</v>
      </c>
      <c r="T59" s="5">
        <f>HAVERM!AF55</f>
        <v>506123</v>
      </c>
      <c r="V59">
        <f t="shared" si="2"/>
        <v>7251154</v>
      </c>
      <c r="W59">
        <f t="shared" si="3"/>
        <v>12439636</v>
      </c>
      <c r="X59">
        <f t="shared" si="4"/>
        <v>8363054</v>
      </c>
      <c r="Y59" s="2" t="b">
        <f t="shared" si="5"/>
        <v>1</v>
      </c>
      <c r="AA59" s="5">
        <f t="shared" si="7"/>
        <v>-24.585000000000001</v>
      </c>
      <c r="AB59" s="5">
        <f t="shared" si="8"/>
        <v>-230.977</v>
      </c>
      <c r="AC59" s="5">
        <f t="shared" si="9"/>
        <v>93.433000000000007</v>
      </c>
      <c r="AD59" s="5">
        <f t="shared" si="10"/>
        <v>-162.12900000000002</v>
      </c>
    </row>
    <row r="60" spans="1:30" x14ac:dyDescent="0.35">
      <c r="A60" s="4">
        <f>DATE(LEFT(HAVERM!J56,4),RIGHT(HAVERM!J56,2),1)</f>
        <v>44136</v>
      </c>
      <c r="B60" s="5">
        <f>HAVERM!N56</f>
        <v>183769</v>
      </c>
      <c r="C60" s="5">
        <f>HAVERM!O56</f>
        <v>48293</v>
      </c>
      <c r="D60" s="5">
        <f>HAVERM!P56</f>
        <v>2307118</v>
      </c>
      <c r="E60" s="5">
        <f>HAVERM!Q56</f>
        <v>102078</v>
      </c>
      <c r="F60" s="5">
        <f>HAVERM!R56</f>
        <v>180386</v>
      </c>
      <c r="G60" s="5">
        <f>HAVERM!S56</f>
        <v>1245963</v>
      </c>
      <c r="H60" s="5">
        <f>HAVERM!T56</f>
        <v>4304020</v>
      </c>
      <c r="I60" s="5">
        <f>HAVERM!U56</f>
        <v>1325097</v>
      </c>
      <c r="J60" s="5">
        <f>HAVERM!V56</f>
        <v>1767304</v>
      </c>
      <c r="K60" s="5">
        <f>HAVERM!W56</f>
        <v>1185347</v>
      </c>
      <c r="L60" s="5">
        <f>HAVERM!X56</f>
        <v>1055973</v>
      </c>
      <c r="M60" s="5">
        <f>HAVERM!Y56</f>
        <v>422578</v>
      </c>
      <c r="N60" s="5">
        <f>HAVERM!Z56</f>
        <v>2118948</v>
      </c>
      <c r="O60" s="5">
        <f>HAVERM!AA56</f>
        <v>2353457</v>
      </c>
      <c r="P60" s="5">
        <f>HAVERM!AB56</f>
        <v>1438356</v>
      </c>
      <c r="Q60" s="5">
        <f>HAVERM!AC56</f>
        <v>3014324</v>
      </c>
      <c r="R60" s="5">
        <f>HAVERM!AD56</f>
        <v>3928795</v>
      </c>
      <c r="S60" s="5">
        <f>HAVERM!AE56</f>
        <v>495371</v>
      </c>
      <c r="T60" s="5">
        <f>HAVERM!AF56</f>
        <v>501070</v>
      </c>
      <c r="V60">
        <f t="shared" si="2"/>
        <v>7262085</v>
      </c>
      <c r="W60">
        <f t="shared" si="3"/>
        <v>12334687</v>
      </c>
      <c r="X60">
        <f t="shared" si="4"/>
        <v>8381475</v>
      </c>
      <c r="Y60" s="2" t="b">
        <f t="shared" si="5"/>
        <v>1</v>
      </c>
      <c r="AA60" s="5">
        <f t="shared" si="7"/>
        <v>-0.20200000000000001</v>
      </c>
      <c r="AB60" s="5">
        <f t="shared" si="8"/>
        <v>-239.77</v>
      </c>
      <c r="AC60" s="5">
        <f t="shared" si="9"/>
        <v>69.125</v>
      </c>
      <c r="AD60" s="5">
        <f t="shared" si="10"/>
        <v>-170.84700000000001</v>
      </c>
    </row>
    <row r="61" spans="1:30" x14ac:dyDescent="0.35">
      <c r="A61" s="4">
        <f>DATE(LEFT(HAVERM!J57,4),RIGHT(HAVERM!J57,2),1)</f>
        <v>44166</v>
      </c>
      <c r="B61" s="5">
        <f>HAVERM!N57</f>
        <v>185561</v>
      </c>
      <c r="C61" s="5">
        <f>HAVERM!O57</f>
        <v>48316</v>
      </c>
      <c r="D61" s="5">
        <f>HAVERM!P57</f>
        <v>2301006</v>
      </c>
      <c r="E61" s="5">
        <f>HAVERM!Q57</f>
        <v>102028</v>
      </c>
      <c r="F61" s="5">
        <f>HAVERM!R57</f>
        <v>181253</v>
      </c>
      <c r="G61" s="5">
        <f>HAVERM!S57</f>
        <v>1244686</v>
      </c>
      <c r="H61" s="5">
        <f>HAVERM!T57</f>
        <v>4309640</v>
      </c>
      <c r="I61" s="5">
        <f>HAVERM!U57</f>
        <v>1328847</v>
      </c>
      <c r="J61" s="5">
        <f>HAVERM!V57</f>
        <v>1744365</v>
      </c>
      <c r="K61" s="5">
        <f>HAVERM!W57</f>
        <v>1188046</v>
      </c>
      <c r="L61" s="5">
        <f>HAVERM!X57</f>
        <v>1055110</v>
      </c>
      <c r="M61" s="5">
        <f>HAVERM!Y57</f>
        <v>423728</v>
      </c>
      <c r="N61" s="5">
        <f>HAVERM!Z57</f>
        <v>2128000</v>
      </c>
      <c r="O61" s="5">
        <f>HAVERM!AA57</f>
        <v>2368635</v>
      </c>
      <c r="P61" s="5">
        <f>HAVERM!AB57</f>
        <v>1443127</v>
      </c>
      <c r="Q61" s="5">
        <f>HAVERM!AC57</f>
        <v>3019937</v>
      </c>
      <c r="R61" s="5">
        <f>HAVERM!AD57</f>
        <v>3944701</v>
      </c>
      <c r="S61" s="5">
        <f>HAVERM!AE57</f>
        <v>493600</v>
      </c>
      <c r="T61" s="5">
        <f>HAVERM!AF57</f>
        <v>502582</v>
      </c>
      <c r="V61">
        <f t="shared" si="2"/>
        <v>7276286</v>
      </c>
      <c r="W61">
        <f t="shared" si="3"/>
        <v>12329117</v>
      </c>
      <c r="X61">
        <f t="shared" si="4"/>
        <v>8407765</v>
      </c>
      <c r="Y61" s="2" t="b">
        <f t="shared" si="5"/>
        <v>1</v>
      </c>
      <c r="AA61" s="5">
        <f t="shared" si="7"/>
        <v>28.46</v>
      </c>
      <c r="AB61" s="5">
        <f t="shared" si="8"/>
        <v>-149.02699999999999</v>
      </c>
      <c r="AC61" s="5">
        <f t="shared" si="9"/>
        <v>48.127000000000002</v>
      </c>
      <c r="AD61" s="5">
        <f t="shared" si="10"/>
        <v>-72.439999999999969</v>
      </c>
    </row>
    <row r="62" spans="1:30" x14ac:dyDescent="0.35">
      <c r="A62" s="4">
        <f>DATE(LEFT(HAVERM!J58,4),RIGHT(HAVERM!J58,2),1)</f>
        <v>44197</v>
      </c>
      <c r="B62" s="5">
        <f>HAVERM!N58</f>
        <v>184506</v>
      </c>
      <c r="C62" s="5">
        <f>HAVERM!O58</f>
        <v>48256</v>
      </c>
      <c r="D62" s="5">
        <f>HAVERM!P58</f>
        <v>2305677</v>
      </c>
      <c r="E62" s="5">
        <f>HAVERM!Q58</f>
        <v>101884</v>
      </c>
      <c r="F62" s="5">
        <f>HAVERM!R58</f>
        <v>181584</v>
      </c>
      <c r="G62" s="5">
        <f>HAVERM!S58</f>
        <v>1261782</v>
      </c>
      <c r="H62" s="5">
        <f>HAVERM!T58</f>
        <v>4302136</v>
      </c>
      <c r="I62" s="5">
        <f>HAVERM!U58</f>
        <v>1326984</v>
      </c>
      <c r="J62" s="5">
        <f>HAVERM!V58</f>
        <v>1749578</v>
      </c>
      <c r="K62" s="5">
        <f>HAVERM!W58</f>
        <v>1188657</v>
      </c>
      <c r="L62" s="5">
        <f>HAVERM!X58</f>
        <v>1052282</v>
      </c>
      <c r="M62" s="5">
        <f>HAVERM!Y58</f>
        <v>423598</v>
      </c>
      <c r="N62" s="5">
        <f>HAVERM!Z58</f>
        <v>2134580</v>
      </c>
      <c r="O62" s="5">
        <f>HAVERM!AA58</f>
        <v>2383337</v>
      </c>
      <c r="P62" s="5">
        <f>HAVERM!AB58</f>
        <v>1447201</v>
      </c>
      <c r="Q62" s="5">
        <f>HAVERM!AC58</f>
        <v>3014187</v>
      </c>
      <c r="R62" s="5">
        <f>HAVERM!AD58</f>
        <v>3954441</v>
      </c>
      <c r="S62" s="5">
        <f>HAVERM!AE58</f>
        <v>491527</v>
      </c>
      <c r="T62" s="5">
        <f>HAVERM!AF58</f>
        <v>499159</v>
      </c>
      <c r="V62">
        <f t="shared" si="2"/>
        <v>7296009</v>
      </c>
      <c r="W62">
        <f t="shared" si="3"/>
        <v>12339518</v>
      </c>
      <c r="X62">
        <f t="shared" si="4"/>
        <v>8415829</v>
      </c>
      <c r="Y62" s="2" t="b">
        <f t="shared" si="5"/>
        <v>1</v>
      </c>
      <c r="AA62" s="5">
        <f t="shared" si="7"/>
        <v>44.854999999999997</v>
      </c>
      <c r="AB62" s="5">
        <f t="shared" si="8"/>
        <v>-100.11799999999999</v>
      </c>
      <c r="AC62" s="5">
        <f t="shared" si="9"/>
        <v>52.774999999999999</v>
      </c>
      <c r="AD62" s="5">
        <f t="shared" si="10"/>
        <v>-2.4879999999999995</v>
      </c>
    </row>
    <row r="63" spans="1:30" x14ac:dyDescent="0.35">
      <c r="A63" s="4">
        <f>DATE(LEFT(HAVERM!J59,4),RIGHT(HAVERM!J59,2),1)</f>
        <v>44228</v>
      </c>
      <c r="B63" s="5">
        <f>HAVERM!N59</f>
        <v>184783</v>
      </c>
      <c r="C63" s="5">
        <f>HAVERM!O59</f>
        <v>48183</v>
      </c>
      <c r="D63" s="5">
        <f>HAVERM!P59</f>
        <v>2303863</v>
      </c>
      <c r="E63" s="5">
        <f>HAVERM!Q59</f>
        <v>101307</v>
      </c>
      <c r="F63" s="5">
        <f>HAVERM!R59</f>
        <v>181689</v>
      </c>
      <c r="G63" s="5">
        <f>HAVERM!S59</f>
        <v>1262514</v>
      </c>
      <c r="H63" s="5">
        <f>HAVERM!T59</f>
        <v>4307814</v>
      </c>
      <c r="I63" s="5">
        <f>HAVERM!U59</f>
        <v>1329126</v>
      </c>
      <c r="J63" s="5">
        <f>HAVERM!V59</f>
        <v>1739303</v>
      </c>
      <c r="K63" s="5">
        <f>HAVERM!W59</f>
        <v>1190354</v>
      </c>
      <c r="L63" s="5">
        <f>HAVERM!X59</f>
        <v>1050541</v>
      </c>
      <c r="M63" s="5">
        <f>HAVERM!Y59</f>
        <v>424284</v>
      </c>
      <c r="N63" s="5">
        <f>HAVERM!Z59</f>
        <v>2141966</v>
      </c>
      <c r="O63" s="5">
        <f>HAVERM!AA59</f>
        <v>2383093</v>
      </c>
      <c r="P63" s="5">
        <f>HAVERM!AB59</f>
        <v>1450221</v>
      </c>
      <c r="Q63" s="5">
        <f>HAVERM!AC59</f>
        <v>2997423</v>
      </c>
      <c r="R63" s="5">
        <f>HAVERM!AD59</f>
        <v>3971195</v>
      </c>
      <c r="S63" s="5">
        <f>HAVERM!AE59</f>
        <v>483885</v>
      </c>
      <c r="T63" s="5">
        <f>HAVERM!AF59</f>
        <v>496937</v>
      </c>
      <c r="V63">
        <f t="shared" si="2"/>
        <v>7305680</v>
      </c>
      <c r="W63">
        <f t="shared" si="3"/>
        <v>12323962</v>
      </c>
      <c r="X63">
        <f t="shared" si="4"/>
        <v>8418839</v>
      </c>
      <c r="Y63" s="2" t="b">
        <f t="shared" si="5"/>
        <v>1</v>
      </c>
      <c r="AA63" s="5">
        <f t="shared" si="7"/>
        <v>43.594999999999999</v>
      </c>
      <c r="AB63" s="5">
        <f t="shared" si="8"/>
        <v>-10.725</v>
      </c>
      <c r="AC63" s="5">
        <f t="shared" si="9"/>
        <v>37.363999999999997</v>
      </c>
      <c r="AD63" s="5">
        <f t="shared" si="10"/>
        <v>70.233999999999995</v>
      </c>
    </row>
    <row r="64" spans="1:30" x14ac:dyDescent="0.35">
      <c r="A64" s="4">
        <f>DATE(LEFT(HAVERM!J60,4),RIGHT(HAVERM!J60,2),1)</f>
        <v>44256</v>
      </c>
      <c r="B64" s="5">
        <f>HAVERM!N60</f>
        <v>185261</v>
      </c>
      <c r="C64" s="5">
        <f>HAVERM!O60</f>
        <v>48315</v>
      </c>
      <c r="D64" s="5">
        <f>HAVERM!P60</f>
        <v>2307192</v>
      </c>
      <c r="E64" s="5">
        <f>HAVERM!Q60</f>
        <v>100933</v>
      </c>
      <c r="F64" s="5">
        <f>HAVERM!R60</f>
        <v>182527</v>
      </c>
      <c r="G64" s="5">
        <f>HAVERM!S60</f>
        <v>1268019</v>
      </c>
      <c r="H64" s="5">
        <f>HAVERM!T60</f>
        <v>4299650</v>
      </c>
      <c r="I64" s="5">
        <f>HAVERM!U60</f>
        <v>1332808</v>
      </c>
      <c r="J64" s="5">
        <f>HAVERM!V60</f>
        <v>1725916</v>
      </c>
      <c r="K64" s="5">
        <f>HAVERM!W60</f>
        <v>1194562</v>
      </c>
      <c r="L64" s="5">
        <f>HAVERM!X60</f>
        <v>1047977</v>
      </c>
      <c r="M64" s="5">
        <f>HAVERM!Y60</f>
        <v>425536</v>
      </c>
      <c r="N64" s="5">
        <f>HAVERM!Z60</f>
        <v>2154190</v>
      </c>
      <c r="O64" s="5">
        <f>HAVERM!AA60</f>
        <v>2385564</v>
      </c>
      <c r="P64" s="5">
        <f>HAVERM!AB60</f>
        <v>1457557</v>
      </c>
      <c r="Q64" s="5">
        <f>HAVERM!AC60</f>
        <v>3002281</v>
      </c>
      <c r="R64" s="5">
        <f>HAVERM!AD60</f>
        <v>3992874</v>
      </c>
      <c r="S64" s="5">
        <f>HAVERM!AE60</f>
        <v>476736</v>
      </c>
      <c r="T64" s="5">
        <f>HAVERM!AF60</f>
        <v>496318</v>
      </c>
      <c r="V64">
        <f t="shared" si="2"/>
        <v>7329331</v>
      </c>
      <c r="W64">
        <f t="shared" si="3"/>
        <v>12302173</v>
      </c>
      <c r="X64">
        <f t="shared" si="4"/>
        <v>8452712</v>
      </c>
      <c r="Y64" s="2" t="b">
        <f t="shared" si="5"/>
        <v>1</v>
      </c>
      <c r="AA64" s="5">
        <f t="shared" si="7"/>
        <v>53.045000000000002</v>
      </c>
      <c r="AB64" s="5">
        <f t="shared" si="8"/>
        <v>-26.943999999999999</v>
      </c>
      <c r="AC64" s="5">
        <f t="shared" si="9"/>
        <v>44.947000000000003</v>
      </c>
      <c r="AD64" s="5">
        <f t="shared" si="10"/>
        <v>71.048000000000002</v>
      </c>
    </row>
    <row r="65" spans="1:30" x14ac:dyDescent="0.35">
      <c r="A65" s="4">
        <f>DATE(LEFT(HAVERM!J61,4),RIGHT(HAVERM!J61,2),1)</f>
        <v>44287</v>
      </c>
      <c r="B65" s="5">
        <f>HAVERM!N61</f>
        <v>186234</v>
      </c>
      <c r="C65" s="5">
        <f>HAVERM!O61</f>
        <v>48087</v>
      </c>
      <c r="D65" s="5">
        <f>HAVERM!P61</f>
        <v>2310541</v>
      </c>
      <c r="E65" s="5">
        <f>HAVERM!Q61</f>
        <v>100614</v>
      </c>
      <c r="F65" s="5">
        <f>HAVERM!R61</f>
        <v>183291</v>
      </c>
      <c r="G65" s="5">
        <f>HAVERM!S61</f>
        <v>1273188</v>
      </c>
      <c r="H65" s="5">
        <f>HAVERM!T61</f>
        <v>4324667</v>
      </c>
      <c r="I65" s="5">
        <f>HAVERM!U61</f>
        <v>1329164</v>
      </c>
      <c r="J65" s="5">
        <f>HAVERM!V61</f>
        <v>1729710</v>
      </c>
      <c r="K65" s="5">
        <f>HAVERM!W61</f>
        <v>1193095</v>
      </c>
      <c r="L65" s="5">
        <f>HAVERM!X61</f>
        <v>1045167</v>
      </c>
      <c r="M65" s="5">
        <f>HAVERM!Y61</f>
        <v>427020</v>
      </c>
      <c r="N65" s="5">
        <f>HAVERM!Z61</f>
        <v>2167459</v>
      </c>
      <c r="O65" s="5">
        <f>HAVERM!AA61</f>
        <v>2414897</v>
      </c>
      <c r="P65" s="5">
        <f>HAVERM!AB61</f>
        <v>1466733</v>
      </c>
      <c r="Q65" s="5">
        <f>HAVERM!AC61</f>
        <v>3015819</v>
      </c>
      <c r="R65" s="5">
        <f>HAVERM!AD61</f>
        <v>4013344</v>
      </c>
      <c r="S65" s="5">
        <f>HAVERM!AE61</f>
        <v>476752</v>
      </c>
      <c r="T65" s="5">
        <f>HAVERM!AF61</f>
        <v>501424</v>
      </c>
      <c r="V65">
        <f t="shared" si="2"/>
        <v>7340065</v>
      </c>
      <c r="W65">
        <f t="shared" si="3"/>
        <v>12371245</v>
      </c>
      <c r="X65">
        <f t="shared" si="4"/>
        <v>8495896</v>
      </c>
      <c r="Y65" s="2" t="b">
        <f t="shared" si="5"/>
        <v>1</v>
      </c>
      <c r="AA65" s="5">
        <f t="shared" si="7"/>
        <v>44.055999999999997</v>
      </c>
      <c r="AB65" s="5">
        <f t="shared" si="8"/>
        <v>31.727</v>
      </c>
      <c r="AC65" s="5">
        <f t="shared" si="9"/>
        <v>80.066999999999993</v>
      </c>
      <c r="AD65" s="5">
        <f t="shared" si="10"/>
        <v>155.85</v>
      </c>
    </row>
    <row r="66" spans="1:30" x14ac:dyDescent="0.35">
      <c r="A66" s="4">
        <f>DATE(LEFT(HAVERM!J62,4),RIGHT(HAVERM!J62,2),1)</f>
        <v>44317</v>
      </c>
      <c r="B66" s="5">
        <f>HAVERM!N62</f>
        <v>185972</v>
      </c>
      <c r="C66" s="5">
        <f>HAVERM!O62</f>
        <v>48129</v>
      </c>
      <c r="D66" s="5">
        <f>HAVERM!P62</f>
        <v>2315136</v>
      </c>
      <c r="E66" s="5">
        <f>HAVERM!Q62</f>
        <v>100249</v>
      </c>
      <c r="F66" s="5">
        <f>HAVERM!R62</f>
        <v>184165</v>
      </c>
      <c r="G66" s="5">
        <f>HAVERM!S62</f>
        <v>1277472</v>
      </c>
      <c r="H66" s="5">
        <f>HAVERM!T62</f>
        <v>4342095</v>
      </c>
      <c r="I66" s="5">
        <f>HAVERM!U62</f>
        <v>1328080</v>
      </c>
      <c r="J66" s="5">
        <f>HAVERM!V62</f>
        <v>1820407</v>
      </c>
      <c r="K66" s="5">
        <f>HAVERM!W62</f>
        <v>1198504</v>
      </c>
      <c r="L66" s="5">
        <f>HAVERM!X62</f>
        <v>1042676</v>
      </c>
      <c r="M66" s="5">
        <f>HAVERM!Y62</f>
        <v>428070</v>
      </c>
      <c r="N66" s="5">
        <f>HAVERM!Z62</f>
        <v>2184434</v>
      </c>
      <c r="O66" s="5">
        <f>HAVERM!AA62</f>
        <v>2430444</v>
      </c>
      <c r="P66" s="5">
        <f>HAVERM!AB62</f>
        <v>1473070</v>
      </c>
      <c r="Q66" s="5">
        <f>HAVERM!AC62</f>
        <v>3028013</v>
      </c>
      <c r="R66" s="5">
        <f>HAVERM!AD62</f>
        <v>4019283</v>
      </c>
      <c r="S66" s="5">
        <f>HAVERM!AE62</f>
        <v>496006</v>
      </c>
      <c r="T66" s="5">
        <f>HAVERM!AF62</f>
        <v>506211</v>
      </c>
      <c r="V66">
        <f t="shared" si="2"/>
        <v>7363709</v>
      </c>
      <c r="W66">
        <f t="shared" si="3"/>
        <v>12524341</v>
      </c>
      <c r="X66">
        <f t="shared" si="4"/>
        <v>8520366</v>
      </c>
      <c r="Y66" s="2" t="b">
        <f t="shared" si="5"/>
        <v>1</v>
      </c>
      <c r="AA66" s="5">
        <f t="shared" si="7"/>
        <v>58.029000000000003</v>
      </c>
      <c r="AB66" s="5">
        <f t="shared" si="8"/>
        <v>200.37899999999999</v>
      </c>
      <c r="AC66" s="5">
        <f t="shared" si="9"/>
        <v>101.527</v>
      </c>
      <c r="AD66" s="5">
        <f t="shared" si="10"/>
        <v>359.935</v>
      </c>
    </row>
    <row r="67" spans="1:30" x14ac:dyDescent="0.35">
      <c r="A67" s="4">
        <f>DATE(LEFT(HAVERM!J63,4),RIGHT(HAVERM!J63,2),1)</f>
        <v>44348</v>
      </c>
      <c r="B67" s="5">
        <f>HAVERM!N63</f>
        <v>185148</v>
      </c>
      <c r="C67" s="5">
        <f>HAVERM!O63</f>
        <v>48215</v>
      </c>
      <c r="D67" s="5">
        <f>HAVERM!P63</f>
        <v>2319428</v>
      </c>
      <c r="E67" s="5">
        <f>HAVERM!Q63</f>
        <v>99799</v>
      </c>
      <c r="F67" s="5">
        <f>HAVERM!R63</f>
        <v>184668</v>
      </c>
      <c r="G67" s="5">
        <f>HAVERM!S63</f>
        <v>1280051</v>
      </c>
      <c r="H67" s="5">
        <f>HAVERM!T63</f>
        <v>4342848</v>
      </c>
      <c r="I67" s="5">
        <f>HAVERM!U63</f>
        <v>1325513</v>
      </c>
      <c r="J67" s="5">
        <f>HAVERM!V63</f>
        <v>1920576</v>
      </c>
      <c r="K67" s="5">
        <f>HAVERM!W63</f>
        <v>1204253</v>
      </c>
      <c r="L67" s="5">
        <f>HAVERM!X63</f>
        <v>1040322</v>
      </c>
      <c r="M67" s="5">
        <f>HAVERM!Y63</f>
        <v>429184</v>
      </c>
      <c r="N67" s="5">
        <f>HAVERM!Z63</f>
        <v>2194490</v>
      </c>
      <c r="O67" s="5">
        <f>HAVERM!AA63</f>
        <v>2444707</v>
      </c>
      <c r="P67" s="5">
        <f>HAVERM!AB63</f>
        <v>1474657</v>
      </c>
      <c r="Q67" s="5">
        <f>HAVERM!AC63</f>
        <v>3032714</v>
      </c>
      <c r="R67" s="5">
        <f>HAVERM!AD63</f>
        <v>4020028</v>
      </c>
      <c r="S67" s="5">
        <f>HAVERM!AE63</f>
        <v>517943</v>
      </c>
      <c r="T67" s="5">
        <f>HAVERM!AF63</f>
        <v>509154</v>
      </c>
      <c r="V67">
        <f t="shared" si="2"/>
        <v>7377311</v>
      </c>
      <c r="W67">
        <f t="shared" si="3"/>
        <v>12668988</v>
      </c>
      <c r="X67">
        <f t="shared" si="4"/>
        <v>8527399</v>
      </c>
      <c r="Y67" s="2" t="b">
        <f t="shared" si="5"/>
        <v>1</v>
      </c>
      <c r="AA67" s="5">
        <f t="shared" si="7"/>
        <v>47.98</v>
      </c>
      <c r="AB67" s="5">
        <f t="shared" si="8"/>
        <v>366.815</v>
      </c>
      <c r="AC67" s="5">
        <f t="shared" si="9"/>
        <v>74.686999999999998</v>
      </c>
      <c r="AD67" s="5">
        <f t="shared" si="10"/>
        <v>489.48200000000003</v>
      </c>
    </row>
    <row r="68" spans="1:30" x14ac:dyDescent="0.35">
      <c r="A68" s="4">
        <f>DATE(LEFT(HAVERM!J64,4),RIGHT(HAVERM!J64,2),1)</f>
        <v>44378</v>
      </c>
      <c r="B68" s="5">
        <f>HAVERM!N64</f>
        <v>186723</v>
      </c>
      <c r="C68" s="5">
        <f>HAVERM!O64</f>
        <v>48310</v>
      </c>
      <c r="D68" s="5">
        <f>HAVERM!P64</f>
        <v>2324507</v>
      </c>
      <c r="E68" s="5">
        <f>HAVERM!Q64</f>
        <v>99480</v>
      </c>
      <c r="F68" s="5">
        <f>HAVERM!R64</f>
        <v>185563</v>
      </c>
      <c r="G68" s="5">
        <f>HAVERM!S64</f>
        <v>1283349</v>
      </c>
      <c r="H68" s="5">
        <f>HAVERM!T64</f>
        <v>4347055</v>
      </c>
      <c r="I68" s="5">
        <f>HAVERM!U64</f>
        <v>1328656</v>
      </c>
      <c r="J68" s="5">
        <f>HAVERM!V64</f>
        <v>1965352</v>
      </c>
      <c r="K68" s="5">
        <f>HAVERM!W64</f>
        <v>1210461</v>
      </c>
      <c r="L68" s="5">
        <f>HAVERM!X64</f>
        <v>1037758</v>
      </c>
      <c r="M68" s="5">
        <f>HAVERM!Y64</f>
        <v>430508</v>
      </c>
      <c r="N68" s="5">
        <f>HAVERM!Z64</f>
        <v>2206350</v>
      </c>
      <c r="O68" s="5">
        <f>HAVERM!AA64</f>
        <v>2459676</v>
      </c>
      <c r="P68" s="5">
        <f>HAVERM!AB64</f>
        <v>1474166</v>
      </c>
      <c r="Q68" s="5">
        <f>HAVERM!AC64</f>
        <v>3029023</v>
      </c>
      <c r="R68" s="5">
        <f>HAVERM!AD64</f>
        <v>4027590</v>
      </c>
      <c r="S68" s="5">
        <f>HAVERM!AE64</f>
        <v>531627</v>
      </c>
      <c r="T68" s="5">
        <f>HAVERM!AF64</f>
        <v>512530</v>
      </c>
      <c r="V68">
        <f t="shared" si="2"/>
        <v>7399927</v>
      </c>
      <c r="W68">
        <f t="shared" si="3"/>
        <v>12757978</v>
      </c>
      <c r="X68">
        <f t="shared" si="4"/>
        <v>8530779</v>
      </c>
      <c r="Y68" s="2" t="b">
        <f t="shared" si="5"/>
        <v>1</v>
      </c>
      <c r="AA68" s="5">
        <f t="shared" si="7"/>
        <v>59.862000000000002</v>
      </c>
      <c r="AB68" s="5">
        <f t="shared" si="8"/>
        <v>386.733</v>
      </c>
      <c r="AC68" s="5">
        <f t="shared" si="9"/>
        <v>34.883000000000003</v>
      </c>
      <c r="AD68" s="5">
        <f t="shared" si="10"/>
        <v>481.47800000000001</v>
      </c>
    </row>
    <row r="69" spans="1:30" x14ac:dyDescent="0.35">
      <c r="A69" s="4">
        <f>DATE(LEFT(HAVERM!J65,4),RIGHT(HAVERM!J65,2),1)</f>
        <v>44409</v>
      </c>
      <c r="B69" s="5">
        <f>HAVERM!N65</f>
        <v>187792</v>
      </c>
      <c r="C69" s="5">
        <f>HAVERM!O65</f>
        <v>48433</v>
      </c>
      <c r="D69" s="5">
        <f>HAVERM!P65</f>
        <v>2329694</v>
      </c>
      <c r="E69" s="5">
        <f>HAVERM!Q65</f>
        <v>99468</v>
      </c>
      <c r="F69" s="5">
        <f>HAVERM!R65</f>
        <v>186345</v>
      </c>
      <c r="G69" s="5">
        <f>HAVERM!S65</f>
        <v>1286659</v>
      </c>
      <c r="H69" s="5">
        <f>HAVERM!T65</f>
        <v>4356964</v>
      </c>
      <c r="I69" s="5">
        <f>HAVERM!U65</f>
        <v>1334331</v>
      </c>
      <c r="J69" s="5">
        <f>HAVERM!V65</f>
        <v>1992069</v>
      </c>
      <c r="K69" s="5">
        <f>HAVERM!W65</f>
        <v>1218479</v>
      </c>
      <c r="L69" s="5">
        <f>HAVERM!X65</f>
        <v>1038131</v>
      </c>
      <c r="M69" s="5">
        <f>HAVERM!Y65</f>
        <v>431815</v>
      </c>
      <c r="N69" s="5">
        <f>HAVERM!Z65</f>
        <v>2219540</v>
      </c>
      <c r="O69" s="5">
        <f>HAVERM!AA65</f>
        <v>2478987</v>
      </c>
      <c r="P69" s="5">
        <f>HAVERM!AB65</f>
        <v>1480038</v>
      </c>
      <c r="Q69" s="5">
        <f>HAVERM!AC65</f>
        <v>3057424</v>
      </c>
      <c r="R69" s="5">
        <f>HAVERM!AD65</f>
        <v>4034549</v>
      </c>
      <c r="S69" s="5">
        <f>HAVERM!AE65</f>
        <v>540794</v>
      </c>
      <c r="T69" s="5">
        <f>HAVERM!AF65</f>
        <v>515380</v>
      </c>
      <c r="V69">
        <f t="shared" si="2"/>
        <v>7431386</v>
      </c>
      <c r="W69">
        <f t="shared" si="3"/>
        <v>12833495</v>
      </c>
      <c r="X69">
        <f t="shared" si="4"/>
        <v>8572011</v>
      </c>
      <c r="Y69" s="2" t="b">
        <f t="shared" si="5"/>
        <v>1</v>
      </c>
      <c r="AA69" s="5">
        <f t="shared" si="7"/>
        <v>67.677000000000007</v>
      </c>
      <c r="AB69" s="5">
        <f t="shared" si="8"/>
        <v>309.154</v>
      </c>
      <c r="AC69" s="5">
        <f t="shared" si="9"/>
        <v>51.645000000000003</v>
      </c>
      <c r="AD69" s="5">
        <f t="shared" si="10"/>
        <v>428.476</v>
      </c>
    </row>
    <row r="70" spans="1:30" x14ac:dyDescent="0.35">
      <c r="A70" s="4">
        <f>DATE(LEFT(HAVERM!J66,4),RIGHT(HAVERM!J66,2),1)</f>
        <v>44440</v>
      </c>
      <c r="B70" s="5">
        <f>HAVERM!N66</f>
        <v>188485</v>
      </c>
      <c r="C70" s="5">
        <f>HAVERM!O66</f>
        <v>48499</v>
      </c>
      <c r="D70" s="5">
        <f>HAVERM!P66</f>
        <v>2332855</v>
      </c>
      <c r="E70" s="5">
        <f>HAVERM!Q66</f>
        <v>98984</v>
      </c>
      <c r="F70" s="5">
        <f>HAVERM!R66</f>
        <v>187091</v>
      </c>
      <c r="G70" s="5">
        <f>HAVERM!S66</f>
        <v>1289430</v>
      </c>
      <c r="H70" s="5">
        <f>HAVERM!T66</f>
        <v>4361832</v>
      </c>
      <c r="I70" s="5">
        <f>HAVERM!U66</f>
        <v>1337721</v>
      </c>
      <c r="J70" s="5">
        <f>HAVERM!V66</f>
        <v>2014428</v>
      </c>
      <c r="K70" s="5">
        <f>HAVERM!W66</f>
        <v>1225771</v>
      </c>
      <c r="L70" s="5">
        <f>HAVERM!X66</f>
        <v>1037151</v>
      </c>
      <c r="M70" s="5">
        <f>HAVERM!Y66</f>
        <v>432787</v>
      </c>
      <c r="N70" s="5">
        <f>HAVERM!Z66</f>
        <v>2231048</v>
      </c>
      <c r="O70" s="5">
        <f>HAVERM!AA66</f>
        <v>2488391</v>
      </c>
      <c r="P70" s="5">
        <f>HAVERM!AB66</f>
        <v>1483087</v>
      </c>
      <c r="Q70" s="5">
        <f>HAVERM!AC66</f>
        <v>3075193</v>
      </c>
      <c r="R70" s="5">
        <f>HAVERM!AD66</f>
        <v>4043481</v>
      </c>
      <c r="S70" s="5">
        <f>HAVERM!AE66</f>
        <v>547570</v>
      </c>
      <c r="T70" s="5">
        <f>HAVERM!AF66</f>
        <v>517502</v>
      </c>
      <c r="V70">
        <f t="shared" si="2"/>
        <v>7455695</v>
      </c>
      <c r="W70">
        <f t="shared" si="3"/>
        <v>12883850</v>
      </c>
      <c r="X70">
        <f t="shared" si="4"/>
        <v>8601761</v>
      </c>
      <c r="Y70" s="2" t="b">
        <f t="shared" si="5"/>
        <v>1</v>
      </c>
      <c r="AA70" s="5">
        <f t="shared" si="7"/>
        <v>78.384</v>
      </c>
      <c r="AB70" s="5">
        <f t="shared" si="8"/>
        <v>214.86199999999999</v>
      </c>
      <c r="AC70" s="5">
        <f t="shared" si="9"/>
        <v>74.361999999999995</v>
      </c>
      <c r="AD70" s="5">
        <f t="shared" si="10"/>
        <v>367.60799999999995</v>
      </c>
    </row>
    <row r="71" spans="1:30" x14ac:dyDescent="0.35">
      <c r="A71" s="4">
        <f>DATE(LEFT(HAVERM!J67,4),RIGHT(HAVERM!J67,2),1)</f>
        <v>44470</v>
      </c>
      <c r="B71" s="5">
        <f>HAVERM!N67</f>
        <v>189859</v>
      </c>
      <c r="C71" s="5">
        <f>HAVERM!O67</f>
        <v>48473</v>
      </c>
      <c r="D71" s="5">
        <f>HAVERM!P67</f>
        <v>2336379</v>
      </c>
      <c r="E71" s="5">
        <f>HAVERM!Q67</f>
        <v>98293</v>
      </c>
      <c r="F71" s="5">
        <f>HAVERM!R67</f>
        <v>187738</v>
      </c>
      <c r="G71" s="5">
        <f>HAVERM!S67</f>
        <v>1287566</v>
      </c>
      <c r="H71" s="5">
        <f>HAVERM!T67</f>
        <v>4365517</v>
      </c>
      <c r="I71" s="5">
        <f>HAVERM!U67</f>
        <v>1338304</v>
      </c>
      <c r="J71" s="5">
        <f>HAVERM!V67</f>
        <v>2031428</v>
      </c>
      <c r="K71" s="5">
        <f>HAVERM!W67</f>
        <v>1231603</v>
      </c>
      <c r="L71" s="5">
        <f>HAVERM!X67</f>
        <v>1037437</v>
      </c>
      <c r="M71" s="5">
        <f>HAVERM!Y67</f>
        <v>433022</v>
      </c>
      <c r="N71" s="5">
        <f>HAVERM!Z67</f>
        <v>2239989</v>
      </c>
      <c r="O71" s="5">
        <f>HAVERM!AA67</f>
        <v>2490656</v>
      </c>
      <c r="P71" s="5">
        <f>HAVERM!AB67</f>
        <v>1486245</v>
      </c>
      <c r="Q71" s="5">
        <f>HAVERM!AC67</f>
        <v>3071711</v>
      </c>
      <c r="R71" s="5">
        <f>HAVERM!AD67</f>
        <v>4015795</v>
      </c>
      <c r="S71" s="5">
        <f>HAVERM!AE67</f>
        <v>552382</v>
      </c>
      <c r="T71" s="5">
        <f>HAVERM!AF67</f>
        <v>518242</v>
      </c>
      <c r="V71">
        <f t="shared" si="2"/>
        <v>7469403</v>
      </c>
      <c r="W71">
        <f t="shared" si="3"/>
        <v>12917485</v>
      </c>
      <c r="X71">
        <f t="shared" si="4"/>
        <v>8573751</v>
      </c>
      <c r="Y71" s="2" t="b">
        <f t="shared" si="5"/>
        <v>1</v>
      </c>
      <c r="AA71" s="5">
        <f t="shared" si="7"/>
        <v>69.475999999999999</v>
      </c>
      <c r="AB71" s="5">
        <f t="shared" si="8"/>
        <v>159.50700000000001</v>
      </c>
      <c r="AC71" s="5">
        <f t="shared" si="9"/>
        <v>42.972000000000001</v>
      </c>
      <c r="AD71" s="5">
        <f t="shared" si="10"/>
        <v>271.95499999999998</v>
      </c>
    </row>
    <row r="72" spans="1:30" x14ac:dyDescent="0.35">
      <c r="A72" s="4">
        <f>DATE(LEFT(HAVERM!J68,4),RIGHT(HAVERM!J68,2),1)</f>
        <v>44501</v>
      </c>
      <c r="B72" s="5">
        <f>HAVERM!N68</f>
        <v>191174</v>
      </c>
      <c r="C72" s="5">
        <f>HAVERM!O68</f>
        <v>48482</v>
      </c>
      <c r="D72" s="5">
        <f>HAVERM!P68</f>
        <v>2342160</v>
      </c>
      <c r="E72" s="5">
        <f>HAVERM!Q68</f>
        <v>97843</v>
      </c>
      <c r="F72" s="5">
        <f>HAVERM!R68</f>
        <v>188406</v>
      </c>
      <c r="G72" s="5">
        <f>HAVERM!S68</f>
        <v>1290469</v>
      </c>
      <c r="H72" s="5">
        <f>HAVERM!T68</f>
        <v>4377898</v>
      </c>
      <c r="I72" s="5">
        <f>HAVERM!U68</f>
        <v>1345212</v>
      </c>
      <c r="J72" s="5">
        <f>HAVERM!V68</f>
        <v>2046916</v>
      </c>
      <c r="K72" s="5">
        <f>HAVERM!W68</f>
        <v>1239730</v>
      </c>
      <c r="L72" s="5">
        <f>HAVERM!X68</f>
        <v>1038867</v>
      </c>
      <c r="M72" s="5">
        <f>HAVERM!Y68</f>
        <v>434271</v>
      </c>
      <c r="N72" s="5">
        <f>HAVERM!Z68</f>
        <v>2251617</v>
      </c>
      <c r="O72" s="5">
        <f>HAVERM!AA68</f>
        <v>2511794</v>
      </c>
      <c r="P72" s="5">
        <f>HAVERM!AB68</f>
        <v>1487475</v>
      </c>
      <c r="Q72" s="5">
        <f>HAVERM!AC68</f>
        <v>3068453</v>
      </c>
      <c r="R72" s="5">
        <f>HAVERM!AD68</f>
        <v>4020033</v>
      </c>
      <c r="S72" s="5">
        <f>HAVERM!AE68</f>
        <v>557740</v>
      </c>
      <c r="T72" s="5">
        <f>HAVERM!AF68</f>
        <v>519972</v>
      </c>
      <c r="V72">
        <f t="shared" si="2"/>
        <v>7500626</v>
      </c>
      <c r="W72">
        <f t="shared" si="3"/>
        <v>12981925</v>
      </c>
      <c r="X72">
        <f t="shared" si="4"/>
        <v>8575961</v>
      </c>
      <c r="Y72" s="2" t="b">
        <f t="shared" si="5"/>
        <v>1</v>
      </c>
      <c r="AA72" s="5">
        <f t="shared" si="7"/>
        <v>69.239999999999995</v>
      </c>
      <c r="AB72" s="5">
        <f t="shared" si="8"/>
        <v>148.43</v>
      </c>
      <c r="AC72" s="5">
        <f t="shared" si="9"/>
        <v>3.95</v>
      </c>
      <c r="AD72" s="5">
        <f t="shared" si="10"/>
        <v>221.62</v>
      </c>
    </row>
    <row r="73" spans="1:30" x14ac:dyDescent="0.35">
      <c r="A73" s="4">
        <f>DATE(LEFT(HAVERM!J69,4),RIGHT(HAVERM!J69,2),1)</f>
        <v>44531</v>
      </c>
      <c r="B73" s="5">
        <f>HAVERM!N69</f>
        <v>191409</v>
      </c>
      <c r="C73" s="5">
        <f>HAVERM!O69</f>
        <v>48602</v>
      </c>
      <c r="D73" s="5">
        <f>HAVERM!P69</f>
        <v>2352691</v>
      </c>
      <c r="E73" s="5">
        <f>HAVERM!Q69</f>
        <v>97732</v>
      </c>
      <c r="F73" s="5">
        <f>HAVERM!R69</f>
        <v>188987</v>
      </c>
      <c r="G73" s="5">
        <f>HAVERM!S69</f>
        <v>1295563</v>
      </c>
      <c r="H73" s="5">
        <f>HAVERM!T69</f>
        <v>4381362</v>
      </c>
      <c r="I73" s="5">
        <f>HAVERM!U69</f>
        <v>1351070</v>
      </c>
      <c r="J73" s="5">
        <f>HAVERM!V69</f>
        <v>2060612</v>
      </c>
      <c r="K73" s="5">
        <f>HAVERM!W69</f>
        <v>1245693</v>
      </c>
      <c r="L73" s="5">
        <f>HAVERM!X69</f>
        <v>1039609</v>
      </c>
      <c r="M73" s="5">
        <f>HAVERM!Y69</f>
        <v>435813</v>
      </c>
      <c r="N73" s="5">
        <f>HAVERM!Z69</f>
        <v>2262215</v>
      </c>
      <c r="O73" s="5">
        <f>HAVERM!AA69</f>
        <v>2504946</v>
      </c>
      <c r="P73" s="5">
        <f>HAVERM!AB69</f>
        <v>1489535</v>
      </c>
      <c r="Q73" s="5">
        <f>HAVERM!AC69</f>
        <v>3080467</v>
      </c>
      <c r="R73" s="5">
        <f>HAVERM!AD69</f>
        <v>4027565</v>
      </c>
      <c r="S73" s="5">
        <f>HAVERM!AE69</f>
        <v>562247</v>
      </c>
      <c r="T73" s="5">
        <f>HAVERM!AF69</f>
        <v>522038</v>
      </c>
      <c r="V73">
        <f t="shared" si="2"/>
        <v>7529471</v>
      </c>
      <c r="W73">
        <f t="shared" si="3"/>
        <v>13011118</v>
      </c>
      <c r="X73">
        <f t="shared" si="4"/>
        <v>8597567</v>
      </c>
      <c r="Y73" s="2" t="b">
        <f t="shared" si="5"/>
        <v>1</v>
      </c>
      <c r="AA73" s="5">
        <f t="shared" si="7"/>
        <v>73.775999999999996</v>
      </c>
      <c r="AB73" s="5">
        <f t="shared" si="8"/>
        <v>127.268</v>
      </c>
      <c r="AC73" s="5">
        <f t="shared" si="9"/>
        <v>-4.194</v>
      </c>
      <c r="AD73" s="5">
        <f t="shared" si="10"/>
        <v>196.85</v>
      </c>
    </row>
    <row r="74" spans="1:30" x14ac:dyDescent="0.35">
      <c r="A74" s="4">
        <f>DATE(LEFT(HAVERM!J70,4),RIGHT(HAVERM!J70,2),1)</f>
        <v>44562</v>
      </c>
      <c r="B74" s="5">
        <f>HAVERM!N70</f>
        <v>191150</v>
      </c>
      <c r="C74" s="5">
        <f>HAVERM!O70</f>
        <v>48414</v>
      </c>
      <c r="D74" s="5">
        <f>HAVERM!P70</f>
        <v>2349562</v>
      </c>
      <c r="E74" s="5">
        <f>HAVERM!Q70</f>
        <v>97588</v>
      </c>
      <c r="F74" s="5">
        <f>HAVERM!R70</f>
        <v>189545</v>
      </c>
      <c r="G74" s="5">
        <f>HAVERM!S70</f>
        <v>1295851</v>
      </c>
      <c r="H74" s="5">
        <f>HAVERM!T70</f>
        <v>4375979</v>
      </c>
      <c r="I74" s="5">
        <f>HAVERM!U70</f>
        <v>1350585</v>
      </c>
      <c r="J74" s="5">
        <f>HAVERM!V70</f>
        <v>2066091</v>
      </c>
      <c r="K74" s="5">
        <f>HAVERM!W70</f>
        <v>1252723</v>
      </c>
      <c r="L74" s="5">
        <f>HAVERM!X70</f>
        <v>1040146</v>
      </c>
      <c r="M74" s="5">
        <f>HAVERM!Y70</f>
        <v>437148</v>
      </c>
      <c r="N74" s="5">
        <f>HAVERM!Z70</f>
        <v>2271940</v>
      </c>
      <c r="O74" s="5">
        <f>HAVERM!AA70</f>
        <v>2518353</v>
      </c>
      <c r="P74" s="5">
        <f>HAVERM!AB70</f>
        <v>1489355</v>
      </c>
      <c r="Q74" s="5">
        <f>HAVERM!AC70</f>
        <v>3092255</v>
      </c>
      <c r="R74" s="5">
        <f>HAVERM!AD70</f>
        <v>4030952</v>
      </c>
      <c r="S74" s="5">
        <f>HAVERM!AE70</f>
        <v>565942</v>
      </c>
      <c r="T74" s="5">
        <f>HAVERM!AF70</f>
        <v>523243</v>
      </c>
      <c r="V74">
        <f t="shared" si="2"/>
        <v>7546792</v>
      </c>
      <c r="W74">
        <f t="shared" si="3"/>
        <v>13027468</v>
      </c>
      <c r="X74">
        <f t="shared" si="4"/>
        <v>8612562</v>
      </c>
      <c r="Y74" s="2" t="b">
        <f t="shared" si="5"/>
        <v>1</v>
      </c>
      <c r="AA74" s="5">
        <f t="shared" si="7"/>
        <v>77.388999999999996</v>
      </c>
      <c r="AB74" s="5">
        <f t="shared" si="8"/>
        <v>109.983</v>
      </c>
      <c r="AC74" s="5">
        <f t="shared" si="9"/>
        <v>38.811</v>
      </c>
      <c r="AD74" s="5">
        <f t="shared" si="10"/>
        <v>226.18300000000002</v>
      </c>
    </row>
    <row r="75" spans="1:30" x14ac:dyDescent="0.35">
      <c r="A75" s="4">
        <f>DATE(LEFT(HAVERM!J71,4),RIGHT(HAVERM!J71,2),1)</f>
        <v>44593</v>
      </c>
      <c r="B75" s="5">
        <f>HAVERM!N71</f>
        <v>191257</v>
      </c>
      <c r="C75" s="5">
        <f>HAVERM!O71</f>
        <v>48437</v>
      </c>
      <c r="D75" s="5">
        <f>HAVERM!P71</f>
        <v>2352979</v>
      </c>
      <c r="E75" s="5">
        <f>HAVERM!Q71</f>
        <v>97622</v>
      </c>
      <c r="F75" s="5">
        <f>HAVERM!R71</f>
        <v>190343</v>
      </c>
      <c r="G75" s="5">
        <f>HAVERM!S71</f>
        <v>1298275</v>
      </c>
      <c r="H75" s="5">
        <f>HAVERM!T71</f>
        <v>4400831</v>
      </c>
      <c r="I75" s="5">
        <f>HAVERM!U71</f>
        <v>1351161</v>
      </c>
      <c r="J75" s="5">
        <f>HAVERM!V71</f>
        <v>2087616</v>
      </c>
      <c r="K75" s="5">
        <f>HAVERM!W71</f>
        <v>1260812</v>
      </c>
      <c r="L75" s="5">
        <f>HAVERM!X71</f>
        <v>1041710</v>
      </c>
      <c r="M75" s="5">
        <f>HAVERM!Y71</f>
        <v>438547</v>
      </c>
      <c r="N75" s="5">
        <f>HAVERM!Z71</f>
        <v>2287149</v>
      </c>
      <c r="O75" s="5">
        <f>HAVERM!AA71</f>
        <v>2528808</v>
      </c>
      <c r="P75" s="5">
        <f>HAVERM!AB71</f>
        <v>1492127</v>
      </c>
      <c r="Q75" s="5">
        <f>HAVERM!AC71</f>
        <v>3105182</v>
      </c>
      <c r="R75" s="5">
        <f>HAVERM!AD71</f>
        <v>4034132</v>
      </c>
      <c r="S75" s="5">
        <f>HAVERM!AE71</f>
        <v>571034</v>
      </c>
      <c r="T75" s="5">
        <f>HAVERM!AF71</f>
        <v>525176</v>
      </c>
      <c r="V75">
        <f t="shared" si="2"/>
        <v>7575509</v>
      </c>
      <c r="W75">
        <f t="shared" si="3"/>
        <v>13096248</v>
      </c>
      <c r="X75">
        <f t="shared" si="4"/>
        <v>8631441</v>
      </c>
      <c r="Y75" s="2" t="b">
        <f t="shared" si="5"/>
        <v>1</v>
      </c>
      <c r="AA75" s="5">
        <f t="shared" si="7"/>
        <v>74.882999999999996</v>
      </c>
      <c r="AB75" s="5">
        <f t="shared" si="8"/>
        <v>114.32299999999999</v>
      </c>
      <c r="AC75" s="5">
        <f t="shared" si="9"/>
        <v>55.48</v>
      </c>
      <c r="AD75" s="5">
        <f t="shared" si="10"/>
        <v>244.68599999999998</v>
      </c>
    </row>
    <row r="76" spans="1:30" x14ac:dyDescent="0.35">
      <c r="A76" s="4">
        <f>DATE(LEFT(HAVERM!J72,4),RIGHT(HAVERM!J72,2),1)</f>
        <v>44621</v>
      </c>
      <c r="B76" s="5">
        <f>HAVERM!N72</f>
        <v>190948</v>
      </c>
      <c r="C76" s="5">
        <f>HAVERM!O72</f>
        <v>48370</v>
      </c>
      <c r="D76" s="5">
        <f>HAVERM!P72</f>
        <v>2354544</v>
      </c>
      <c r="E76" s="5">
        <f>HAVERM!Q72</f>
        <v>97658</v>
      </c>
      <c r="F76" s="5">
        <f>HAVERM!R72</f>
        <v>190884</v>
      </c>
      <c r="G76" s="5">
        <f>HAVERM!S72</f>
        <v>1298239</v>
      </c>
      <c r="H76" s="5">
        <f>HAVERM!T72</f>
        <v>4396513</v>
      </c>
      <c r="I76" s="5">
        <f>HAVERM!U72</f>
        <v>1352991</v>
      </c>
      <c r="J76" s="5">
        <f>HAVERM!V72</f>
        <v>2111619</v>
      </c>
      <c r="K76" s="5">
        <f>HAVERM!W72</f>
        <v>1268765</v>
      </c>
      <c r="L76" s="5">
        <f>HAVERM!X72</f>
        <v>1042633</v>
      </c>
      <c r="M76" s="5">
        <f>HAVERM!Y72</f>
        <v>439638</v>
      </c>
      <c r="N76" s="5">
        <f>HAVERM!Z72</f>
        <v>2296708</v>
      </c>
      <c r="O76" s="5">
        <f>HAVERM!AA72</f>
        <v>2534032</v>
      </c>
      <c r="P76" s="5">
        <f>HAVERM!AB72</f>
        <v>1496743</v>
      </c>
      <c r="Q76" s="5">
        <f>HAVERM!AC72</f>
        <v>3121881</v>
      </c>
      <c r="R76" s="5">
        <f>HAVERM!AD72</f>
        <v>4033868</v>
      </c>
      <c r="S76" s="5">
        <f>HAVERM!AE72</f>
        <v>575166</v>
      </c>
      <c r="T76" s="5">
        <f>HAVERM!AF72</f>
        <v>526743</v>
      </c>
      <c r="V76">
        <f t="shared" si="2"/>
        <v>7596248</v>
      </c>
      <c r="W76">
        <f t="shared" si="3"/>
        <v>13129203</v>
      </c>
      <c r="X76">
        <f t="shared" si="4"/>
        <v>8652492</v>
      </c>
      <c r="Y76" s="2" t="b">
        <f t="shared" si="5"/>
        <v>1</v>
      </c>
      <c r="AA76" s="5">
        <f t="shared" si="7"/>
        <v>66.777000000000001</v>
      </c>
      <c r="AB76" s="5">
        <f t="shared" si="8"/>
        <v>118.08499999999999</v>
      </c>
      <c r="AC76" s="5">
        <f t="shared" si="9"/>
        <v>54.924999999999997</v>
      </c>
      <c r="AD76" s="5">
        <f t="shared" si="10"/>
        <v>239.78699999999998</v>
      </c>
    </row>
    <row r="77" spans="1:30" x14ac:dyDescent="0.35">
      <c r="A77" s="4">
        <f>DATE(LEFT(HAVERM!J73,4),RIGHT(HAVERM!J73,2),1)</f>
        <v>44652</v>
      </c>
      <c r="B77" s="5">
        <f>HAVERM!N73</f>
        <v>191849</v>
      </c>
      <c r="C77" s="5">
        <f>HAVERM!O73</f>
        <v>48122</v>
      </c>
      <c r="D77" s="5">
        <f>HAVERM!P73</f>
        <v>2354421</v>
      </c>
      <c r="E77" s="5">
        <f>HAVERM!Q73</f>
        <v>97789</v>
      </c>
      <c r="F77" s="5">
        <f>HAVERM!R73</f>
        <v>190896</v>
      </c>
      <c r="G77" s="5">
        <f>HAVERM!S73</f>
        <v>1299877</v>
      </c>
      <c r="H77" s="5">
        <f>HAVERM!T73</f>
        <v>4392585</v>
      </c>
      <c r="I77" s="5">
        <f>HAVERM!U73</f>
        <v>1352952</v>
      </c>
      <c r="J77" s="5">
        <f>HAVERM!V73</f>
        <v>2133568</v>
      </c>
      <c r="K77" s="5">
        <f>HAVERM!W73</f>
        <v>1277077</v>
      </c>
      <c r="L77" s="5">
        <f>HAVERM!X73</f>
        <v>1043349</v>
      </c>
      <c r="M77" s="5">
        <f>HAVERM!Y73</f>
        <v>441129</v>
      </c>
      <c r="N77" s="5">
        <f>HAVERM!Z73</f>
        <v>2306995</v>
      </c>
      <c r="O77" s="5">
        <f>HAVERM!AA73</f>
        <v>2527329</v>
      </c>
      <c r="P77" s="5">
        <f>HAVERM!AB73</f>
        <v>1488561</v>
      </c>
      <c r="Q77" s="5">
        <f>HAVERM!AC73</f>
        <v>3113370</v>
      </c>
      <c r="R77" s="5">
        <f>HAVERM!AD73</f>
        <v>4044155</v>
      </c>
      <c r="S77" s="5">
        <f>HAVERM!AE73</f>
        <v>579993</v>
      </c>
      <c r="T77" s="5">
        <f>HAVERM!AF73</f>
        <v>528072</v>
      </c>
      <c r="V77">
        <f t="shared" si="2"/>
        <v>7617057</v>
      </c>
      <c r="W77">
        <f t="shared" si="3"/>
        <v>13148946</v>
      </c>
      <c r="X77">
        <f t="shared" si="4"/>
        <v>8646086</v>
      </c>
      <c r="Y77" s="2" t="b">
        <f t="shared" si="5"/>
        <v>1</v>
      </c>
      <c r="AA77" s="5">
        <f t="shared" si="7"/>
        <v>70.265000000000001</v>
      </c>
      <c r="AB77" s="5">
        <f t="shared" si="8"/>
        <v>121.47799999999999</v>
      </c>
      <c r="AC77" s="5">
        <f t="shared" si="9"/>
        <v>33.524000000000001</v>
      </c>
      <c r="AD77" s="5">
        <f t="shared" si="10"/>
        <v>225.267</v>
      </c>
    </row>
    <row r="78" spans="1:30" x14ac:dyDescent="0.35">
      <c r="A78" s="4">
        <f>DATE(LEFT(HAVERM!J74,4),RIGHT(HAVERM!J74,2),1)</f>
        <v>44682</v>
      </c>
      <c r="B78" s="5">
        <f>HAVERM!N74</f>
        <v>191819</v>
      </c>
      <c r="C78" s="5">
        <f>HAVERM!O74</f>
        <v>48076</v>
      </c>
      <c r="D78" s="5">
        <f>HAVERM!P74</f>
        <v>2357207</v>
      </c>
      <c r="E78" s="5">
        <f>HAVERM!Q74</f>
        <v>97969</v>
      </c>
      <c r="F78" s="5">
        <f>HAVERM!R74</f>
        <v>191705</v>
      </c>
      <c r="G78" s="5">
        <f>HAVERM!S74</f>
        <v>1302648</v>
      </c>
      <c r="H78" s="5">
        <f>HAVERM!T74</f>
        <v>4390668</v>
      </c>
      <c r="I78" s="5">
        <f>HAVERM!U74</f>
        <v>1356664</v>
      </c>
      <c r="J78" s="5">
        <f>HAVERM!V74</f>
        <v>2143169</v>
      </c>
      <c r="K78" s="5">
        <f>HAVERM!W74</f>
        <v>1283614</v>
      </c>
      <c r="L78" s="5">
        <f>HAVERM!X74</f>
        <v>1045924</v>
      </c>
      <c r="M78" s="5">
        <f>HAVERM!Y74</f>
        <v>441660</v>
      </c>
      <c r="N78" s="5">
        <f>HAVERM!Z74</f>
        <v>2317643</v>
      </c>
      <c r="O78" s="5">
        <f>HAVERM!AA74</f>
        <v>2523821</v>
      </c>
      <c r="P78" s="5">
        <f>HAVERM!AB74</f>
        <v>1481073</v>
      </c>
      <c r="Q78" s="5">
        <f>HAVERM!AC74</f>
        <v>3114720</v>
      </c>
      <c r="R78" s="5">
        <f>HAVERM!AD74</f>
        <v>4047761</v>
      </c>
      <c r="S78" s="5">
        <f>HAVERM!AE74</f>
        <v>585657</v>
      </c>
      <c r="T78" s="5">
        <f>HAVERM!AF74</f>
        <v>529289</v>
      </c>
      <c r="V78">
        <f t="shared" si="2"/>
        <v>7644243</v>
      </c>
      <c r="W78">
        <f t="shared" si="3"/>
        <v>13163290</v>
      </c>
      <c r="X78">
        <f t="shared" si="4"/>
        <v>8643554</v>
      </c>
      <c r="Y78" s="2" t="b">
        <f t="shared" si="5"/>
        <v>1</v>
      </c>
      <c r="AA78" s="5">
        <f t="shared" si="7"/>
        <v>68.733999999999995</v>
      </c>
      <c r="AB78" s="5">
        <f t="shared" si="8"/>
        <v>67.042000000000002</v>
      </c>
      <c r="AC78" s="5">
        <f t="shared" si="9"/>
        <v>12.113</v>
      </c>
      <c r="AD78" s="5">
        <f t="shared" si="10"/>
        <v>147.88900000000001</v>
      </c>
    </row>
    <row r="79" spans="1:30" x14ac:dyDescent="0.35">
      <c r="A79" s="4">
        <f>DATE(LEFT(HAVERM!J75,4),RIGHT(HAVERM!J75,2),1)</f>
        <v>44713</v>
      </c>
      <c r="B79" s="5">
        <f>HAVERM!N75</f>
        <v>191590</v>
      </c>
      <c r="C79" s="5">
        <f>HAVERM!O75</f>
        <v>48009</v>
      </c>
      <c r="D79" s="5">
        <f>HAVERM!P75</f>
        <v>2357350</v>
      </c>
      <c r="E79" s="5">
        <f>HAVERM!Q75</f>
        <v>98122</v>
      </c>
      <c r="F79" s="5">
        <f>HAVERM!R75</f>
        <v>192160</v>
      </c>
      <c r="G79" s="5">
        <f>HAVERM!S75</f>
        <v>1303459</v>
      </c>
      <c r="H79" s="5">
        <f>HAVERM!T75</f>
        <v>4379152</v>
      </c>
      <c r="I79" s="5">
        <f>HAVERM!U75</f>
        <v>1358512</v>
      </c>
      <c r="J79" s="5">
        <f>HAVERM!V75</f>
        <v>2150410</v>
      </c>
      <c r="K79" s="5">
        <f>HAVERM!W75</f>
        <v>1288918</v>
      </c>
      <c r="L79" s="5">
        <f>HAVERM!X75</f>
        <v>1048226</v>
      </c>
      <c r="M79" s="5">
        <f>HAVERM!Y75</f>
        <v>442061</v>
      </c>
      <c r="N79" s="5">
        <f>HAVERM!Z75</f>
        <v>2323581</v>
      </c>
      <c r="O79" s="5">
        <f>HAVERM!AA75</f>
        <v>2518458</v>
      </c>
      <c r="P79" s="5">
        <f>HAVERM!AB75</f>
        <v>1476776</v>
      </c>
      <c r="Q79" s="5">
        <f>HAVERM!AC75</f>
        <v>3117327</v>
      </c>
      <c r="R79" s="5">
        <f>HAVERM!AD75</f>
        <v>4056132</v>
      </c>
      <c r="S79" s="5">
        <f>HAVERM!AE75</f>
        <v>589199</v>
      </c>
      <c r="T79" s="5">
        <f>HAVERM!AF75</f>
        <v>529415</v>
      </c>
      <c r="V79">
        <f t="shared" ref="V79:V114" si="11">SUMPRODUCT($B$7:$T$7,B79:T79)</f>
        <v>7660987</v>
      </c>
      <c r="W79">
        <f t="shared" ref="W79:W114" si="12">SUMPRODUCT(B79:T79,$B$8:$T$8)</f>
        <v>13157635</v>
      </c>
      <c r="X79">
        <f t="shared" ref="X79:X114" si="13">SUMPRODUCT(B79:T79,$B$9:$T$9)</f>
        <v>8650235</v>
      </c>
      <c r="Y79" s="2" t="b">
        <f t="shared" ref="Y79:Y114" si="14">SUM(V79:X79)=SUM(B79:T79)</f>
        <v>1</v>
      </c>
      <c r="AA79" s="5">
        <f t="shared" si="7"/>
        <v>64.739000000000004</v>
      </c>
      <c r="AB79" s="5">
        <f t="shared" si="8"/>
        <v>28.431999999999999</v>
      </c>
      <c r="AC79" s="5">
        <f t="shared" si="9"/>
        <v>-2.2570000000000001</v>
      </c>
      <c r="AD79" s="5">
        <f t="shared" si="10"/>
        <v>90.914000000000001</v>
      </c>
    </row>
    <row r="80" spans="1:30" x14ac:dyDescent="0.35">
      <c r="A80" s="4">
        <f>DATE(LEFT(HAVERM!J76,4),RIGHT(HAVERM!J76,2),1)</f>
        <v>44743</v>
      </c>
      <c r="B80" s="5">
        <f>HAVERM!N76</f>
        <v>192486</v>
      </c>
      <c r="C80" s="5">
        <f>HAVERM!O76</f>
        <v>48071</v>
      </c>
      <c r="D80" s="5">
        <f>HAVERM!P76</f>
        <v>2360010</v>
      </c>
      <c r="E80" s="5">
        <f>HAVERM!Q76</f>
        <v>98546</v>
      </c>
      <c r="F80" s="5">
        <f>HAVERM!R76</f>
        <v>192585</v>
      </c>
      <c r="G80" s="5">
        <f>HAVERM!S76</f>
        <v>1305186</v>
      </c>
      <c r="H80" s="5">
        <f>HAVERM!T76</f>
        <v>4381456</v>
      </c>
      <c r="I80" s="5">
        <f>HAVERM!U76</f>
        <v>1359983</v>
      </c>
      <c r="J80" s="5">
        <f>HAVERM!V76</f>
        <v>2156149</v>
      </c>
      <c r="K80" s="5">
        <f>HAVERM!W76</f>
        <v>1295873</v>
      </c>
      <c r="L80" s="5">
        <f>HAVERM!X76</f>
        <v>1052189</v>
      </c>
      <c r="M80" s="5">
        <f>HAVERM!Y76</f>
        <v>442665</v>
      </c>
      <c r="N80" s="5">
        <f>HAVERM!Z76</f>
        <v>2334231</v>
      </c>
      <c r="O80" s="5">
        <f>HAVERM!AA76</f>
        <v>2524644</v>
      </c>
      <c r="P80" s="5">
        <f>HAVERM!AB76</f>
        <v>1485415</v>
      </c>
      <c r="Q80" s="5">
        <f>HAVERM!AC76</f>
        <v>3119561</v>
      </c>
      <c r="R80" s="5">
        <f>HAVERM!AD76</f>
        <v>4067262</v>
      </c>
      <c r="S80" s="5">
        <f>HAVERM!AE76</f>
        <v>594082</v>
      </c>
      <c r="T80" s="5">
        <f>HAVERM!AF76</f>
        <v>530102</v>
      </c>
      <c r="V80">
        <f t="shared" si="11"/>
        <v>7686664</v>
      </c>
      <c r="W80">
        <f t="shared" si="12"/>
        <v>13181594</v>
      </c>
      <c r="X80">
        <f t="shared" si="13"/>
        <v>8672238</v>
      </c>
      <c r="Y80" s="2" t="b">
        <f t="shared" si="14"/>
        <v>1</v>
      </c>
      <c r="AA80" s="5">
        <f t="shared" si="7"/>
        <v>69.606999999999999</v>
      </c>
      <c r="AB80" s="5">
        <f t="shared" si="8"/>
        <v>32.648000000000003</v>
      </c>
      <c r="AC80" s="5">
        <f t="shared" si="9"/>
        <v>26.152000000000001</v>
      </c>
      <c r="AD80" s="5">
        <f t="shared" si="10"/>
        <v>128.40699999999998</v>
      </c>
    </row>
    <row r="81" spans="1:30" x14ac:dyDescent="0.35">
      <c r="A81" s="4">
        <f>DATE(LEFT(HAVERM!J77,4),RIGHT(HAVERM!J77,2),1)</f>
        <v>44774</v>
      </c>
      <c r="B81" s="5">
        <f>HAVERM!N77</f>
        <v>192625</v>
      </c>
      <c r="C81" s="5">
        <f>HAVERM!O77</f>
        <v>48150</v>
      </c>
      <c r="D81" s="5">
        <f>HAVERM!P77</f>
        <v>2361964</v>
      </c>
      <c r="E81" s="5">
        <f>HAVERM!Q77</f>
        <v>99018</v>
      </c>
      <c r="F81" s="5">
        <f>HAVERM!R77</f>
        <v>193018</v>
      </c>
      <c r="G81" s="5">
        <f>HAVERM!S77</f>
        <v>1307671</v>
      </c>
      <c r="H81" s="5">
        <f>HAVERM!T77</f>
        <v>4381056</v>
      </c>
      <c r="I81" s="5">
        <f>HAVERM!U77</f>
        <v>1359859</v>
      </c>
      <c r="J81" s="5">
        <f>HAVERM!V77</f>
        <v>2155960</v>
      </c>
      <c r="K81" s="5">
        <f>HAVERM!W77</f>
        <v>1302782</v>
      </c>
      <c r="L81" s="5">
        <f>HAVERM!X77</f>
        <v>1055897</v>
      </c>
      <c r="M81" s="5">
        <f>HAVERM!Y77</f>
        <v>443471</v>
      </c>
      <c r="N81" s="5">
        <f>HAVERM!Z77</f>
        <v>2345500</v>
      </c>
      <c r="O81" s="5">
        <f>HAVERM!AA77</f>
        <v>2525105</v>
      </c>
      <c r="P81" s="5">
        <f>HAVERM!AB77</f>
        <v>1488805</v>
      </c>
      <c r="Q81" s="5">
        <f>HAVERM!AC77</f>
        <v>3120577</v>
      </c>
      <c r="R81" s="5">
        <f>HAVERM!AD77</f>
        <v>4086510</v>
      </c>
      <c r="S81" s="5">
        <f>HAVERM!AE77</f>
        <v>596090</v>
      </c>
      <c r="T81" s="5">
        <f>HAVERM!AF77</f>
        <v>530773</v>
      </c>
      <c r="V81">
        <f t="shared" si="11"/>
        <v>7711895</v>
      </c>
      <c r="W81">
        <f t="shared" si="12"/>
        <v>13187044</v>
      </c>
      <c r="X81">
        <f t="shared" si="13"/>
        <v>8695892</v>
      </c>
      <c r="Y81" s="2" t="b">
        <f t="shared" si="14"/>
        <v>1</v>
      </c>
      <c r="AA81" s="5">
        <f t="shared" si="7"/>
        <v>67.652000000000001</v>
      </c>
      <c r="AB81" s="5">
        <f t="shared" si="8"/>
        <v>23.754000000000001</v>
      </c>
      <c r="AC81" s="5">
        <f t="shared" si="9"/>
        <v>52.338000000000001</v>
      </c>
      <c r="AD81" s="5">
        <f t="shared" si="10"/>
        <v>143.744</v>
      </c>
    </row>
    <row r="82" spans="1:30" x14ac:dyDescent="0.35">
      <c r="A82" s="4">
        <f>DATE(LEFT(HAVERM!J78,4),RIGHT(HAVERM!J78,2),1)</f>
        <v>44805</v>
      </c>
      <c r="B82" s="5">
        <f>HAVERM!N78</f>
        <v>192509</v>
      </c>
      <c r="C82" s="5">
        <f>HAVERM!O78</f>
        <v>48221</v>
      </c>
      <c r="D82" s="5">
        <f>HAVERM!P78</f>
        <v>2364743</v>
      </c>
      <c r="E82" s="5">
        <f>HAVERM!Q78</f>
        <v>99456</v>
      </c>
      <c r="F82" s="5">
        <f>HAVERM!R78</f>
        <v>193521</v>
      </c>
      <c r="G82" s="5">
        <f>HAVERM!S78</f>
        <v>1311525</v>
      </c>
      <c r="H82" s="5">
        <f>HAVERM!T78</f>
        <v>4377755</v>
      </c>
      <c r="I82" s="5">
        <f>HAVERM!U78</f>
        <v>1361473</v>
      </c>
      <c r="J82" s="5">
        <f>HAVERM!V78</f>
        <v>2156953</v>
      </c>
      <c r="K82" s="5">
        <f>HAVERM!W78</f>
        <v>1308857</v>
      </c>
      <c r="L82" s="5">
        <f>HAVERM!X78</f>
        <v>1059597</v>
      </c>
      <c r="M82" s="5">
        <f>HAVERM!Y78</f>
        <v>444472</v>
      </c>
      <c r="N82" s="5">
        <f>HAVERM!Z78</f>
        <v>2356566</v>
      </c>
      <c r="O82" s="5">
        <f>HAVERM!AA78</f>
        <v>2529548</v>
      </c>
      <c r="P82" s="5">
        <f>HAVERM!AB78</f>
        <v>1491496</v>
      </c>
      <c r="Q82" s="5">
        <f>HAVERM!AC78</f>
        <v>3130929</v>
      </c>
      <c r="R82" s="5">
        <f>HAVERM!AD78</f>
        <v>4110740</v>
      </c>
      <c r="S82" s="5">
        <f>HAVERM!AE78</f>
        <v>596697</v>
      </c>
      <c r="T82" s="5">
        <f>HAVERM!AF78</f>
        <v>531286</v>
      </c>
      <c r="V82">
        <f t="shared" si="11"/>
        <v>7739216</v>
      </c>
      <c r="W82">
        <f t="shared" si="12"/>
        <v>13193963</v>
      </c>
      <c r="X82">
        <f t="shared" si="13"/>
        <v>8733165</v>
      </c>
      <c r="Y82" s="2" t="b">
        <f t="shared" si="14"/>
        <v>1</v>
      </c>
      <c r="AA82" s="5">
        <f t="shared" ref="AA82:AA114" si="15">(V82-V79)/1000</f>
        <v>78.228999999999999</v>
      </c>
      <c r="AB82" s="5">
        <f t="shared" ref="AB82:AB114" si="16">(W82-W79)/1000</f>
        <v>36.328000000000003</v>
      </c>
      <c r="AC82" s="5">
        <f t="shared" ref="AC82:AC114" si="17">(X82-X79)/1000</f>
        <v>82.93</v>
      </c>
      <c r="AD82" s="5">
        <f t="shared" ref="AD82:AD114" si="18">SUM(AA82:AC82)</f>
        <v>197.48700000000002</v>
      </c>
    </row>
    <row r="83" spans="1:30" x14ac:dyDescent="0.35">
      <c r="A83" s="4">
        <f>DATE(LEFT(HAVERM!J79,4),RIGHT(HAVERM!J79,2),1)</f>
        <v>44835</v>
      </c>
      <c r="B83" s="5">
        <f>HAVERM!N79</f>
        <v>191800</v>
      </c>
      <c r="C83" s="5">
        <f>HAVERM!O79</f>
        <v>48337</v>
      </c>
      <c r="D83" s="5">
        <f>HAVERM!P79</f>
        <v>2367373</v>
      </c>
      <c r="E83" s="5">
        <f>HAVERM!Q79</f>
        <v>100121</v>
      </c>
      <c r="F83" s="5">
        <f>HAVERM!R79</f>
        <v>193880</v>
      </c>
      <c r="G83" s="5">
        <f>HAVERM!S79</f>
        <v>1314737</v>
      </c>
      <c r="H83" s="5">
        <f>HAVERM!T79</f>
        <v>4373252</v>
      </c>
      <c r="I83" s="5">
        <f>HAVERM!U79</f>
        <v>1362223</v>
      </c>
      <c r="J83" s="5">
        <f>HAVERM!V79</f>
        <v>2159426</v>
      </c>
      <c r="K83" s="5">
        <f>HAVERM!W79</f>
        <v>1315146</v>
      </c>
      <c r="L83" s="5">
        <f>HAVERM!X79</f>
        <v>1064125</v>
      </c>
      <c r="M83" s="5">
        <f>HAVERM!Y79</f>
        <v>445957</v>
      </c>
      <c r="N83" s="5">
        <f>HAVERM!Z79</f>
        <v>2374617</v>
      </c>
      <c r="O83" s="5">
        <f>HAVERM!AA79</f>
        <v>2532160</v>
      </c>
      <c r="P83" s="5">
        <f>HAVERM!AB79</f>
        <v>1493905</v>
      </c>
      <c r="Q83" s="5">
        <f>HAVERM!AC79</f>
        <v>3137265</v>
      </c>
      <c r="R83" s="5">
        <f>HAVERM!AD79</f>
        <v>4097847</v>
      </c>
      <c r="S83" s="5">
        <f>HAVERM!AE79</f>
        <v>598219</v>
      </c>
      <c r="T83" s="5">
        <f>HAVERM!AF79</f>
        <v>532193</v>
      </c>
      <c r="V83">
        <f t="shared" si="11"/>
        <v>7773186</v>
      </c>
      <c r="W83">
        <f t="shared" si="12"/>
        <v>13200380</v>
      </c>
      <c r="X83">
        <f t="shared" si="13"/>
        <v>8729017</v>
      </c>
      <c r="Y83" s="2" t="b">
        <f t="shared" si="14"/>
        <v>1</v>
      </c>
      <c r="AA83" s="5">
        <f t="shared" si="15"/>
        <v>86.522000000000006</v>
      </c>
      <c r="AB83" s="5">
        <f t="shared" si="16"/>
        <v>18.786000000000001</v>
      </c>
      <c r="AC83" s="5">
        <f t="shared" si="17"/>
        <v>56.779000000000003</v>
      </c>
      <c r="AD83" s="5">
        <f t="shared" si="18"/>
        <v>162.08700000000002</v>
      </c>
    </row>
    <row r="84" spans="1:30" x14ac:dyDescent="0.35">
      <c r="A84" s="4">
        <f>DATE(LEFT(HAVERM!J80,4),RIGHT(HAVERM!J80,2),1)</f>
        <v>44866</v>
      </c>
      <c r="B84" s="5">
        <f>HAVERM!N80</f>
        <v>191979</v>
      </c>
      <c r="C84" s="5">
        <f>HAVERM!O80</f>
        <v>48520</v>
      </c>
      <c r="D84" s="5">
        <f>HAVERM!P80</f>
        <v>2369558</v>
      </c>
      <c r="E84" s="5">
        <f>HAVERM!Q80</f>
        <v>100531</v>
      </c>
      <c r="F84" s="5">
        <f>HAVERM!R80</f>
        <v>194317</v>
      </c>
      <c r="G84" s="5">
        <f>HAVERM!S80</f>
        <v>1317481</v>
      </c>
      <c r="H84" s="5">
        <f>HAVERM!T80</f>
        <v>4364998</v>
      </c>
      <c r="I84" s="5">
        <f>HAVERM!U80</f>
        <v>1362724</v>
      </c>
      <c r="J84" s="5">
        <f>HAVERM!V80</f>
        <v>2159897</v>
      </c>
      <c r="K84" s="5">
        <f>HAVERM!W80</f>
        <v>1319238</v>
      </c>
      <c r="L84" s="5">
        <f>HAVERM!X80</f>
        <v>1068444</v>
      </c>
      <c r="M84" s="5">
        <f>HAVERM!Y80</f>
        <v>446554</v>
      </c>
      <c r="N84" s="5">
        <f>HAVERM!Z80</f>
        <v>2384469</v>
      </c>
      <c r="O84" s="5">
        <f>HAVERM!AA80</f>
        <v>2534319</v>
      </c>
      <c r="P84" s="5">
        <f>HAVERM!AB80</f>
        <v>1496597</v>
      </c>
      <c r="Q84" s="5">
        <f>HAVERM!AC80</f>
        <v>3150409</v>
      </c>
      <c r="R84" s="5">
        <f>HAVERM!AD80</f>
        <v>4123538</v>
      </c>
      <c r="S84" s="5">
        <f>HAVERM!AE80</f>
        <v>600195</v>
      </c>
      <c r="T84" s="5">
        <f>HAVERM!AF80</f>
        <v>532732</v>
      </c>
      <c r="V84">
        <f t="shared" si="11"/>
        <v>7795724</v>
      </c>
      <c r="W84">
        <f t="shared" si="12"/>
        <v>13200232</v>
      </c>
      <c r="X84">
        <f t="shared" si="13"/>
        <v>8770544</v>
      </c>
      <c r="Y84" s="2" t="b">
        <f t="shared" si="14"/>
        <v>1</v>
      </c>
      <c r="AA84" s="5">
        <f t="shared" si="15"/>
        <v>83.828999999999994</v>
      </c>
      <c r="AB84" s="5">
        <f t="shared" si="16"/>
        <v>13.188000000000001</v>
      </c>
      <c r="AC84" s="5">
        <f t="shared" si="17"/>
        <v>74.652000000000001</v>
      </c>
      <c r="AD84" s="5">
        <f t="shared" si="18"/>
        <v>171.66899999999998</v>
      </c>
    </row>
    <row r="85" spans="1:30" x14ac:dyDescent="0.35">
      <c r="A85" s="4">
        <f>DATE(LEFT(HAVERM!J81,4),RIGHT(HAVERM!J81,2),1)</f>
        <v>44896</v>
      </c>
      <c r="B85" s="5">
        <f>HAVERM!N81</f>
        <v>191740</v>
      </c>
      <c r="C85" s="5">
        <f>HAVERM!O81</f>
        <v>48655</v>
      </c>
      <c r="D85" s="5">
        <f>HAVERM!P81</f>
        <v>2378092</v>
      </c>
      <c r="E85" s="5">
        <f>HAVERM!Q81</f>
        <v>101331</v>
      </c>
      <c r="F85" s="5">
        <f>HAVERM!R81</f>
        <v>194974</v>
      </c>
      <c r="G85" s="5">
        <f>HAVERM!S81</f>
        <v>1323163</v>
      </c>
      <c r="H85" s="5">
        <f>HAVERM!T81</f>
        <v>4360299</v>
      </c>
      <c r="I85" s="5">
        <f>HAVERM!U81</f>
        <v>1362556</v>
      </c>
      <c r="J85" s="5">
        <f>HAVERM!V81</f>
        <v>2164901</v>
      </c>
      <c r="K85" s="5">
        <f>HAVERM!W81</f>
        <v>1322119</v>
      </c>
      <c r="L85" s="5">
        <f>HAVERM!X81</f>
        <v>1072091</v>
      </c>
      <c r="M85" s="5">
        <f>HAVERM!Y81</f>
        <v>446839</v>
      </c>
      <c r="N85" s="5">
        <f>HAVERM!Z81</f>
        <v>2390714</v>
      </c>
      <c r="O85" s="5">
        <f>HAVERM!AA81</f>
        <v>2524449</v>
      </c>
      <c r="P85" s="5">
        <f>HAVERM!AB81</f>
        <v>1497742</v>
      </c>
      <c r="Q85" s="5">
        <f>HAVERM!AC81</f>
        <v>3153320</v>
      </c>
      <c r="R85" s="5">
        <f>HAVERM!AD81</f>
        <v>4141126</v>
      </c>
      <c r="S85" s="5">
        <f>HAVERM!AE81</f>
        <v>600279</v>
      </c>
      <c r="T85" s="5">
        <f>HAVERM!AF81</f>
        <v>533788</v>
      </c>
      <c r="V85">
        <f t="shared" si="11"/>
        <v>7815603</v>
      </c>
      <c r="W85">
        <f t="shared" si="12"/>
        <v>13200387</v>
      </c>
      <c r="X85">
        <f t="shared" si="13"/>
        <v>8792188</v>
      </c>
      <c r="Y85" s="2" t="b">
        <f t="shared" si="14"/>
        <v>1</v>
      </c>
      <c r="AA85" s="5">
        <f t="shared" si="15"/>
        <v>76.387</v>
      </c>
      <c r="AB85" s="5">
        <f t="shared" si="16"/>
        <v>6.4240000000000004</v>
      </c>
      <c r="AC85" s="5">
        <f t="shared" si="17"/>
        <v>59.023000000000003</v>
      </c>
      <c r="AD85" s="5">
        <f t="shared" si="18"/>
        <v>141.834</v>
      </c>
    </row>
    <row r="86" spans="1:30" x14ac:dyDescent="0.35">
      <c r="A86" s="4">
        <f>DATE(LEFT(HAVERM!J82,4),RIGHT(HAVERM!J82,2),1)</f>
        <v>44927</v>
      </c>
      <c r="B86" s="5">
        <f>HAVERM!N82</f>
        <v>191665</v>
      </c>
      <c r="C86" s="5">
        <f>HAVERM!O82</f>
        <v>48741</v>
      </c>
      <c r="D86" s="5">
        <f>HAVERM!P82</f>
        <v>2367381</v>
      </c>
      <c r="E86" s="5">
        <f>HAVERM!Q82</f>
        <v>101998</v>
      </c>
      <c r="F86" s="5">
        <f>HAVERM!R82</f>
        <v>195080</v>
      </c>
      <c r="G86" s="5">
        <f>HAVERM!S82</f>
        <v>1319997</v>
      </c>
      <c r="H86" s="5">
        <f>HAVERM!T82</f>
        <v>4360056</v>
      </c>
      <c r="I86" s="5">
        <f>HAVERM!U82</f>
        <v>1363190</v>
      </c>
      <c r="J86" s="5">
        <f>HAVERM!V82</f>
        <v>2169091</v>
      </c>
      <c r="K86" s="5">
        <f>HAVERM!W82</f>
        <v>1323956</v>
      </c>
      <c r="L86" s="5">
        <f>HAVERM!X82</f>
        <v>1075392</v>
      </c>
      <c r="M86" s="5">
        <f>HAVERM!Y82</f>
        <v>446687</v>
      </c>
      <c r="N86" s="5">
        <f>HAVERM!Z82</f>
        <v>2398149</v>
      </c>
      <c r="O86" s="5">
        <f>HAVERM!AA82</f>
        <v>2520108</v>
      </c>
      <c r="P86" s="5">
        <f>HAVERM!AB82</f>
        <v>1499135</v>
      </c>
      <c r="Q86" s="5">
        <f>HAVERM!AC82</f>
        <v>3154852</v>
      </c>
      <c r="R86" s="5">
        <f>HAVERM!AD82</f>
        <v>4159150</v>
      </c>
      <c r="S86" s="5">
        <f>HAVERM!AE82</f>
        <v>604869</v>
      </c>
      <c r="T86" s="5">
        <f>HAVERM!AF82</f>
        <v>534485</v>
      </c>
      <c r="V86">
        <f t="shared" si="11"/>
        <v>7826503</v>
      </c>
      <c r="W86">
        <f t="shared" si="12"/>
        <v>13194342</v>
      </c>
      <c r="X86">
        <f t="shared" si="13"/>
        <v>8813137</v>
      </c>
      <c r="Y86" s="2" t="b">
        <f t="shared" si="14"/>
        <v>1</v>
      </c>
      <c r="AA86" s="5">
        <f t="shared" si="15"/>
        <v>53.317</v>
      </c>
      <c r="AB86" s="5">
        <f t="shared" si="16"/>
        <v>-6.0380000000000003</v>
      </c>
      <c r="AC86" s="5">
        <f t="shared" si="17"/>
        <v>84.12</v>
      </c>
      <c r="AD86" s="5">
        <f t="shared" si="18"/>
        <v>131.399</v>
      </c>
    </row>
    <row r="87" spans="1:30" x14ac:dyDescent="0.35">
      <c r="A87" s="4">
        <f>DATE(LEFT(HAVERM!J83,4),RIGHT(HAVERM!J83,2),1)</f>
        <v>44958</v>
      </c>
      <c r="B87" s="5">
        <f>HAVERM!N83</f>
        <v>191732</v>
      </c>
      <c r="C87" s="5">
        <f>HAVERM!O83</f>
        <v>48841</v>
      </c>
      <c r="D87" s="5">
        <f>HAVERM!P83</f>
        <v>2368477</v>
      </c>
      <c r="E87" s="5">
        <f>HAVERM!Q83</f>
        <v>102714</v>
      </c>
      <c r="F87" s="5">
        <f>HAVERM!R83</f>
        <v>195583</v>
      </c>
      <c r="G87" s="5">
        <f>HAVERM!S83</f>
        <v>1321227</v>
      </c>
      <c r="H87" s="5">
        <f>HAVERM!T83</f>
        <v>4362676</v>
      </c>
      <c r="I87" s="5">
        <f>HAVERM!U83</f>
        <v>1364115</v>
      </c>
      <c r="J87" s="5">
        <f>HAVERM!V83</f>
        <v>2182921</v>
      </c>
      <c r="K87" s="5">
        <f>HAVERM!W83</f>
        <v>1325678</v>
      </c>
      <c r="L87" s="5">
        <f>HAVERM!X83</f>
        <v>1078818</v>
      </c>
      <c r="M87" s="5">
        <f>HAVERM!Y83</f>
        <v>447031</v>
      </c>
      <c r="N87" s="5">
        <f>HAVERM!Z83</f>
        <v>2403236</v>
      </c>
      <c r="O87" s="5">
        <f>HAVERM!AA83</f>
        <v>2514326</v>
      </c>
      <c r="P87" s="5">
        <f>HAVERM!AB83</f>
        <v>1501328</v>
      </c>
      <c r="Q87" s="5">
        <f>HAVERM!AC83</f>
        <v>3158760</v>
      </c>
      <c r="R87" s="5">
        <f>HAVERM!AD83</f>
        <v>4178611</v>
      </c>
      <c r="S87" s="5">
        <f>HAVERM!AE83</f>
        <v>607468</v>
      </c>
      <c r="T87" s="5">
        <f>HAVERM!AF83</f>
        <v>535545</v>
      </c>
      <c r="V87">
        <f t="shared" si="11"/>
        <v>7840212</v>
      </c>
      <c r="W87">
        <f t="shared" si="12"/>
        <v>13210176</v>
      </c>
      <c r="X87">
        <f t="shared" si="13"/>
        <v>8838699</v>
      </c>
      <c r="Y87" s="2" t="b">
        <f t="shared" si="14"/>
        <v>1</v>
      </c>
      <c r="AA87" s="5">
        <f t="shared" si="15"/>
        <v>44.488</v>
      </c>
      <c r="AB87" s="5">
        <f t="shared" si="16"/>
        <v>9.9440000000000008</v>
      </c>
      <c r="AC87" s="5">
        <f t="shared" si="17"/>
        <v>68.155000000000001</v>
      </c>
      <c r="AD87" s="5">
        <f t="shared" si="18"/>
        <v>122.587</v>
      </c>
    </row>
    <row r="88" spans="1:30" x14ac:dyDescent="0.35">
      <c r="A88" s="4">
        <f>DATE(LEFT(HAVERM!J84,4),RIGHT(HAVERM!J84,2),1)</f>
        <v>44986</v>
      </c>
      <c r="B88" s="5">
        <f>HAVERM!N84</f>
        <v>191896</v>
      </c>
      <c r="C88" s="5">
        <f>HAVERM!O84</f>
        <v>48984</v>
      </c>
      <c r="D88" s="5">
        <f>HAVERM!P84</f>
        <v>2367443</v>
      </c>
      <c r="E88" s="5">
        <f>HAVERM!Q84</f>
        <v>103363</v>
      </c>
      <c r="F88" s="5">
        <f>HAVERM!R84</f>
        <v>196140</v>
      </c>
      <c r="G88" s="5">
        <f>HAVERM!S84</f>
        <v>1322880</v>
      </c>
      <c r="H88" s="5">
        <f>HAVERM!T84</f>
        <v>4361660</v>
      </c>
      <c r="I88" s="5">
        <f>HAVERM!U84</f>
        <v>1364860</v>
      </c>
      <c r="J88" s="5">
        <f>HAVERM!V84</f>
        <v>2193039</v>
      </c>
      <c r="K88" s="5">
        <f>HAVERM!W84</f>
        <v>1325867</v>
      </c>
      <c r="L88" s="5">
        <f>HAVERM!X84</f>
        <v>1081604</v>
      </c>
      <c r="M88" s="5">
        <f>HAVERM!Y84</f>
        <v>446998</v>
      </c>
      <c r="N88" s="5">
        <f>HAVERM!Z84</f>
        <v>2407937</v>
      </c>
      <c r="O88" s="5">
        <f>HAVERM!AA84</f>
        <v>2510532</v>
      </c>
      <c r="P88" s="5">
        <f>HAVERM!AB84</f>
        <v>1503924</v>
      </c>
      <c r="Q88" s="5">
        <f>HAVERM!AC84</f>
        <v>3168463</v>
      </c>
      <c r="R88" s="5">
        <f>HAVERM!AD84</f>
        <v>4197320</v>
      </c>
      <c r="S88" s="5">
        <f>HAVERM!AE84</f>
        <v>609572</v>
      </c>
      <c r="T88" s="5">
        <f>HAVERM!AF84</f>
        <v>536813</v>
      </c>
      <c r="V88">
        <f t="shared" si="11"/>
        <v>7851635</v>
      </c>
      <c r="W88">
        <f t="shared" si="12"/>
        <v>13217953</v>
      </c>
      <c r="X88">
        <f t="shared" si="13"/>
        <v>8869707</v>
      </c>
      <c r="Y88" s="2" t="b">
        <f t="shared" si="14"/>
        <v>1</v>
      </c>
      <c r="AA88" s="5">
        <f t="shared" si="15"/>
        <v>36.031999999999996</v>
      </c>
      <c r="AB88" s="5">
        <f t="shared" si="16"/>
        <v>17.565999999999999</v>
      </c>
      <c r="AC88" s="5">
        <f t="shared" si="17"/>
        <v>77.519000000000005</v>
      </c>
      <c r="AD88" s="5">
        <f t="shared" si="18"/>
        <v>131.11700000000002</v>
      </c>
    </row>
    <row r="89" spans="1:30" x14ac:dyDescent="0.35">
      <c r="A89" s="4">
        <f>DATE(LEFT(HAVERM!J85,4),RIGHT(HAVERM!J85,2),1)</f>
        <v>45017</v>
      </c>
      <c r="B89" s="5">
        <f>HAVERM!N85</f>
        <v>191347</v>
      </c>
      <c r="C89" s="5">
        <f>HAVERM!O85</f>
        <v>49235</v>
      </c>
      <c r="D89" s="5">
        <f>HAVERM!P85</f>
        <v>2367165</v>
      </c>
      <c r="E89" s="5">
        <f>HAVERM!Q85</f>
        <v>104129</v>
      </c>
      <c r="F89" s="5">
        <f>HAVERM!R85</f>
        <v>196808</v>
      </c>
      <c r="G89" s="5">
        <f>HAVERM!S85</f>
        <v>1326351</v>
      </c>
      <c r="H89" s="5">
        <f>HAVERM!T85</f>
        <v>4363479</v>
      </c>
      <c r="I89" s="5">
        <f>HAVERM!U85</f>
        <v>1367415</v>
      </c>
      <c r="J89" s="5">
        <f>HAVERM!V85</f>
        <v>2197422</v>
      </c>
      <c r="K89" s="5">
        <f>HAVERM!W85</f>
        <v>1328109</v>
      </c>
      <c r="L89" s="5">
        <f>HAVERM!X85</f>
        <v>1084220</v>
      </c>
      <c r="M89" s="5">
        <f>HAVERM!Y85</f>
        <v>447649</v>
      </c>
      <c r="N89" s="5">
        <f>HAVERM!Z85</f>
        <v>2415672</v>
      </c>
      <c r="O89" s="5">
        <f>HAVERM!AA85</f>
        <v>2504349</v>
      </c>
      <c r="P89" s="5">
        <f>HAVERM!AB85</f>
        <v>1505782</v>
      </c>
      <c r="Q89" s="5">
        <f>HAVERM!AC85</f>
        <v>3173090</v>
      </c>
      <c r="R89" s="5">
        <f>HAVERM!AD85</f>
        <v>4221602</v>
      </c>
      <c r="S89" s="5">
        <f>HAVERM!AE85</f>
        <v>612428</v>
      </c>
      <c r="T89" s="5">
        <f>HAVERM!AF85</f>
        <v>538502</v>
      </c>
      <c r="V89">
        <f t="shared" si="11"/>
        <v>7871939</v>
      </c>
      <c r="W89">
        <f t="shared" si="12"/>
        <v>13222341</v>
      </c>
      <c r="X89">
        <f t="shared" si="13"/>
        <v>8900474</v>
      </c>
      <c r="Y89" s="2" t="b">
        <f t="shared" si="14"/>
        <v>1</v>
      </c>
      <c r="AA89" s="5">
        <f t="shared" si="15"/>
        <v>45.436</v>
      </c>
      <c r="AB89" s="5">
        <f t="shared" si="16"/>
        <v>27.998999999999999</v>
      </c>
      <c r="AC89" s="5">
        <f t="shared" si="17"/>
        <v>87.337000000000003</v>
      </c>
      <c r="AD89" s="5">
        <f t="shared" si="18"/>
        <v>160.77199999999999</v>
      </c>
    </row>
    <row r="90" spans="1:30" x14ac:dyDescent="0.35">
      <c r="A90" s="4">
        <f>DATE(LEFT(HAVERM!J86,4),RIGHT(HAVERM!J86,2),1)</f>
        <v>45047</v>
      </c>
      <c r="B90" s="5">
        <f>HAVERM!N86</f>
        <v>191137</v>
      </c>
      <c r="C90" s="5">
        <f>HAVERM!O86</f>
        <v>49402</v>
      </c>
      <c r="D90" s="5">
        <f>HAVERM!P86</f>
        <v>2366798</v>
      </c>
      <c r="E90" s="5">
        <f>HAVERM!Q86</f>
        <v>105036</v>
      </c>
      <c r="F90" s="5">
        <f>HAVERM!R86</f>
        <v>197185</v>
      </c>
      <c r="G90" s="5">
        <f>HAVERM!S86</f>
        <v>1328207</v>
      </c>
      <c r="H90" s="5">
        <f>HAVERM!T86</f>
        <v>4363293</v>
      </c>
      <c r="I90" s="5">
        <f>HAVERM!U86</f>
        <v>1369270</v>
      </c>
      <c r="J90" s="5">
        <f>HAVERM!V86</f>
        <v>2194495</v>
      </c>
      <c r="K90" s="5">
        <f>HAVERM!W86</f>
        <v>1325838</v>
      </c>
      <c r="L90" s="5">
        <f>HAVERM!X86</f>
        <v>1087650</v>
      </c>
      <c r="M90" s="5">
        <f>HAVERM!Y86</f>
        <v>448606</v>
      </c>
      <c r="N90" s="5">
        <f>HAVERM!Z86</f>
        <v>2419573</v>
      </c>
      <c r="O90" s="5">
        <f>HAVERM!AA86</f>
        <v>2502679</v>
      </c>
      <c r="P90" s="5">
        <f>HAVERM!AB86</f>
        <v>1509270</v>
      </c>
      <c r="Q90" s="5">
        <f>HAVERM!AC86</f>
        <v>3174730</v>
      </c>
      <c r="R90" s="5">
        <f>HAVERM!AD86</f>
        <v>4246334</v>
      </c>
      <c r="S90" s="5">
        <f>HAVERM!AE86</f>
        <v>614292</v>
      </c>
      <c r="T90" s="5">
        <f>HAVERM!AF86</f>
        <v>539463</v>
      </c>
      <c r="V90">
        <f t="shared" si="11"/>
        <v>7882161</v>
      </c>
      <c r="W90">
        <f t="shared" si="12"/>
        <v>13220763</v>
      </c>
      <c r="X90">
        <f t="shared" si="13"/>
        <v>8930334</v>
      </c>
      <c r="Y90" s="2" t="b">
        <f t="shared" si="14"/>
        <v>1</v>
      </c>
      <c r="AA90" s="5">
        <f t="shared" si="15"/>
        <v>41.948999999999998</v>
      </c>
      <c r="AB90" s="5">
        <f t="shared" si="16"/>
        <v>10.587</v>
      </c>
      <c r="AC90" s="5">
        <f t="shared" si="17"/>
        <v>91.635000000000005</v>
      </c>
      <c r="AD90" s="5">
        <f t="shared" si="18"/>
        <v>144.17099999999999</v>
      </c>
    </row>
    <row r="91" spans="1:30" x14ac:dyDescent="0.35">
      <c r="A91" s="4">
        <f>DATE(LEFT(HAVERM!J87,4),RIGHT(HAVERM!J87,2),1)</f>
        <v>45078</v>
      </c>
      <c r="B91" s="5">
        <f>HAVERM!N87</f>
        <v>191174</v>
      </c>
      <c r="C91" s="5">
        <f>HAVERM!O87</f>
        <v>49438</v>
      </c>
      <c r="D91" s="5">
        <f>HAVERM!P87</f>
        <v>2365272</v>
      </c>
      <c r="E91" s="5">
        <f>HAVERM!Q87</f>
        <v>105871</v>
      </c>
      <c r="F91" s="5">
        <f>HAVERM!R87</f>
        <v>197759</v>
      </c>
      <c r="G91" s="5">
        <f>HAVERM!S87</f>
        <v>1329569</v>
      </c>
      <c r="H91" s="5">
        <f>HAVERM!T87</f>
        <v>4363493</v>
      </c>
      <c r="I91" s="5">
        <f>HAVERM!U87</f>
        <v>1370214</v>
      </c>
      <c r="J91" s="5">
        <f>HAVERM!V87</f>
        <v>2196290</v>
      </c>
      <c r="K91" s="5">
        <f>HAVERM!W87</f>
        <v>1324093</v>
      </c>
      <c r="L91" s="5">
        <f>HAVERM!X87</f>
        <v>1090258</v>
      </c>
      <c r="M91" s="5">
        <f>HAVERM!Y87</f>
        <v>449530</v>
      </c>
      <c r="N91" s="5">
        <f>HAVERM!Z87</f>
        <v>2424264</v>
      </c>
      <c r="O91" s="5">
        <f>HAVERM!AA87</f>
        <v>2499892</v>
      </c>
      <c r="P91" s="5">
        <f>HAVERM!AB87</f>
        <v>1508034</v>
      </c>
      <c r="Q91" s="5">
        <f>HAVERM!AC87</f>
        <v>3180904</v>
      </c>
      <c r="R91" s="5">
        <f>HAVERM!AD87</f>
        <v>4273289</v>
      </c>
      <c r="S91" s="5">
        <f>HAVERM!AE87</f>
        <v>616480</v>
      </c>
      <c r="T91" s="5">
        <f>HAVERM!AF87</f>
        <v>540089</v>
      </c>
      <c r="V91">
        <f t="shared" si="11"/>
        <v>7891466</v>
      </c>
      <c r="W91">
        <f t="shared" si="12"/>
        <v>13222220</v>
      </c>
      <c r="X91">
        <f t="shared" si="13"/>
        <v>8962227</v>
      </c>
      <c r="Y91" s="2" t="b">
        <f t="shared" si="14"/>
        <v>1</v>
      </c>
      <c r="AA91" s="5">
        <f t="shared" si="15"/>
        <v>39.831000000000003</v>
      </c>
      <c r="AB91" s="5">
        <f t="shared" si="16"/>
        <v>4.2670000000000003</v>
      </c>
      <c r="AC91" s="5">
        <f t="shared" si="17"/>
        <v>92.52</v>
      </c>
      <c r="AD91" s="5">
        <f t="shared" si="18"/>
        <v>136.61799999999999</v>
      </c>
    </row>
    <row r="92" spans="1:30" x14ac:dyDescent="0.35">
      <c r="A92" s="4">
        <f>DATE(LEFT(HAVERM!J88,4),RIGHT(HAVERM!J88,2),1)</f>
        <v>45108</v>
      </c>
      <c r="B92" s="5">
        <f>HAVERM!N88</f>
        <v>191111</v>
      </c>
      <c r="C92" s="5">
        <f>HAVERM!O88</f>
        <v>49529</v>
      </c>
      <c r="D92" s="5">
        <f>HAVERM!P88</f>
        <v>2363006</v>
      </c>
      <c r="E92" s="5">
        <f>HAVERM!Q88</f>
        <v>106580</v>
      </c>
      <c r="F92" s="5">
        <f>HAVERM!R88</f>
        <v>197919</v>
      </c>
      <c r="G92" s="5">
        <f>HAVERM!S88</f>
        <v>1329447</v>
      </c>
      <c r="H92" s="5">
        <f>HAVERM!T88</f>
        <v>4365153</v>
      </c>
      <c r="I92" s="5">
        <f>HAVERM!U88</f>
        <v>1370740</v>
      </c>
      <c r="J92" s="5">
        <f>HAVERM!V88</f>
        <v>2197755</v>
      </c>
      <c r="K92" s="5">
        <f>HAVERM!W88</f>
        <v>1320609</v>
      </c>
      <c r="L92" s="5">
        <f>HAVERM!X88</f>
        <v>1093628</v>
      </c>
      <c r="M92" s="5">
        <f>HAVERM!Y88</f>
        <v>450813</v>
      </c>
      <c r="N92" s="5">
        <f>HAVERM!Z88</f>
        <v>2427542</v>
      </c>
      <c r="O92" s="5">
        <f>HAVERM!AA88</f>
        <v>2491046</v>
      </c>
      <c r="P92" s="5">
        <f>HAVERM!AB88</f>
        <v>1506139</v>
      </c>
      <c r="Q92" s="5">
        <f>HAVERM!AC88</f>
        <v>3183836</v>
      </c>
      <c r="R92" s="5">
        <f>HAVERM!AD88</f>
        <v>4277436</v>
      </c>
      <c r="S92" s="5">
        <f>HAVERM!AE88</f>
        <v>618280</v>
      </c>
      <c r="T92" s="5">
        <f>HAVERM!AF88</f>
        <v>540407</v>
      </c>
      <c r="V92">
        <f t="shared" si="11"/>
        <v>7895994</v>
      </c>
      <c r="W92">
        <f t="shared" si="12"/>
        <v>13217571</v>
      </c>
      <c r="X92">
        <f t="shared" si="13"/>
        <v>8967411</v>
      </c>
      <c r="Y92" s="2" t="b">
        <f t="shared" si="14"/>
        <v>1</v>
      </c>
      <c r="AA92" s="5">
        <f t="shared" si="15"/>
        <v>24.055</v>
      </c>
      <c r="AB92" s="5">
        <f t="shared" si="16"/>
        <v>-4.7699999999999996</v>
      </c>
      <c r="AC92" s="5">
        <f t="shared" si="17"/>
        <v>66.936999999999998</v>
      </c>
      <c r="AD92" s="5">
        <f t="shared" si="18"/>
        <v>86.221999999999994</v>
      </c>
    </row>
    <row r="93" spans="1:30" x14ac:dyDescent="0.35">
      <c r="A93" s="4">
        <f>DATE(LEFT(HAVERM!J89,4),RIGHT(HAVERM!J89,2),1)</f>
        <v>45139</v>
      </c>
      <c r="B93" s="5">
        <f>HAVERM!N89</f>
        <v>190938</v>
      </c>
      <c r="C93" s="5">
        <f>HAVERM!O89</f>
        <v>49570</v>
      </c>
      <c r="D93" s="5">
        <f>HAVERM!P89</f>
        <v>2361760</v>
      </c>
      <c r="E93" s="5">
        <f>HAVERM!Q89</f>
        <v>107112</v>
      </c>
      <c r="F93" s="5">
        <f>HAVERM!R89</f>
        <v>198267</v>
      </c>
      <c r="G93" s="5">
        <f>HAVERM!S89</f>
        <v>1330333</v>
      </c>
      <c r="H93" s="5">
        <f>HAVERM!T89</f>
        <v>4366428</v>
      </c>
      <c r="I93" s="5">
        <f>HAVERM!U89</f>
        <v>1370743</v>
      </c>
      <c r="J93" s="5">
        <f>HAVERM!V89</f>
        <v>2195597</v>
      </c>
      <c r="K93" s="5">
        <f>HAVERM!W89</f>
        <v>1316410</v>
      </c>
      <c r="L93" s="5">
        <f>HAVERM!X89</f>
        <v>1095220</v>
      </c>
      <c r="M93" s="5">
        <f>HAVERM!Y89</f>
        <v>451942</v>
      </c>
      <c r="N93" s="5">
        <f>HAVERM!Z89</f>
        <v>2433289</v>
      </c>
      <c r="O93" s="5">
        <f>HAVERM!AA89</f>
        <v>2483181</v>
      </c>
      <c r="P93" s="5">
        <f>HAVERM!AB89</f>
        <v>1509133</v>
      </c>
      <c r="Q93" s="5">
        <f>HAVERM!AC89</f>
        <v>3190562</v>
      </c>
      <c r="R93" s="5">
        <f>HAVERM!AD89</f>
        <v>4288596</v>
      </c>
      <c r="S93" s="5">
        <f>HAVERM!AE89</f>
        <v>619672</v>
      </c>
      <c r="T93" s="5">
        <f>HAVERM!AF89</f>
        <v>541296</v>
      </c>
      <c r="V93">
        <f t="shared" si="11"/>
        <v>7900944</v>
      </c>
      <c r="W93">
        <f t="shared" si="12"/>
        <v>13210814</v>
      </c>
      <c r="X93">
        <f t="shared" si="13"/>
        <v>8988291</v>
      </c>
      <c r="Y93" s="2" t="b">
        <f t="shared" si="14"/>
        <v>1</v>
      </c>
      <c r="AA93" s="5">
        <f t="shared" si="15"/>
        <v>18.783000000000001</v>
      </c>
      <c r="AB93" s="5">
        <f t="shared" si="16"/>
        <v>-9.9489999999999998</v>
      </c>
      <c r="AC93" s="5">
        <f t="shared" si="17"/>
        <v>57.957000000000001</v>
      </c>
      <c r="AD93" s="5">
        <f t="shared" si="18"/>
        <v>66.790999999999997</v>
      </c>
    </row>
    <row r="94" spans="1:30" x14ac:dyDescent="0.35">
      <c r="A94" s="4">
        <f>DATE(LEFT(HAVERM!J90,4),RIGHT(HAVERM!J90,2),1)</f>
        <v>45170</v>
      </c>
      <c r="B94" s="5">
        <f>HAVERM!N90</f>
        <v>191092</v>
      </c>
      <c r="C94" s="5">
        <f>HAVERM!O90</f>
        <v>49630</v>
      </c>
      <c r="D94" s="5">
        <f>HAVERM!P90</f>
        <v>2358857</v>
      </c>
      <c r="E94" s="5">
        <f>HAVERM!Q90</f>
        <v>108108</v>
      </c>
      <c r="F94" s="5">
        <f>HAVERM!R90</f>
        <v>198512</v>
      </c>
      <c r="G94" s="5">
        <f>HAVERM!S90</f>
        <v>1333079</v>
      </c>
      <c r="H94" s="5">
        <f>HAVERM!T90</f>
        <v>4366641</v>
      </c>
      <c r="I94" s="5">
        <f>HAVERM!U90</f>
        <v>1371615</v>
      </c>
      <c r="J94" s="5">
        <f>HAVERM!V90</f>
        <v>2197353</v>
      </c>
      <c r="K94" s="5">
        <f>HAVERM!W90</f>
        <v>1312323</v>
      </c>
      <c r="L94" s="5">
        <f>HAVERM!X90</f>
        <v>1097995</v>
      </c>
      <c r="M94" s="5">
        <f>HAVERM!Y90</f>
        <v>452749</v>
      </c>
      <c r="N94" s="5">
        <f>HAVERM!Z90</f>
        <v>2436534</v>
      </c>
      <c r="O94" s="5">
        <f>HAVERM!AA90</f>
        <v>2480936</v>
      </c>
      <c r="P94" s="5">
        <f>HAVERM!AB90</f>
        <v>1514459</v>
      </c>
      <c r="Q94" s="5">
        <f>HAVERM!AC90</f>
        <v>3199048</v>
      </c>
      <c r="R94" s="5">
        <f>HAVERM!AD90</f>
        <v>4303025</v>
      </c>
      <c r="S94" s="5">
        <f>HAVERM!AE90</f>
        <v>621584</v>
      </c>
      <c r="T94" s="5">
        <f>HAVERM!AF90</f>
        <v>543126</v>
      </c>
      <c r="V94">
        <f t="shared" si="11"/>
        <v>7907796</v>
      </c>
      <c r="W94">
        <f t="shared" si="12"/>
        <v>13212338</v>
      </c>
      <c r="X94">
        <f t="shared" si="13"/>
        <v>9016532</v>
      </c>
      <c r="Y94" s="2" t="b">
        <f t="shared" si="14"/>
        <v>1</v>
      </c>
      <c r="AA94" s="5">
        <f t="shared" si="15"/>
        <v>16.329999999999998</v>
      </c>
      <c r="AB94" s="5">
        <f t="shared" si="16"/>
        <v>-9.8819999999999997</v>
      </c>
      <c r="AC94" s="5">
        <f t="shared" si="17"/>
        <v>54.305</v>
      </c>
      <c r="AD94" s="5">
        <f t="shared" si="18"/>
        <v>60.753</v>
      </c>
    </row>
    <row r="95" spans="1:30" x14ac:dyDescent="0.35">
      <c r="A95" s="4">
        <f>DATE(LEFT(HAVERM!J91,4),RIGHT(HAVERM!J91,2),1)</f>
        <v>45200</v>
      </c>
      <c r="B95" s="5">
        <f>HAVERM!N91</f>
        <v>191477</v>
      </c>
      <c r="C95" s="5">
        <f>HAVERM!O91</f>
        <v>49659</v>
      </c>
      <c r="D95" s="5">
        <f>HAVERM!P91</f>
        <v>2356237</v>
      </c>
      <c r="E95" s="5">
        <f>HAVERM!Q91</f>
        <v>108772</v>
      </c>
      <c r="F95" s="5">
        <f>HAVERM!R91</f>
        <v>198762</v>
      </c>
      <c r="G95" s="5">
        <f>HAVERM!S91</f>
        <v>1334982</v>
      </c>
      <c r="H95" s="5">
        <f>HAVERM!T91</f>
        <v>4367981</v>
      </c>
      <c r="I95" s="5">
        <f>HAVERM!U91</f>
        <v>1369816</v>
      </c>
      <c r="J95" s="5">
        <f>HAVERM!V91</f>
        <v>2196473</v>
      </c>
      <c r="K95" s="5">
        <f>HAVERM!W91</f>
        <v>1308946</v>
      </c>
      <c r="L95" s="5">
        <f>HAVERM!X91</f>
        <v>1100886</v>
      </c>
      <c r="M95" s="5">
        <f>HAVERM!Y91</f>
        <v>453604</v>
      </c>
      <c r="N95" s="5">
        <f>HAVERM!Z91</f>
        <v>2440649</v>
      </c>
      <c r="O95" s="5">
        <f>HAVERM!AA91</f>
        <v>2482472</v>
      </c>
      <c r="P95" s="5">
        <f>HAVERM!AB91</f>
        <v>1518969</v>
      </c>
      <c r="Q95" s="5">
        <f>HAVERM!AC91</f>
        <v>3199984</v>
      </c>
      <c r="R95" s="5">
        <f>HAVERM!AD91</f>
        <v>4316041</v>
      </c>
      <c r="S95" s="5">
        <f>HAVERM!AE91</f>
        <v>623087</v>
      </c>
      <c r="T95" s="5">
        <f>HAVERM!AF91</f>
        <v>544464</v>
      </c>
      <c r="V95">
        <f t="shared" si="11"/>
        <v>7912472</v>
      </c>
      <c r="W95">
        <f t="shared" si="12"/>
        <v>13215795</v>
      </c>
      <c r="X95">
        <f t="shared" si="13"/>
        <v>9034994</v>
      </c>
      <c r="Y95" s="2" t="b">
        <f t="shared" si="14"/>
        <v>1</v>
      </c>
      <c r="AA95" s="5">
        <f t="shared" si="15"/>
        <v>16.478000000000002</v>
      </c>
      <c r="AB95" s="5">
        <f t="shared" si="16"/>
        <v>-1.776</v>
      </c>
      <c r="AC95" s="5">
        <f t="shared" si="17"/>
        <v>67.582999999999998</v>
      </c>
      <c r="AD95" s="5">
        <f t="shared" si="18"/>
        <v>82.284999999999997</v>
      </c>
    </row>
    <row r="96" spans="1:30" x14ac:dyDescent="0.35">
      <c r="A96" s="4">
        <f>DATE(LEFT(HAVERM!J92,4),RIGHT(HAVERM!J92,2),1)</f>
        <v>45231</v>
      </c>
      <c r="B96" s="5">
        <f>HAVERM!N92</f>
        <v>191410</v>
      </c>
      <c r="C96" s="5">
        <f>HAVERM!O92</f>
        <v>49629</v>
      </c>
      <c r="D96" s="5">
        <f>HAVERM!P92</f>
        <v>2354488</v>
      </c>
      <c r="E96" s="5">
        <f>HAVERM!Q92</f>
        <v>109551</v>
      </c>
      <c r="F96" s="5">
        <f>HAVERM!R92</f>
        <v>199295</v>
      </c>
      <c r="G96" s="5">
        <f>HAVERM!S92</f>
        <v>1336934</v>
      </c>
      <c r="H96" s="5">
        <f>HAVERM!T92</f>
        <v>4366424</v>
      </c>
      <c r="I96" s="5">
        <f>HAVERM!U92</f>
        <v>1369290</v>
      </c>
      <c r="J96" s="5">
        <f>HAVERM!V92</f>
        <v>2187267</v>
      </c>
      <c r="K96" s="5">
        <f>HAVERM!W92</f>
        <v>1306783</v>
      </c>
      <c r="L96" s="5">
        <f>HAVERM!X92</f>
        <v>1101450</v>
      </c>
      <c r="M96" s="5">
        <f>HAVERM!Y92</f>
        <v>454882</v>
      </c>
      <c r="N96" s="5">
        <f>HAVERM!Z92</f>
        <v>2445257</v>
      </c>
      <c r="O96" s="5">
        <f>HAVERM!AA92</f>
        <v>2484452</v>
      </c>
      <c r="P96" s="5">
        <f>HAVERM!AB92</f>
        <v>1521121</v>
      </c>
      <c r="Q96" s="5">
        <f>HAVERM!AC92</f>
        <v>3209514</v>
      </c>
      <c r="R96" s="5">
        <f>HAVERM!AD92</f>
        <v>4332991</v>
      </c>
      <c r="S96" s="5">
        <f>HAVERM!AE92</f>
        <v>624640</v>
      </c>
      <c r="T96" s="5">
        <f>HAVERM!AF92</f>
        <v>545720</v>
      </c>
      <c r="V96">
        <f t="shared" si="11"/>
        <v>7918189</v>
      </c>
      <c r="W96">
        <f t="shared" si="12"/>
        <v>13209283</v>
      </c>
      <c r="X96">
        <f t="shared" si="13"/>
        <v>9063626</v>
      </c>
      <c r="Y96" s="2" t="b">
        <f t="shared" si="14"/>
        <v>1</v>
      </c>
      <c r="AA96" s="5">
        <f t="shared" si="15"/>
        <v>17.245000000000001</v>
      </c>
      <c r="AB96" s="5">
        <f t="shared" si="16"/>
        <v>-1.5309999999999999</v>
      </c>
      <c r="AC96" s="5">
        <f t="shared" si="17"/>
        <v>75.334999999999994</v>
      </c>
      <c r="AD96" s="5">
        <f t="shared" si="18"/>
        <v>91.048999999999992</v>
      </c>
    </row>
    <row r="97" spans="1:30" x14ac:dyDescent="0.35">
      <c r="A97" s="4">
        <f>DATE(LEFT(HAVERM!J93,4),RIGHT(HAVERM!J93,2),1)</f>
        <v>45261</v>
      </c>
      <c r="B97" s="5">
        <f>HAVERM!N93</f>
        <v>191577</v>
      </c>
      <c r="C97" s="5">
        <f>HAVERM!O93</f>
        <v>49526</v>
      </c>
      <c r="D97" s="5">
        <f>HAVERM!P93</f>
        <v>2362692</v>
      </c>
      <c r="E97" s="5">
        <f>HAVERM!Q93</f>
        <v>109989</v>
      </c>
      <c r="F97" s="5">
        <f>HAVERM!R93</f>
        <v>199602</v>
      </c>
      <c r="G97" s="5">
        <f>HAVERM!S93</f>
        <v>1340823</v>
      </c>
      <c r="H97" s="5">
        <f>HAVERM!T93</f>
        <v>4359682</v>
      </c>
      <c r="I97" s="5">
        <f>HAVERM!U93</f>
        <v>1370342</v>
      </c>
      <c r="J97" s="5">
        <f>HAVERM!V93</f>
        <v>2201678</v>
      </c>
      <c r="K97" s="5">
        <f>HAVERM!W93</f>
        <v>1304671</v>
      </c>
      <c r="L97" s="5">
        <f>HAVERM!X93</f>
        <v>1102014</v>
      </c>
      <c r="M97" s="5">
        <f>HAVERM!Y93</f>
        <v>455742</v>
      </c>
      <c r="N97" s="5">
        <f>HAVERM!Z93</f>
        <v>2447669</v>
      </c>
      <c r="O97" s="5">
        <f>HAVERM!AA93</f>
        <v>2487079</v>
      </c>
      <c r="P97" s="5">
        <f>HAVERM!AB93</f>
        <v>1521899</v>
      </c>
      <c r="Q97" s="5">
        <f>HAVERM!AC93</f>
        <v>3212367</v>
      </c>
      <c r="R97" s="5">
        <f>HAVERM!AD93</f>
        <v>4345405</v>
      </c>
      <c r="S97" s="5">
        <f>HAVERM!AE93</f>
        <v>626896</v>
      </c>
      <c r="T97" s="5">
        <f>HAVERM!AF93</f>
        <v>546603</v>
      </c>
      <c r="V97">
        <f t="shared" si="11"/>
        <v>7924636</v>
      </c>
      <c r="W97">
        <f t="shared" si="12"/>
        <v>13231949</v>
      </c>
      <c r="X97">
        <f t="shared" si="13"/>
        <v>9079671</v>
      </c>
      <c r="Y97" s="2" t="b">
        <f t="shared" si="14"/>
        <v>1</v>
      </c>
      <c r="AA97" s="5">
        <f t="shared" si="15"/>
        <v>16.84</v>
      </c>
      <c r="AB97" s="5">
        <f t="shared" si="16"/>
        <v>19.611000000000001</v>
      </c>
      <c r="AC97" s="5">
        <f t="shared" si="17"/>
        <v>63.139000000000003</v>
      </c>
      <c r="AD97" s="5">
        <f t="shared" si="18"/>
        <v>99.59</v>
      </c>
    </row>
    <row r="98" spans="1:30" x14ac:dyDescent="0.35">
      <c r="A98" s="4">
        <f>DATE(LEFT(HAVERM!J94,4),RIGHT(HAVERM!J94,2),1)</f>
        <v>45292</v>
      </c>
      <c r="B98" s="5">
        <f>HAVERM!N94</f>
        <v>191903</v>
      </c>
      <c r="C98" s="5">
        <f>HAVERM!O94</f>
        <v>49441</v>
      </c>
      <c r="D98" s="5">
        <f>HAVERM!P94</f>
        <v>2350618</v>
      </c>
      <c r="E98" s="5">
        <f>HAVERM!Q94</f>
        <v>110384</v>
      </c>
      <c r="F98" s="5">
        <f>HAVERM!R94</f>
        <v>199977</v>
      </c>
      <c r="G98" s="5">
        <f>HAVERM!S94</f>
        <v>1339360</v>
      </c>
      <c r="H98" s="5">
        <f>HAVERM!T94</f>
        <v>4353269</v>
      </c>
      <c r="I98" s="5">
        <f>HAVERM!U94</f>
        <v>1371780</v>
      </c>
      <c r="J98" s="5">
        <f>HAVERM!V94</f>
        <v>2204617</v>
      </c>
      <c r="K98" s="5">
        <f>HAVERM!W94</f>
        <v>1302653</v>
      </c>
      <c r="L98" s="5">
        <f>HAVERM!X94</f>
        <v>1104196</v>
      </c>
      <c r="M98" s="5">
        <f>HAVERM!Y94</f>
        <v>456812</v>
      </c>
      <c r="N98" s="5">
        <f>HAVERM!Z94</f>
        <v>2448433</v>
      </c>
      <c r="O98" s="5">
        <f>HAVERM!AA94</f>
        <v>2486785</v>
      </c>
      <c r="P98" s="5">
        <f>HAVERM!AB94</f>
        <v>1523388</v>
      </c>
      <c r="Q98" s="5">
        <f>HAVERM!AC94</f>
        <v>3215302</v>
      </c>
      <c r="R98" s="5">
        <f>HAVERM!AD94</f>
        <v>4360753</v>
      </c>
      <c r="S98" s="5">
        <f>HAVERM!AE94</f>
        <v>629045</v>
      </c>
      <c r="T98" s="5">
        <f>HAVERM!AF94</f>
        <v>548243</v>
      </c>
      <c r="V98">
        <f t="shared" si="11"/>
        <v>7926224</v>
      </c>
      <c r="W98">
        <f t="shared" si="12"/>
        <v>13221292</v>
      </c>
      <c r="X98">
        <f t="shared" si="13"/>
        <v>9099443</v>
      </c>
      <c r="Y98" s="2" t="b">
        <f t="shared" si="14"/>
        <v>1</v>
      </c>
      <c r="AA98" s="5">
        <f t="shared" si="15"/>
        <v>13.752000000000001</v>
      </c>
      <c r="AB98" s="5">
        <f t="shared" si="16"/>
        <v>5.4969999999999999</v>
      </c>
      <c r="AC98" s="5">
        <f t="shared" si="17"/>
        <v>64.448999999999998</v>
      </c>
      <c r="AD98" s="5">
        <f t="shared" si="18"/>
        <v>83.698000000000008</v>
      </c>
    </row>
    <row r="99" spans="1:30" x14ac:dyDescent="0.35">
      <c r="A99" s="4">
        <f>DATE(LEFT(HAVERM!J95,4),RIGHT(HAVERM!J95,2),1)</f>
        <v>45323</v>
      </c>
      <c r="B99" s="5">
        <f>HAVERM!N95</f>
        <v>191726</v>
      </c>
      <c r="C99" s="5">
        <f>HAVERM!O95</f>
        <v>49393</v>
      </c>
      <c r="D99" s="5">
        <f>HAVERM!P95</f>
        <v>2346266</v>
      </c>
      <c r="E99" s="5">
        <f>HAVERM!Q95</f>
        <v>110602</v>
      </c>
      <c r="F99" s="5">
        <f>HAVERM!R95</f>
        <v>200042</v>
      </c>
      <c r="G99" s="5">
        <f>HAVERM!S95</f>
        <v>1339117</v>
      </c>
      <c r="H99" s="5">
        <f>HAVERM!T95</f>
        <v>4355157</v>
      </c>
      <c r="I99" s="5">
        <f>HAVERM!U95</f>
        <v>1372288</v>
      </c>
      <c r="J99" s="5">
        <f>HAVERM!V95</f>
        <v>2205229</v>
      </c>
      <c r="K99" s="5">
        <f>HAVERM!W95</f>
        <v>1299157</v>
      </c>
      <c r="L99" s="5">
        <f>HAVERM!X95</f>
        <v>1104619</v>
      </c>
      <c r="M99" s="5">
        <f>HAVERM!Y95</f>
        <v>457323</v>
      </c>
      <c r="N99" s="5">
        <f>HAVERM!Z95</f>
        <v>2449522</v>
      </c>
      <c r="O99" s="5">
        <f>HAVERM!AA95</f>
        <v>2486435</v>
      </c>
      <c r="P99" s="5">
        <f>HAVERM!AB95</f>
        <v>1522695</v>
      </c>
      <c r="Q99" s="5">
        <f>HAVERM!AC95</f>
        <v>3216603</v>
      </c>
      <c r="R99" s="5">
        <f>HAVERM!AD95</f>
        <v>4365502</v>
      </c>
      <c r="S99" s="5">
        <f>HAVERM!AE95</f>
        <v>630735</v>
      </c>
      <c r="T99" s="5">
        <f>HAVERM!AF95</f>
        <v>549272</v>
      </c>
      <c r="V99">
        <f t="shared" si="11"/>
        <v>7924740</v>
      </c>
      <c r="W99">
        <f t="shared" si="12"/>
        <v>13222143</v>
      </c>
      <c r="X99">
        <f t="shared" si="13"/>
        <v>9104800</v>
      </c>
      <c r="Y99" s="2" t="b">
        <f t="shared" si="14"/>
        <v>1</v>
      </c>
      <c r="AA99" s="5">
        <f t="shared" si="15"/>
        <v>6.5510000000000002</v>
      </c>
      <c r="AB99" s="5">
        <f t="shared" si="16"/>
        <v>12.86</v>
      </c>
      <c r="AC99" s="5">
        <f t="shared" si="17"/>
        <v>41.173999999999999</v>
      </c>
      <c r="AD99" s="5">
        <f t="shared" si="18"/>
        <v>60.585000000000001</v>
      </c>
    </row>
    <row r="100" spans="1:30" x14ac:dyDescent="0.35">
      <c r="A100" s="4">
        <f>DATE(LEFT(HAVERM!J96,4),RIGHT(HAVERM!J96,2),1)</f>
        <v>45352</v>
      </c>
      <c r="B100" s="5">
        <f>HAVERM!N96</f>
        <v>192076</v>
      </c>
      <c r="C100" s="5">
        <f>HAVERM!O96</f>
        <v>49304</v>
      </c>
      <c r="D100" s="5">
        <f>HAVERM!P96</f>
        <v>2343589</v>
      </c>
      <c r="E100" s="5">
        <f>HAVERM!Q96</f>
        <v>111161</v>
      </c>
      <c r="F100" s="5">
        <f>HAVERM!R96</f>
        <v>200474</v>
      </c>
      <c r="G100" s="5">
        <f>HAVERM!S96</f>
        <v>1339008</v>
      </c>
      <c r="H100" s="5">
        <f>HAVERM!T96</f>
        <v>4350870</v>
      </c>
      <c r="I100" s="5">
        <f>HAVERM!U96</f>
        <v>1374399</v>
      </c>
      <c r="J100" s="5">
        <f>HAVERM!V96</f>
        <v>2207906</v>
      </c>
      <c r="K100" s="5">
        <f>HAVERM!W96</f>
        <v>1297636</v>
      </c>
      <c r="L100" s="5">
        <f>HAVERM!X96</f>
        <v>1105905</v>
      </c>
      <c r="M100" s="5">
        <f>HAVERM!Y96</f>
        <v>459293</v>
      </c>
      <c r="N100" s="5">
        <f>HAVERM!Z96</f>
        <v>2450390</v>
      </c>
      <c r="O100" s="5">
        <f>HAVERM!AA96</f>
        <v>2487095</v>
      </c>
      <c r="P100" s="5">
        <f>HAVERM!AB96</f>
        <v>1525089</v>
      </c>
      <c r="Q100" s="5">
        <f>HAVERM!AC96</f>
        <v>3218218</v>
      </c>
      <c r="R100" s="5">
        <f>HAVERM!AD96</f>
        <v>4373894</v>
      </c>
      <c r="S100" s="5">
        <f>HAVERM!AE96</f>
        <v>631705</v>
      </c>
      <c r="T100" s="5">
        <f>HAVERM!AF96</f>
        <v>550967</v>
      </c>
      <c r="V100">
        <f t="shared" si="11"/>
        <v>7928277</v>
      </c>
      <c r="W100">
        <f t="shared" si="12"/>
        <v>13223501</v>
      </c>
      <c r="X100">
        <f t="shared" si="13"/>
        <v>9117201</v>
      </c>
      <c r="Y100" s="2" t="b">
        <f t="shared" si="14"/>
        <v>1</v>
      </c>
      <c r="AA100" s="5">
        <f t="shared" si="15"/>
        <v>3.641</v>
      </c>
      <c r="AB100" s="5">
        <f t="shared" si="16"/>
        <v>-8.4480000000000004</v>
      </c>
      <c r="AC100" s="5">
        <f t="shared" si="17"/>
        <v>37.53</v>
      </c>
      <c r="AD100" s="5">
        <f t="shared" si="18"/>
        <v>32.722999999999999</v>
      </c>
    </row>
    <row r="101" spans="1:30" x14ac:dyDescent="0.35">
      <c r="A101" s="4">
        <f>DATE(LEFT(HAVERM!J97,4),RIGHT(HAVERM!J97,2),1)</f>
        <v>45383</v>
      </c>
      <c r="B101" s="5">
        <f>HAVERM!N97</f>
        <v>192564</v>
      </c>
      <c r="C101" s="5">
        <f>HAVERM!O97</f>
        <v>49290</v>
      </c>
      <c r="D101" s="5">
        <f>HAVERM!P97</f>
        <v>2341798</v>
      </c>
      <c r="E101" s="5">
        <f>HAVERM!Q97</f>
        <v>111575</v>
      </c>
      <c r="F101" s="5">
        <f>HAVERM!R97</f>
        <v>200795</v>
      </c>
      <c r="G101" s="5">
        <f>HAVERM!S97</f>
        <v>1340067</v>
      </c>
      <c r="H101" s="5">
        <f>HAVERM!T97</f>
        <v>4348075</v>
      </c>
      <c r="I101" s="5">
        <f>HAVERM!U97</f>
        <v>1377064</v>
      </c>
      <c r="J101" s="5">
        <f>HAVERM!V97</f>
        <v>2206651</v>
      </c>
      <c r="K101" s="5">
        <f>HAVERM!W97</f>
        <v>1296172</v>
      </c>
      <c r="L101" s="5">
        <f>HAVERM!X97</f>
        <v>1109060</v>
      </c>
      <c r="M101" s="5">
        <f>HAVERM!Y97</f>
        <v>460540</v>
      </c>
      <c r="N101" s="5">
        <f>HAVERM!Z97</f>
        <v>2448833</v>
      </c>
      <c r="O101" s="5">
        <f>HAVERM!AA97</f>
        <v>2490173</v>
      </c>
      <c r="P101" s="5">
        <f>HAVERM!AB97</f>
        <v>1526328</v>
      </c>
      <c r="Q101" s="5">
        <f>HAVERM!AC97</f>
        <v>3222297</v>
      </c>
      <c r="R101" s="5">
        <f>HAVERM!AD97</f>
        <v>4377865</v>
      </c>
      <c r="S101" s="5">
        <f>HAVERM!AE97</f>
        <v>631620</v>
      </c>
      <c r="T101" s="5">
        <f>HAVERM!AF97</f>
        <v>553259</v>
      </c>
      <c r="V101">
        <f t="shared" si="11"/>
        <v>7932856</v>
      </c>
      <c r="W101">
        <f t="shared" si="12"/>
        <v>13224680</v>
      </c>
      <c r="X101">
        <f t="shared" si="13"/>
        <v>9126490</v>
      </c>
      <c r="Y101" s="2" t="b">
        <f t="shared" si="14"/>
        <v>1</v>
      </c>
      <c r="AA101" s="5">
        <f t="shared" si="15"/>
        <v>6.6319999999999997</v>
      </c>
      <c r="AB101" s="5">
        <f t="shared" si="16"/>
        <v>3.3879999999999999</v>
      </c>
      <c r="AC101" s="5">
        <f t="shared" si="17"/>
        <v>27.047000000000001</v>
      </c>
      <c r="AD101" s="5">
        <f t="shared" si="18"/>
        <v>37.067</v>
      </c>
    </row>
    <row r="102" spans="1:30" x14ac:dyDescent="0.35">
      <c r="A102" s="4">
        <f>DATE(LEFT(HAVERM!J98,4),RIGHT(HAVERM!J98,2),1)</f>
        <v>45413</v>
      </c>
      <c r="B102" s="5">
        <f>HAVERM!N98</f>
        <v>193271</v>
      </c>
      <c r="C102" s="5">
        <f>HAVERM!O98</f>
        <v>49295</v>
      </c>
      <c r="D102" s="5">
        <f>HAVERM!P98</f>
        <v>2340720</v>
      </c>
      <c r="E102" s="5">
        <f>HAVERM!Q98</f>
        <v>111844</v>
      </c>
      <c r="F102" s="5">
        <f>HAVERM!R98</f>
        <v>201500</v>
      </c>
      <c r="G102" s="5">
        <f>HAVERM!S98</f>
        <v>1342143</v>
      </c>
      <c r="H102" s="5">
        <f>HAVERM!T98</f>
        <v>4350786</v>
      </c>
      <c r="I102" s="5">
        <f>HAVERM!U98</f>
        <v>1380008</v>
      </c>
      <c r="J102" s="5">
        <f>HAVERM!V98</f>
        <v>2207971</v>
      </c>
      <c r="K102" s="5">
        <f>HAVERM!W98</f>
        <v>1294996</v>
      </c>
      <c r="L102" s="5">
        <f>HAVERM!X98</f>
        <v>1111019</v>
      </c>
      <c r="M102" s="5">
        <f>HAVERM!Y98</f>
        <v>461904</v>
      </c>
      <c r="N102" s="5">
        <f>HAVERM!Z98</f>
        <v>2450885</v>
      </c>
      <c r="O102" s="5">
        <f>HAVERM!AA98</f>
        <v>2497800</v>
      </c>
      <c r="P102" s="5">
        <f>HAVERM!AB98</f>
        <v>1533932</v>
      </c>
      <c r="Q102" s="5">
        <f>HAVERM!AC98</f>
        <v>3231140</v>
      </c>
      <c r="R102" s="5">
        <f>HAVERM!AD98</f>
        <v>4387178</v>
      </c>
      <c r="S102" s="5">
        <f>HAVERM!AE98</f>
        <v>631930</v>
      </c>
      <c r="T102" s="5">
        <f>HAVERM!AF98</f>
        <v>555579</v>
      </c>
      <c r="V102">
        <f t="shared" si="11"/>
        <v>7941690</v>
      </c>
      <c r="W102">
        <f t="shared" si="12"/>
        <v>13239961</v>
      </c>
      <c r="X102">
        <f t="shared" si="13"/>
        <v>9152250</v>
      </c>
      <c r="Y102" s="2" t="b">
        <f t="shared" si="14"/>
        <v>1</v>
      </c>
      <c r="AA102" s="5">
        <f t="shared" si="15"/>
        <v>16.95</v>
      </c>
      <c r="AB102" s="5">
        <f t="shared" si="16"/>
        <v>17.818000000000001</v>
      </c>
      <c r="AC102" s="5">
        <f t="shared" si="17"/>
        <v>47.45</v>
      </c>
      <c r="AD102" s="5">
        <f t="shared" si="18"/>
        <v>82.218000000000004</v>
      </c>
    </row>
    <row r="103" spans="1:30" x14ac:dyDescent="0.35">
      <c r="A103" s="4">
        <f>DATE(LEFT(HAVERM!J99,4),RIGHT(HAVERM!J99,2),1)</f>
        <v>45444</v>
      </c>
      <c r="B103" s="5">
        <f>HAVERM!N99</f>
        <v>193487</v>
      </c>
      <c r="C103" s="5">
        <f>HAVERM!O99</f>
        <v>49296</v>
      </c>
      <c r="D103" s="5">
        <f>HAVERM!P99</f>
        <v>2338379</v>
      </c>
      <c r="E103" s="5">
        <f>HAVERM!Q99</f>
        <v>112040</v>
      </c>
      <c r="F103" s="5">
        <f>HAVERM!R99</f>
        <v>201685</v>
      </c>
      <c r="G103" s="5">
        <f>HAVERM!S99</f>
        <v>1343324</v>
      </c>
      <c r="H103" s="5">
        <f>HAVERM!T99</f>
        <v>4346269</v>
      </c>
      <c r="I103" s="5">
        <f>HAVERM!U99</f>
        <v>1380503</v>
      </c>
      <c r="J103" s="5">
        <f>HAVERM!V99</f>
        <v>2202699</v>
      </c>
      <c r="K103" s="5">
        <f>HAVERM!W99</f>
        <v>1292764</v>
      </c>
      <c r="L103" s="5">
        <f>HAVERM!X99</f>
        <v>1112680</v>
      </c>
      <c r="M103" s="5">
        <f>HAVERM!Y99</f>
        <v>462986</v>
      </c>
      <c r="N103" s="5">
        <f>HAVERM!Z99</f>
        <v>2453503</v>
      </c>
      <c r="O103" s="5">
        <f>HAVERM!AA99</f>
        <v>2488912</v>
      </c>
      <c r="P103" s="5">
        <f>HAVERM!AB99</f>
        <v>1538872</v>
      </c>
      <c r="Q103" s="5">
        <f>HAVERM!AC99</f>
        <v>3233420</v>
      </c>
      <c r="R103" s="5">
        <f>HAVERM!AD99</f>
        <v>4397720</v>
      </c>
      <c r="S103" s="5">
        <f>HAVERM!AE99</f>
        <v>632733</v>
      </c>
      <c r="T103" s="5">
        <f>HAVERM!AF99</f>
        <v>556531</v>
      </c>
      <c r="V103">
        <f t="shared" si="11"/>
        <v>7945795</v>
      </c>
      <c r="W103">
        <f t="shared" si="12"/>
        <v>13221996</v>
      </c>
      <c r="X103">
        <f t="shared" si="13"/>
        <v>9170012</v>
      </c>
      <c r="Y103" s="2" t="b">
        <f t="shared" si="14"/>
        <v>1</v>
      </c>
      <c r="AA103" s="5">
        <f t="shared" si="15"/>
        <v>17.518000000000001</v>
      </c>
      <c r="AB103" s="5">
        <f t="shared" si="16"/>
        <v>-1.5049999999999999</v>
      </c>
      <c r="AC103" s="5">
        <f t="shared" si="17"/>
        <v>52.811</v>
      </c>
      <c r="AD103" s="5">
        <f t="shared" si="18"/>
        <v>68.823999999999998</v>
      </c>
    </row>
    <row r="104" spans="1:30" x14ac:dyDescent="0.35">
      <c r="A104" s="4">
        <f>DATE(LEFT(HAVERM!J100,4),RIGHT(HAVERM!J100,2),1)</f>
        <v>45474</v>
      </c>
      <c r="B104" s="5">
        <f>HAVERM!N100</f>
        <v>193118</v>
      </c>
      <c r="C104" s="5">
        <f>HAVERM!O100</f>
        <v>49217</v>
      </c>
      <c r="D104" s="5">
        <f>HAVERM!P100</f>
        <v>2336310</v>
      </c>
      <c r="E104" s="5">
        <f>HAVERM!Q100</f>
        <v>112140</v>
      </c>
      <c r="F104" s="5">
        <f>HAVERM!R100</f>
        <v>202211</v>
      </c>
      <c r="G104" s="5">
        <f>HAVERM!S100</f>
        <v>1344158</v>
      </c>
      <c r="H104" s="5">
        <f>HAVERM!T100</f>
        <v>4338835</v>
      </c>
      <c r="I104" s="5">
        <f>HAVERM!U100</f>
        <v>1380033</v>
      </c>
      <c r="J104" s="5">
        <f>HAVERM!V100</f>
        <v>2193518</v>
      </c>
      <c r="K104" s="5">
        <f>HAVERM!W100</f>
        <v>1290551</v>
      </c>
      <c r="L104" s="5">
        <f>HAVERM!X100</f>
        <v>1113233</v>
      </c>
      <c r="M104" s="5">
        <f>HAVERM!Y100</f>
        <v>463655</v>
      </c>
      <c r="N104" s="5">
        <f>HAVERM!Z100</f>
        <v>2453517</v>
      </c>
      <c r="O104" s="5">
        <f>HAVERM!AA100</f>
        <v>2483368</v>
      </c>
      <c r="P104" s="5">
        <f>HAVERM!AB100</f>
        <v>1559383</v>
      </c>
      <c r="Q104" s="5">
        <f>HAVERM!AC100</f>
        <v>3238089</v>
      </c>
      <c r="R104" s="5">
        <f>HAVERM!AD100</f>
        <v>4402037</v>
      </c>
      <c r="S104" s="5">
        <f>HAVERM!AE100</f>
        <v>633450</v>
      </c>
      <c r="T104" s="5">
        <f>HAVERM!AF100</f>
        <v>556430</v>
      </c>
      <c r="V104">
        <f t="shared" si="11"/>
        <v>7945060</v>
      </c>
      <c r="W104">
        <f t="shared" si="12"/>
        <v>13198684</v>
      </c>
      <c r="X104">
        <f t="shared" si="13"/>
        <v>9199509</v>
      </c>
      <c r="Y104" s="2" t="b">
        <f t="shared" si="14"/>
        <v>1</v>
      </c>
      <c r="AA104" s="5">
        <f t="shared" si="15"/>
        <v>12.204000000000001</v>
      </c>
      <c r="AB104" s="5">
        <f t="shared" si="16"/>
        <v>-25.995999999999999</v>
      </c>
      <c r="AC104" s="5">
        <f t="shared" si="17"/>
        <v>73.019000000000005</v>
      </c>
      <c r="AD104" s="5">
        <f t="shared" si="18"/>
        <v>59.227000000000004</v>
      </c>
    </row>
    <row r="105" spans="1:30" x14ac:dyDescent="0.35">
      <c r="A105" s="4">
        <f>DATE(LEFT(HAVERM!J101,4),RIGHT(HAVERM!J101,2),1)</f>
        <v>45505</v>
      </c>
      <c r="B105" s="5">
        <f>HAVERM!N101</f>
        <v>193284</v>
      </c>
      <c r="C105" s="5">
        <f>HAVERM!O101</f>
        <v>49143</v>
      </c>
      <c r="D105" s="5">
        <f>HAVERM!P101</f>
        <v>2334398</v>
      </c>
      <c r="E105" s="5">
        <f>HAVERM!Q101</f>
        <v>112433</v>
      </c>
      <c r="F105" s="5">
        <f>HAVERM!R101</f>
        <v>202815</v>
      </c>
      <c r="G105" s="5">
        <f>HAVERM!S101</f>
        <v>1343362</v>
      </c>
      <c r="H105" s="5">
        <f>HAVERM!T101</f>
        <v>4330309</v>
      </c>
      <c r="I105" s="5">
        <f>HAVERM!U101</f>
        <v>1380895</v>
      </c>
      <c r="J105" s="5">
        <f>HAVERM!V101</f>
        <v>2186632</v>
      </c>
      <c r="K105" s="5">
        <f>HAVERM!W101</f>
        <v>1288797</v>
      </c>
      <c r="L105" s="5">
        <f>HAVERM!X101</f>
        <v>1114632</v>
      </c>
      <c r="M105" s="5">
        <f>HAVERM!Y101</f>
        <v>464283</v>
      </c>
      <c r="N105" s="5">
        <f>HAVERM!Z101</f>
        <v>2450413</v>
      </c>
      <c r="O105" s="5">
        <f>HAVERM!AA101</f>
        <v>2477547</v>
      </c>
      <c r="P105" s="5">
        <f>HAVERM!AB101</f>
        <v>1549112</v>
      </c>
      <c r="Q105" s="5">
        <f>HAVERM!AC101</f>
        <v>3239488</v>
      </c>
      <c r="R105" s="5">
        <f>HAVERM!AD101</f>
        <v>4409020</v>
      </c>
      <c r="S105" s="5">
        <f>HAVERM!AE101</f>
        <v>634487</v>
      </c>
      <c r="T105" s="5">
        <f>HAVERM!AF101</f>
        <v>556205</v>
      </c>
      <c r="V105">
        <f t="shared" si="11"/>
        <v>7942490</v>
      </c>
      <c r="W105">
        <f t="shared" si="12"/>
        <v>13177145</v>
      </c>
      <c r="X105">
        <f t="shared" si="13"/>
        <v>9197620</v>
      </c>
      <c r="Y105" s="2" t="b">
        <f t="shared" si="14"/>
        <v>1</v>
      </c>
      <c r="AA105" s="5">
        <f t="shared" si="15"/>
        <v>0.8</v>
      </c>
      <c r="AB105" s="5">
        <f t="shared" si="16"/>
        <v>-62.816000000000003</v>
      </c>
      <c r="AC105" s="5">
        <f t="shared" si="17"/>
        <v>45.37</v>
      </c>
      <c r="AD105" s="5">
        <f t="shared" si="18"/>
        <v>-16.646000000000008</v>
      </c>
    </row>
    <row r="106" spans="1:30" x14ac:dyDescent="0.35">
      <c r="A106" s="4">
        <f>DATE(LEFT(HAVERM!J102,4),RIGHT(HAVERM!J102,2),1)</f>
        <v>45536</v>
      </c>
      <c r="B106" s="5">
        <f>HAVERM!N102</f>
        <v>193629</v>
      </c>
      <c r="C106" s="5">
        <f>HAVERM!O102</f>
        <v>49134</v>
      </c>
      <c r="D106" s="5">
        <f>HAVERM!P102</f>
        <v>2335581</v>
      </c>
      <c r="E106" s="5">
        <f>HAVERM!Q102</f>
        <v>112926</v>
      </c>
      <c r="F106" s="5">
        <f>HAVERM!R102</f>
        <v>203565</v>
      </c>
      <c r="G106" s="5">
        <f>HAVERM!S102</f>
        <v>1343337</v>
      </c>
      <c r="H106" s="5">
        <f>HAVERM!T102</f>
        <v>4330748</v>
      </c>
      <c r="I106" s="5">
        <f>HAVERM!U102</f>
        <v>1381601</v>
      </c>
      <c r="J106" s="5">
        <f>HAVERM!V102</f>
        <v>2179685</v>
      </c>
      <c r="K106" s="5">
        <f>HAVERM!W102</f>
        <v>1288464</v>
      </c>
      <c r="L106" s="5">
        <f>HAVERM!X102</f>
        <v>1116853</v>
      </c>
      <c r="M106" s="5">
        <f>HAVERM!Y102</f>
        <v>465804</v>
      </c>
      <c r="N106" s="5">
        <f>HAVERM!Z102</f>
        <v>2451745</v>
      </c>
      <c r="O106" s="5">
        <f>HAVERM!AA102</f>
        <v>2477785</v>
      </c>
      <c r="P106" s="5">
        <f>HAVERM!AB102</f>
        <v>1532663</v>
      </c>
      <c r="Q106" s="5">
        <f>HAVERM!AC102</f>
        <v>3236658</v>
      </c>
      <c r="R106" s="5">
        <f>HAVERM!AD102</f>
        <v>4425142</v>
      </c>
      <c r="S106" s="5">
        <f>HAVERM!AE102</f>
        <v>636250</v>
      </c>
      <c r="T106" s="5">
        <f>HAVERM!AF102</f>
        <v>556256</v>
      </c>
      <c r="V106">
        <f t="shared" si="11"/>
        <v>7947625</v>
      </c>
      <c r="W106">
        <f t="shared" si="12"/>
        <v>13175738</v>
      </c>
      <c r="X106">
        <f t="shared" si="13"/>
        <v>9194463</v>
      </c>
      <c r="Y106" s="2" t="b">
        <f t="shared" si="14"/>
        <v>1</v>
      </c>
      <c r="AA106" s="5">
        <f t="shared" si="15"/>
        <v>1.83</v>
      </c>
      <c r="AB106" s="5">
        <f t="shared" si="16"/>
        <v>-46.258000000000003</v>
      </c>
      <c r="AC106" s="5">
        <f t="shared" si="17"/>
        <v>24.451000000000001</v>
      </c>
      <c r="AD106" s="5">
        <f t="shared" si="18"/>
        <v>-19.977000000000004</v>
      </c>
    </row>
    <row r="107" spans="1:30" x14ac:dyDescent="0.35">
      <c r="A107" s="4">
        <f>DATE(LEFT(HAVERM!J103,4),RIGHT(HAVERM!J103,2),1)</f>
        <v>45566</v>
      </c>
      <c r="B107" s="5">
        <f>HAVERM!N103</f>
        <v>193992</v>
      </c>
      <c r="C107" s="5">
        <f>HAVERM!O103</f>
        <v>49083</v>
      </c>
      <c r="D107" s="5">
        <f>HAVERM!P103</f>
        <v>2334771</v>
      </c>
      <c r="E107" s="5">
        <f>HAVERM!Q103</f>
        <v>113267</v>
      </c>
      <c r="F107" s="5">
        <f>HAVERM!R103</f>
        <v>203572</v>
      </c>
      <c r="G107" s="5">
        <f>HAVERM!S103</f>
        <v>1342027</v>
      </c>
      <c r="H107" s="5">
        <f>HAVERM!T103</f>
        <v>4329725</v>
      </c>
      <c r="I107" s="5">
        <f>HAVERM!U103</f>
        <v>1384673</v>
      </c>
      <c r="J107" s="5">
        <f>HAVERM!V103</f>
        <v>2168935</v>
      </c>
      <c r="K107" s="5">
        <f>HAVERM!W103</f>
        <v>1285182</v>
      </c>
      <c r="L107" s="5">
        <f>HAVERM!X103</f>
        <v>1117848</v>
      </c>
      <c r="M107" s="5">
        <f>HAVERM!Y103</f>
        <v>466850</v>
      </c>
      <c r="N107" s="5">
        <f>HAVERM!Z103</f>
        <v>2451846</v>
      </c>
      <c r="O107" s="5">
        <f>HAVERM!AA103</f>
        <v>2470798</v>
      </c>
      <c r="P107" s="5">
        <f>HAVERM!AB103</f>
        <v>1537786</v>
      </c>
      <c r="Q107" s="5">
        <f>HAVERM!AC103</f>
        <v>3240494</v>
      </c>
      <c r="R107" s="5">
        <f>HAVERM!AD103</f>
        <v>4455896</v>
      </c>
      <c r="S107" s="5">
        <f>HAVERM!AE103</f>
        <v>636676</v>
      </c>
      <c r="T107" s="5">
        <f>HAVERM!AF103</f>
        <v>556212</v>
      </c>
      <c r="V107">
        <f t="shared" si="11"/>
        <v>7947498</v>
      </c>
      <c r="W107">
        <f t="shared" si="12"/>
        <v>13157959</v>
      </c>
      <c r="X107">
        <f t="shared" si="13"/>
        <v>9234176</v>
      </c>
      <c r="Y107" s="2" t="b">
        <f t="shared" si="14"/>
        <v>1</v>
      </c>
      <c r="AA107" s="5">
        <f t="shared" si="15"/>
        <v>2.4380000000000002</v>
      </c>
      <c r="AB107" s="5">
        <f t="shared" si="16"/>
        <v>-40.725000000000001</v>
      </c>
      <c r="AC107" s="5">
        <f t="shared" si="17"/>
        <v>34.667000000000002</v>
      </c>
      <c r="AD107" s="5">
        <f t="shared" si="18"/>
        <v>-3.6199999999999974</v>
      </c>
    </row>
    <row r="108" spans="1:30" x14ac:dyDescent="0.35">
      <c r="A108" s="4">
        <f>DATE(LEFT(HAVERM!J104,4),RIGHT(HAVERM!J104,2),1)</f>
        <v>45597</v>
      </c>
      <c r="B108" s="5">
        <f>HAVERM!N104</f>
        <v>194523</v>
      </c>
      <c r="C108" s="5">
        <f>HAVERM!O104</f>
        <v>49042</v>
      </c>
      <c r="D108" s="5">
        <f>HAVERM!P104</f>
        <v>2333459</v>
      </c>
      <c r="E108" s="5">
        <f>HAVERM!Q104</f>
        <v>113741</v>
      </c>
      <c r="F108" s="5">
        <f>HAVERM!R104</f>
        <v>204741</v>
      </c>
      <c r="G108" s="5">
        <f>HAVERM!S104</f>
        <v>1342454</v>
      </c>
      <c r="H108" s="5">
        <f>HAVERM!T104</f>
        <v>4329600</v>
      </c>
      <c r="I108" s="5">
        <f>HAVERM!U104</f>
        <v>1386415</v>
      </c>
      <c r="J108" s="5">
        <f>HAVERM!V104</f>
        <v>2149044</v>
      </c>
      <c r="K108" s="5">
        <f>HAVERM!W104</f>
        <v>1281264</v>
      </c>
      <c r="L108" s="5">
        <f>HAVERM!X104</f>
        <v>1119355</v>
      </c>
      <c r="M108" s="5">
        <f>HAVERM!Y104</f>
        <v>467823</v>
      </c>
      <c r="N108" s="5">
        <f>HAVERM!Z104</f>
        <v>2448882</v>
      </c>
      <c r="O108" s="5">
        <f>HAVERM!AA104</f>
        <v>2463427</v>
      </c>
      <c r="P108" s="5">
        <f>HAVERM!AB104</f>
        <v>1540110</v>
      </c>
      <c r="Q108" s="5">
        <f>HAVERM!AC104</f>
        <v>3245598</v>
      </c>
      <c r="R108" s="5">
        <f>HAVERM!AD104</f>
        <v>4449340</v>
      </c>
      <c r="S108" s="5">
        <f>HAVERM!AE104</f>
        <v>638627</v>
      </c>
      <c r="T108" s="5">
        <f>HAVERM!AF104</f>
        <v>556479</v>
      </c>
      <c r="V108">
        <f t="shared" si="11"/>
        <v>7945894</v>
      </c>
      <c r="W108">
        <f t="shared" si="12"/>
        <v>13132982</v>
      </c>
      <c r="X108">
        <f t="shared" si="13"/>
        <v>9235048</v>
      </c>
      <c r="Y108" s="2" t="b">
        <f t="shared" si="14"/>
        <v>1</v>
      </c>
      <c r="AA108" s="5">
        <f t="shared" si="15"/>
        <v>3.4039999999999999</v>
      </c>
      <c r="AB108" s="5">
        <f t="shared" si="16"/>
        <v>-44.162999999999997</v>
      </c>
      <c r="AC108" s="5">
        <f t="shared" si="17"/>
        <v>37.427999999999997</v>
      </c>
      <c r="AD108" s="5">
        <f t="shared" si="18"/>
        <v>-3.3310000000000031</v>
      </c>
    </row>
    <row r="109" spans="1:30" x14ac:dyDescent="0.35">
      <c r="A109" s="4">
        <f>DATE(LEFT(HAVERM!J105,4),RIGHT(HAVERM!J105,2),1)</f>
        <v>45627</v>
      </c>
      <c r="B109" s="5">
        <f>HAVERM!N105</f>
        <v>194392</v>
      </c>
      <c r="C109" s="5">
        <f>HAVERM!O105</f>
        <v>49010</v>
      </c>
      <c r="D109" s="5">
        <f>HAVERM!P105</f>
        <v>2329204</v>
      </c>
      <c r="E109" s="5">
        <f>HAVERM!Q105</f>
        <v>113965</v>
      </c>
      <c r="F109" s="5">
        <f>HAVERM!R105</f>
        <v>205050</v>
      </c>
      <c r="G109" s="5">
        <f>HAVERM!S105</f>
        <v>1340437</v>
      </c>
      <c r="H109" s="5">
        <f>HAVERM!T105</f>
        <v>4322687</v>
      </c>
      <c r="I109" s="5">
        <f>HAVERM!U105</f>
        <v>1387929</v>
      </c>
      <c r="J109" s="5">
        <f>HAVERM!V105</f>
        <v>2152252</v>
      </c>
      <c r="K109" s="5">
        <f>HAVERM!W105</f>
        <v>1279029</v>
      </c>
      <c r="L109" s="5">
        <f>HAVERM!X105</f>
        <v>1120460</v>
      </c>
      <c r="M109" s="5">
        <f>HAVERM!Y105</f>
        <v>468564</v>
      </c>
      <c r="N109" s="5">
        <f>HAVERM!Z105</f>
        <v>2449616</v>
      </c>
      <c r="O109" s="5">
        <f>HAVERM!AA105</f>
        <v>2459612</v>
      </c>
      <c r="P109" s="5">
        <f>HAVERM!AB105</f>
        <v>1538724</v>
      </c>
      <c r="Q109" s="5">
        <f>HAVERM!AC105</f>
        <v>3241866</v>
      </c>
      <c r="R109" s="5">
        <f>HAVERM!AD105</f>
        <v>4447434</v>
      </c>
      <c r="S109" s="5">
        <f>HAVERM!AE105</f>
        <v>638736</v>
      </c>
      <c r="T109" s="5">
        <f>HAVERM!AF105</f>
        <v>555664</v>
      </c>
      <c r="V109">
        <f t="shared" si="11"/>
        <v>7945496</v>
      </c>
      <c r="W109">
        <f t="shared" si="12"/>
        <v>13121111</v>
      </c>
      <c r="X109">
        <f t="shared" si="13"/>
        <v>9228024</v>
      </c>
      <c r="Y109" s="2" t="b">
        <f t="shared" si="14"/>
        <v>1</v>
      </c>
      <c r="AA109" s="5">
        <f t="shared" si="15"/>
        <v>-2.129</v>
      </c>
      <c r="AB109" s="5">
        <f t="shared" si="16"/>
        <v>-54.627000000000002</v>
      </c>
      <c r="AC109" s="5">
        <f t="shared" si="17"/>
        <v>33.561</v>
      </c>
      <c r="AD109" s="5">
        <f t="shared" si="18"/>
        <v>-23.195</v>
      </c>
    </row>
    <row r="110" spans="1:30" x14ac:dyDescent="0.35">
      <c r="A110" s="4">
        <f>DATE(LEFT(HAVERM!J106,4),RIGHT(HAVERM!J106,2),1)</f>
        <v>45658</v>
      </c>
      <c r="B110" s="5">
        <f>HAVERM!N106</f>
        <v>194341</v>
      </c>
      <c r="C110" s="5">
        <f>HAVERM!O106</f>
        <v>49046</v>
      </c>
      <c r="D110" s="5">
        <f>HAVERM!P106</f>
        <v>2327489</v>
      </c>
      <c r="E110" s="5">
        <f>HAVERM!Q106</f>
        <v>114312</v>
      </c>
      <c r="F110" s="5">
        <f>HAVERM!R106</f>
        <v>205952</v>
      </c>
      <c r="G110" s="5">
        <f>HAVERM!S106</f>
        <v>1342985</v>
      </c>
      <c r="H110" s="5">
        <f>HAVERM!T106</f>
        <v>4321596</v>
      </c>
      <c r="I110" s="5">
        <f>HAVERM!U106</f>
        <v>1391361</v>
      </c>
      <c r="J110" s="5">
        <f>HAVERM!V106</f>
        <v>2145402</v>
      </c>
      <c r="K110" s="5">
        <f>HAVERM!W106</f>
        <v>1276026</v>
      </c>
      <c r="L110" s="5">
        <f>HAVERM!X106</f>
        <v>1121628</v>
      </c>
      <c r="M110" s="5">
        <f>HAVERM!Y106</f>
        <v>469568</v>
      </c>
      <c r="N110" s="5">
        <f>HAVERM!Z106</f>
        <v>2447453</v>
      </c>
      <c r="O110" s="5">
        <f>HAVERM!AA106</f>
        <v>2457325</v>
      </c>
      <c r="P110" s="5">
        <f>HAVERM!AB106</f>
        <v>1540197</v>
      </c>
      <c r="Q110" s="5">
        <f>HAVERM!AC106</f>
        <v>3242830</v>
      </c>
      <c r="R110" s="5">
        <f>HAVERM!AD106</f>
        <v>4449524</v>
      </c>
      <c r="S110" s="5">
        <f>HAVERM!AE106</f>
        <v>639994</v>
      </c>
      <c r="T110" s="5">
        <f>HAVERM!AF106</f>
        <v>555518</v>
      </c>
      <c r="V110">
        <f t="shared" si="11"/>
        <v>7948763</v>
      </c>
      <c r="W110">
        <f t="shared" si="12"/>
        <v>13111233</v>
      </c>
      <c r="X110">
        <f t="shared" si="13"/>
        <v>9232551</v>
      </c>
      <c r="Y110" s="2" t="b">
        <f t="shared" si="14"/>
        <v>1</v>
      </c>
      <c r="AA110" s="5">
        <f t="shared" si="15"/>
        <v>1.2649999999999999</v>
      </c>
      <c r="AB110" s="5">
        <f t="shared" si="16"/>
        <v>-46.725999999999999</v>
      </c>
      <c r="AC110" s="5">
        <f t="shared" si="17"/>
        <v>-1.625</v>
      </c>
      <c r="AD110" s="5">
        <f t="shared" si="18"/>
        <v>-47.085999999999999</v>
      </c>
    </row>
    <row r="111" spans="1:30" x14ac:dyDescent="0.35">
      <c r="A111" s="4">
        <f>DATE(LEFT(HAVERM!J107,4),RIGHT(HAVERM!J107,2),1)</f>
        <v>45689</v>
      </c>
      <c r="B111" s="5">
        <f>HAVERM!N107</f>
        <v>194280</v>
      </c>
      <c r="C111" s="5">
        <f>HAVERM!O107</f>
        <v>48769</v>
      </c>
      <c r="D111" s="5">
        <f>HAVERM!P107</f>
        <v>2324602</v>
      </c>
      <c r="E111" s="5">
        <f>HAVERM!Q107</f>
        <v>114664</v>
      </c>
      <c r="F111" s="5">
        <f>HAVERM!R107</f>
        <v>206517</v>
      </c>
      <c r="G111" s="5">
        <f>HAVERM!S107</f>
        <v>1340138</v>
      </c>
      <c r="H111" s="5">
        <f>HAVERM!T107</f>
        <v>4310901</v>
      </c>
      <c r="I111" s="5">
        <f>HAVERM!U107</f>
        <v>1393654</v>
      </c>
      <c r="J111" s="5">
        <f>HAVERM!V107</f>
        <v>2128357</v>
      </c>
      <c r="K111" s="5">
        <f>HAVERM!W107</f>
        <v>1271397</v>
      </c>
      <c r="L111" s="5">
        <f>HAVERM!X107</f>
        <v>1122423</v>
      </c>
      <c r="M111" s="5">
        <f>HAVERM!Y107</f>
        <v>469401</v>
      </c>
      <c r="N111" s="5">
        <f>HAVERM!Z107</f>
        <v>2449619</v>
      </c>
      <c r="O111" s="5">
        <f>HAVERM!AA107</f>
        <v>2454677</v>
      </c>
      <c r="P111" s="5">
        <f>HAVERM!AB107</f>
        <v>1541408</v>
      </c>
      <c r="Q111" s="5">
        <f>HAVERM!AC107</f>
        <v>3243240</v>
      </c>
      <c r="R111" s="5">
        <f>HAVERM!AD107</f>
        <v>4457075</v>
      </c>
      <c r="S111" s="5">
        <f>HAVERM!AE107</f>
        <v>639044</v>
      </c>
      <c r="T111" s="5">
        <f>HAVERM!AF107</f>
        <v>554832</v>
      </c>
      <c r="V111">
        <f t="shared" si="11"/>
        <v>7947181</v>
      </c>
      <c r="W111">
        <f t="shared" si="12"/>
        <v>13076094</v>
      </c>
      <c r="X111">
        <f t="shared" si="13"/>
        <v>9241723</v>
      </c>
      <c r="Y111" s="2" t="b">
        <f t="shared" si="14"/>
        <v>1</v>
      </c>
      <c r="AA111" s="5">
        <f t="shared" si="15"/>
        <v>1.2869999999999999</v>
      </c>
      <c r="AB111" s="5">
        <f t="shared" si="16"/>
        <v>-56.887999999999998</v>
      </c>
      <c r="AC111" s="5">
        <f t="shared" si="17"/>
        <v>6.6749999999999998</v>
      </c>
      <c r="AD111" s="5">
        <f t="shared" si="18"/>
        <v>-48.926000000000002</v>
      </c>
    </row>
    <row r="112" spans="1:30" x14ac:dyDescent="0.35">
      <c r="A112" s="4">
        <f>DATE(LEFT(HAVERM!J108,4),RIGHT(HAVERM!J108,2),1)</f>
        <v>45717</v>
      </c>
      <c r="B112" s="5">
        <f>HAVERM!N108</f>
        <v>194190</v>
      </c>
      <c r="C112" s="5">
        <f>HAVERM!O108</f>
        <v>48724</v>
      </c>
      <c r="D112" s="5">
        <f>HAVERM!P108</f>
        <v>2321558</v>
      </c>
      <c r="E112" s="5">
        <f>HAVERM!Q108</f>
        <v>115136</v>
      </c>
      <c r="F112" s="5">
        <f>HAVERM!R108</f>
        <v>206779</v>
      </c>
      <c r="G112" s="5">
        <f>HAVERM!S108</f>
        <v>1337464</v>
      </c>
      <c r="H112" s="5">
        <f>HAVERM!T108</f>
        <v>4305327</v>
      </c>
      <c r="I112" s="5">
        <f>HAVERM!U108</f>
        <v>1394059</v>
      </c>
      <c r="J112" s="5">
        <f>HAVERM!V108</f>
        <v>2108146</v>
      </c>
      <c r="K112" s="5">
        <f>HAVERM!W108</f>
        <v>1267893</v>
      </c>
      <c r="L112" s="5">
        <f>HAVERM!X108</f>
        <v>1124066</v>
      </c>
      <c r="M112" s="5">
        <f>HAVERM!Y108</f>
        <v>469811</v>
      </c>
      <c r="N112" s="5">
        <f>HAVERM!Z108</f>
        <v>2447957</v>
      </c>
      <c r="O112" s="5">
        <f>HAVERM!AA108</f>
        <v>2450462</v>
      </c>
      <c r="P112" s="5">
        <f>HAVERM!AB108</f>
        <v>1543905</v>
      </c>
      <c r="Q112" s="5">
        <f>HAVERM!AC108</f>
        <v>3244178</v>
      </c>
      <c r="R112" s="5">
        <f>HAVERM!AD108</f>
        <v>4457864</v>
      </c>
      <c r="S112" s="5">
        <f>HAVERM!AE108</f>
        <v>639513</v>
      </c>
      <c r="T112" s="5">
        <f>HAVERM!AF108</f>
        <v>553414</v>
      </c>
      <c r="V112">
        <f t="shared" si="11"/>
        <v>7942078</v>
      </c>
      <c r="W112">
        <f t="shared" si="12"/>
        <v>13042421</v>
      </c>
      <c r="X112">
        <f t="shared" si="13"/>
        <v>9245947</v>
      </c>
      <c r="Y112" s="2" t="b">
        <f t="shared" si="14"/>
        <v>1</v>
      </c>
      <c r="AA112" s="5">
        <f t="shared" si="15"/>
        <v>-3.4180000000000001</v>
      </c>
      <c r="AB112" s="5">
        <f t="shared" si="16"/>
        <v>-78.69</v>
      </c>
      <c r="AC112" s="5">
        <f t="shared" si="17"/>
        <v>17.922999999999998</v>
      </c>
      <c r="AD112" s="5">
        <f t="shared" si="18"/>
        <v>-64.185000000000002</v>
      </c>
    </row>
    <row r="113" spans="1:30" x14ac:dyDescent="0.35">
      <c r="A113" s="4">
        <f>DATE(LEFT(HAVERM!J109,4),RIGHT(HAVERM!J109,2),1)</f>
        <v>45748</v>
      </c>
      <c r="B113" s="5">
        <f>HAVERM!N109</f>
        <v>192645</v>
      </c>
      <c r="C113" s="5">
        <f>HAVERM!O109</f>
        <v>48524</v>
      </c>
      <c r="D113" s="5">
        <f>HAVERM!P109</f>
        <v>2319413</v>
      </c>
      <c r="E113" s="5">
        <f>HAVERM!Q109</f>
        <v>115630</v>
      </c>
      <c r="F113" s="5">
        <f>HAVERM!R109</f>
        <v>207273</v>
      </c>
      <c r="G113" s="5">
        <f>HAVERM!S109</f>
        <v>1321781</v>
      </c>
      <c r="H113" s="5">
        <f>HAVERM!T109</f>
        <v>4301538</v>
      </c>
      <c r="I113" s="5">
        <f>HAVERM!U109</f>
        <v>1395415</v>
      </c>
      <c r="J113" s="5">
        <f>HAVERM!V109</f>
        <v>2098205</v>
      </c>
      <c r="K113" s="5">
        <f>HAVERM!W109</f>
        <v>1260346</v>
      </c>
      <c r="L113" s="5">
        <f>HAVERM!X109</f>
        <v>1123547</v>
      </c>
      <c r="M113" s="5">
        <f>HAVERM!Y109</f>
        <v>467793</v>
      </c>
      <c r="N113" s="5">
        <f>HAVERM!Z109</f>
        <v>2430263</v>
      </c>
      <c r="O113" s="5">
        <f>HAVERM!AA109</f>
        <v>2443748</v>
      </c>
      <c r="P113" s="5">
        <f>HAVERM!AB109</f>
        <v>1547906</v>
      </c>
      <c r="Q113" s="5">
        <f>HAVERM!AC109</f>
        <v>3249498</v>
      </c>
      <c r="R113" s="5">
        <f>HAVERM!AD109</f>
        <v>4466691</v>
      </c>
      <c r="S113" s="5">
        <f>HAVERM!AE109</f>
        <v>638575</v>
      </c>
      <c r="T113" s="5">
        <f>HAVERM!AF109</f>
        <v>547569</v>
      </c>
      <c r="V113">
        <f t="shared" si="11"/>
        <v>7902779</v>
      </c>
      <c r="W113">
        <f t="shared" si="12"/>
        <v>13009486</v>
      </c>
      <c r="X113">
        <f t="shared" si="13"/>
        <v>9264095</v>
      </c>
      <c r="Y113" s="2" t="b">
        <f t="shared" si="14"/>
        <v>1</v>
      </c>
      <c r="AA113" s="5">
        <f t="shared" si="15"/>
        <v>-45.984000000000002</v>
      </c>
      <c r="AB113" s="5">
        <f t="shared" si="16"/>
        <v>-101.747</v>
      </c>
      <c r="AC113" s="5">
        <f t="shared" si="17"/>
        <v>31.544</v>
      </c>
      <c r="AD113" s="5">
        <f t="shared" si="18"/>
        <v>-116.187</v>
      </c>
    </row>
    <row r="114" spans="1:30" x14ac:dyDescent="0.35">
      <c r="A114" s="4">
        <f>DATE(LEFT(HAVERM!J110,4),RIGHT(HAVERM!J110,2),1)</f>
        <v>45778</v>
      </c>
      <c r="B114" s="5">
        <f>HAVERM!N110</f>
        <v>190967</v>
      </c>
      <c r="C114" s="5">
        <f>HAVERM!O110</f>
        <v>48212</v>
      </c>
      <c r="D114" s="5">
        <f>HAVERM!P110</f>
        <v>2310333</v>
      </c>
      <c r="E114" s="5">
        <f>HAVERM!Q110</f>
        <v>115408</v>
      </c>
      <c r="F114" s="5">
        <f>HAVERM!R110</f>
        <v>207164</v>
      </c>
      <c r="G114" s="5">
        <f>HAVERM!S110</f>
        <v>1309976</v>
      </c>
      <c r="H114" s="5">
        <f>HAVERM!T110</f>
        <v>4268365</v>
      </c>
      <c r="I114" s="5">
        <f>HAVERM!U110</f>
        <v>1390701</v>
      </c>
      <c r="J114" s="5">
        <f>HAVERM!V110</f>
        <v>2083595</v>
      </c>
      <c r="K114" s="5">
        <f>HAVERM!W110</f>
        <v>1250984</v>
      </c>
      <c r="L114" s="5">
        <f>HAVERM!X110</f>
        <v>1123860</v>
      </c>
      <c r="M114" s="5">
        <f>HAVERM!Y110</f>
        <v>464585</v>
      </c>
      <c r="N114" s="5">
        <f>HAVERM!Z110</f>
        <v>2413168</v>
      </c>
      <c r="O114" s="5">
        <f>HAVERM!AA110</f>
        <v>2453488</v>
      </c>
      <c r="P114" s="5">
        <f>HAVERM!AB110</f>
        <v>1548832</v>
      </c>
      <c r="Q114" s="5">
        <f>HAVERM!AC110</f>
        <v>3252616</v>
      </c>
      <c r="R114" s="5">
        <f>HAVERM!AD110</f>
        <v>4449172</v>
      </c>
      <c r="S114" s="5">
        <f>HAVERM!AE110</f>
        <v>643447</v>
      </c>
      <c r="T114" s="5">
        <f>HAVERM!AF110</f>
        <v>542140</v>
      </c>
      <c r="V114">
        <f t="shared" si="11"/>
        <v>7859473</v>
      </c>
      <c r="W114">
        <f t="shared" si="12"/>
        <v>12956920</v>
      </c>
      <c r="X114">
        <f t="shared" si="13"/>
        <v>9250620</v>
      </c>
      <c r="Y114" s="2" t="b">
        <f t="shared" si="14"/>
        <v>1</v>
      </c>
      <c r="AA114" s="5">
        <f t="shared" si="15"/>
        <v>-87.707999999999998</v>
      </c>
      <c r="AB114" s="5">
        <f t="shared" si="16"/>
        <v>-119.17400000000001</v>
      </c>
      <c r="AC114" s="5">
        <f t="shared" si="17"/>
        <v>8.8970000000000002</v>
      </c>
      <c r="AD114" s="5">
        <f t="shared" si="18"/>
        <v>-197.98500000000001</v>
      </c>
    </row>
    <row r="115" spans="1:30" x14ac:dyDescent="0.35">
      <c r="A115" s="4"/>
    </row>
    <row r="116" spans="1:30" x14ac:dyDescent="0.35">
      <c r="A116" s="4"/>
      <c r="H116" s="2">
        <f>H114-H106</f>
        <v>-62383</v>
      </c>
      <c r="I116" s="2">
        <f>I114-I106</f>
        <v>9100</v>
      </c>
      <c r="J116" s="2">
        <f t="shared" ref="J116:X116" si="19">J114-J106</f>
        <v>-96090</v>
      </c>
      <c r="K116" s="2">
        <f t="shared" si="19"/>
        <v>-37480</v>
      </c>
      <c r="L116" s="2">
        <f t="shared" si="19"/>
        <v>7007</v>
      </c>
      <c r="M116" s="2">
        <f t="shared" si="19"/>
        <v>-1219</v>
      </c>
      <c r="N116" s="2">
        <f t="shared" si="19"/>
        <v>-38577</v>
      </c>
      <c r="O116" s="2">
        <f t="shared" si="19"/>
        <v>-24297</v>
      </c>
      <c r="P116" s="2">
        <f t="shared" si="19"/>
        <v>16169</v>
      </c>
      <c r="Q116" s="2">
        <f t="shared" si="19"/>
        <v>15958</v>
      </c>
      <c r="R116" s="2">
        <f t="shared" si="19"/>
        <v>24030</v>
      </c>
      <c r="S116" s="2">
        <f t="shared" si="19"/>
        <v>7197</v>
      </c>
      <c r="T116" s="2">
        <f t="shared" si="19"/>
        <v>-14116</v>
      </c>
      <c r="U116" s="2">
        <f t="shared" si="19"/>
        <v>0</v>
      </c>
      <c r="V116" s="2">
        <f t="shared" si="19"/>
        <v>-88152</v>
      </c>
      <c r="W116" s="2">
        <f t="shared" si="19"/>
        <v>-218818</v>
      </c>
      <c r="X116" s="2">
        <f t="shared" si="19"/>
        <v>56157</v>
      </c>
    </row>
    <row r="117" spans="1:30" x14ac:dyDescent="0.35">
      <c r="A117" s="4"/>
    </row>
    <row r="118" spans="1:30" x14ac:dyDescent="0.35">
      <c r="A118" s="4"/>
    </row>
    <row r="119" spans="1:30" x14ac:dyDescent="0.35">
      <c r="A119" s="4"/>
    </row>
    <row r="120" spans="1:30" x14ac:dyDescent="0.35">
      <c r="A1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3BA5-B99E-484E-AFBF-19B6F99ACC83}">
  <dimension ref="A12:E241"/>
  <sheetViews>
    <sheetView topLeftCell="A14" workbookViewId="0">
      <selection activeCell="A14" sqref="A14"/>
    </sheetView>
  </sheetViews>
  <sheetFormatPr defaultRowHeight="14.5" x14ac:dyDescent="0.35"/>
  <cols>
    <col min="1" max="1" width="10.08984375" bestFit="1" customWidth="1"/>
  </cols>
  <sheetData>
    <row r="12" spans="1:5" x14ac:dyDescent="0.35">
      <c r="B12" t="s">
        <v>240</v>
      </c>
      <c r="C12" t="s">
        <v>241</v>
      </c>
      <c r="D12" t="str">
        <f>B12</f>
        <v>Inflows</v>
      </c>
      <c r="E12" t="str">
        <f>C12</f>
        <v>Vacancies</v>
      </c>
    </row>
    <row r="14" spans="1:5" x14ac:dyDescent="0.35">
      <c r="A14" s="4">
        <f>DATE(LEFT(HAVERM!J10,4),RIGHT(HAVERM!J10,2),1)</f>
        <v>42736</v>
      </c>
      <c r="B14" s="2">
        <f>HAVERM!L10</f>
        <v>665559</v>
      </c>
      <c r="C14">
        <f>HAVERM!AI10</f>
        <v>764</v>
      </c>
    </row>
    <row r="15" spans="1:5" x14ac:dyDescent="0.35">
      <c r="A15" s="4">
        <f>DATE(LEFT(HAVERM!J11,4),RIGHT(HAVERM!J11,2),1)</f>
        <v>42767</v>
      </c>
      <c r="B15" s="2">
        <f>HAVERM!L11</f>
        <v>682700</v>
      </c>
      <c r="C15">
        <f>HAVERM!AI11</f>
        <v>771</v>
      </c>
    </row>
    <row r="16" spans="1:5" x14ac:dyDescent="0.35">
      <c r="A16" s="4">
        <f>DATE(LEFT(HAVERM!J12,4),RIGHT(HAVERM!J12,2),1)</f>
        <v>42795</v>
      </c>
      <c r="B16" s="2">
        <f>HAVERM!L12</f>
        <v>682127</v>
      </c>
      <c r="C16">
        <f>HAVERM!AI12</f>
        <v>791</v>
      </c>
    </row>
    <row r="17" spans="1:3" x14ac:dyDescent="0.35">
      <c r="A17" s="4">
        <f>DATE(LEFT(HAVERM!J13,4),RIGHT(HAVERM!J13,2),1)</f>
        <v>42826</v>
      </c>
      <c r="B17" s="2">
        <f>HAVERM!L13</f>
        <v>678453</v>
      </c>
      <c r="C17">
        <f>HAVERM!AI13</f>
        <v>786</v>
      </c>
    </row>
    <row r="18" spans="1:3" x14ac:dyDescent="0.35">
      <c r="A18" s="4">
        <f>DATE(LEFT(HAVERM!J14,4),RIGHT(HAVERM!J14,2),1)</f>
        <v>42856</v>
      </c>
      <c r="B18" s="2">
        <f>HAVERM!L14</f>
        <v>686841</v>
      </c>
      <c r="C18">
        <f>HAVERM!AI14</f>
        <v>786</v>
      </c>
    </row>
    <row r="19" spans="1:3" x14ac:dyDescent="0.35">
      <c r="A19" s="4">
        <f>DATE(LEFT(HAVERM!J15,4),RIGHT(HAVERM!J15,2),1)</f>
        <v>42887</v>
      </c>
      <c r="B19" s="2">
        <f>HAVERM!L15</f>
        <v>676578</v>
      </c>
      <c r="C19">
        <f>HAVERM!AI15</f>
        <v>784</v>
      </c>
    </row>
    <row r="20" spans="1:3" x14ac:dyDescent="0.35">
      <c r="A20" s="4">
        <f>DATE(LEFT(HAVERM!J16,4),RIGHT(HAVERM!J16,2),1)</f>
        <v>42917</v>
      </c>
      <c r="B20" s="2">
        <f>HAVERM!L16</f>
        <v>676046</v>
      </c>
      <c r="C20">
        <f>HAVERM!AI16</f>
        <v>793</v>
      </c>
    </row>
    <row r="21" spans="1:3" x14ac:dyDescent="0.35">
      <c r="A21" s="4">
        <f>DATE(LEFT(HAVERM!J17,4),RIGHT(HAVERM!J17,2),1)</f>
        <v>42948</v>
      </c>
      <c r="B21" s="2">
        <f>HAVERM!L17</f>
        <v>680466</v>
      </c>
      <c r="C21">
        <f>HAVERM!AI17</f>
        <v>800</v>
      </c>
    </row>
    <row r="22" spans="1:3" x14ac:dyDescent="0.35">
      <c r="A22" s="4">
        <f>DATE(LEFT(HAVERM!J18,4),RIGHT(HAVERM!J18,2),1)</f>
        <v>42979</v>
      </c>
      <c r="B22" s="2">
        <f>HAVERM!L18</f>
        <v>678714</v>
      </c>
      <c r="C22">
        <f>HAVERM!AI18</f>
        <v>812</v>
      </c>
    </row>
    <row r="23" spans="1:3" x14ac:dyDescent="0.35">
      <c r="A23" s="4">
        <f>DATE(LEFT(HAVERM!J19,4),RIGHT(HAVERM!J19,2),1)</f>
        <v>43009</v>
      </c>
      <c r="B23" s="2">
        <f>HAVERM!L19</f>
        <v>680017</v>
      </c>
      <c r="C23">
        <f>HAVERM!AI19</f>
        <v>819</v>
      </c>
    </row>
    <row r="24" spans="1:3" x14ac:dyDescent="0.35">
      <c r="A24" s="4">
        <f>DATE(LEFT(HAVERM!J20,4),RIGHT(HAVERM!J20,2),1)</f>
        <v>43040</v>
      </c>
      <c r="B24" s="2">
        <f>HAVERM!L20</f>
        <v>675360</v>
      </c>
      <c r="C24">
        <f>HAVERM!AI20</f>
        <v>820</v>
      </c>
    </row>
    <row r="25" spans="1:3" x14ac:dyDescent="0.35">
      <c r="A25" s="4">
        <f>DATE(LEFT(HAVERM!J21,4),RIGHT(HAVERM!J21,2),1)</f>
        <v>43070</v>
      </c>
      <c r="B25" s="2">
        <f>HAVERM!L21</f>
        <v>667559</v>
      </c>
      <c r="C25">
        <f>HAVERM!AI21</f>
        <v>817</v>
      </c>
    </row>
    <row r="26" spans="1:3" x14ac:dyDescent="0.35">
      <c r="A26" s="4">
        <f>DATE(LEFT(HAVERM!J22,4),RIGHT(HAVERM!J22,2),1)</f>
        <v>43101</v>
      </c>
      <c r="B26" s="2">
        <f>HAVERM!L22</f>
        <v>667921</v>
      </c>
      <c r="C26">
        <f>HAVERM!AI22</f>
        <v>814</v>
      </c>
    </row>
    <row r="27" spans="1:3" x14ac:dyDescent="0.35">
      <c r="A27" s="4">
        <f>DATE(LEFT(HAVERM!J23,4),RIGHT(HAVERM!J23,2),1)</f>
        <v>43132</v>
      </c>
      <c r="B27" s="2">
        <f>HAVERM!L23</f>
        <v>662669</v>
      </c>
      <c r="C27">
        <f>HAVERM!AI23</f>
        <v>815</v>
      </c>
    </row>
    <row r="28" spans="1:3" x14ac:dyDescent="0.35">
      <c r="A28" s="4">
        <f>DATE(LEFT(HAVERM!J24,4),RIGHT(HAVERM!J24,2),1)</f>
        <v>43160</v>
      </c>
      <c r="B28" s="2">
        <f>HAVERM!L24</f>
        <v>654218</v>
      </c>
      <c r="C28">
        <f>HAVERM!AI24</f>
        <v>811</v>
      </c>
    </row>
    <row r="29" spans="1:3" x14ac:dyDescent="0.35">
      <c r="A29" s="4">
        <f>DATE(LEFT(HAVERM!J25,4),RIGHT(HAVERM!J25,2),1)</f>
        <v>43191</v>
      </c>
      <c r="B29" s="2">
        <f>HAVERM!L25</f>
        <v>650108</v>
      </c>
      <c r="C29">
        <f>HAVERM!AI25</f>
        <v>821</v>
      </c>
    </row>
    <row r="30" spans="1:3" x14ac:dyDescent="0.35">
      <c r="A30" s="4">
        <f>DATE(LEFT(HAVERM!J26,4),RIGHT(HAVERM!J26,2),1)</f>
        <v>43221</v>
      </c>
      <c r="B30" s="2">
        <f>HAVERM!L26</f>
        <v>666682</v>
      </c>
      <c r="C30">
        <f>HAVERM!AI26</f>
        <v>832</v>
      </c>
    </row>
    <row r="31" spans="1:3" x14ac:dyDescent="0.35">
      <c r="A31" s="4">
        <f>DATE(LEFT(HAVERM!J27,4),RIGHT(HAVERM!J27,2),1)</f>
        <v>43252</v>
      </c>
      <c r="B31" s="2">
        <f>HAVERM!L27</f>
        <v>664166</v>
      </c>
      <c r="C31">
        <f>HAVERM!AI27</f>
        <v>837</v>
      </c>
    </row>
    <row r="32" spans="1:3" x14ac:dyDescent="0.35">
      <c r="A32" s="4">
        <f>DATE(LEFT(HAVERM!J28,4),RIGHT(HAVERM!J28,2),1)</f>
        <v>43282</v>
      </c>
      <c r="B32" s="2">
        <f>HAVERM!L28</f>
        <v>669767</v>
      </c>
      <c r="C32">
        <f>HAVERM!AI28</f>
        <v>842</v>
      </c>
    </row>
    <row r="33" spans="1:3" x14ac:dyDescent="0.35">
      <c r="A33" s="4">
        <f>DATE(LEFT(HAVERM!J29,4),RIGHT(HAVERM!J29,2),1)</f>
        <v>43313</v>
      </c>
      <c r="B33" s="2">
        <f>HAVERM!L29</f>
        <v>679282</v>
      </c>
      <c r="C33">
        <f>HAVERM!AI29</f>
        <v>846</v>
      </c>
    </row>
    <row r="34" spans="1:3" x14ac:dyDescent="0.35">
      <c r="A34" s="4">
        <f>DATE(LEFT(HAVERM!J30,4),RIGHT(HAVERM!J30,2),1)</f>
        <v>43344</v>
      </c>
      <c r="B34" s="2">
        <f>HAVERM!L30</f>
        <v>675797</v>
      </c>
      <c r="C34">
        <f>HAVERM!AI30</f>
        <v>864</v>
      </c>
    </row>
    <row r="35" spans="1:3" x14ac:dyDescent="0.35">
      <c r="A35" s="4">
        <f>DATE(LEFT(HAVERM!J31,4),RIGHT(HAVERM!J31,2),1)</f>
        <v>43374</v>
      </c>
      <c r="B35" s="2">
        <f>HAVERM!L31</f>
        <v>664106</v>
      </c>
      <c r="C35">
        <f>HAVERM!AI31</f>
        <v>862</v>
      </c>
    </row>
    <row r="36" spans="1:3" x14ac:dyDescent="0.35">
      <c r="A36" s="4">
        <f>DATE(LEFT(HAVERM!J32,4),RIGHT(HAVERM!J32,2),1)</f>
        <v>43405</v>
      </c>
      <c r="B36" s="2">
        <f>HAVERM!L32</f>
        <v>681702</v>
      </c>
      <c r="C36">
        <f>HAVERM!AI32</f>
        <v>856</v>
      </c>
    </row>
    <row r="37" spans="1:3" x14ac:dyDescent="0.35">
      <c r="A37" s="4">
        <f>DATE(LEFT(HAVERM!J33,4),RIGHT(HAVERM!J33,2),1)</f>
        <v>43435</v>
      </c>
      <c r="B37" s="2">
        <f>HAVERM!L33</f>
        <v>666126</v>
      </c>
      <c r="C37">
        <f>HAVERM!AI33</f>
        <v>855</v>
      </c>
    </row>
    <row r="38" spans="1:3" x14ac:dyDescent="0.35">
      <c r="A38" s="4">
        <f>DATE(LEFT(HAVERM!J34,4),RIGHT(HAVERM!J34,2),1)</f>
        <v>43466</v>
      </c>
      <c r="B38" s="2">
        <f>HAVERM!L34</f>
        <v>676840</v>
      </c>
      <c r="C38">
        <f>HAVERM!AI34</f>
        <v>847</v>
      </c>
    </row>
    <row r="39" spans="1:3" x14ac:dyDescent="0.35">
      <c r="A39" s="4">
        <f>DATE(LEFT(HAVERM!J35,4),RIGHT(HAVERM!J35,2),1)</f>
        <v>43497</v>
      </c>
      <c r="B39" s="2">
        <f>HAVERM!L35</f>
        <v>668161</v>
      </c>
      <c r="C39">
        <f>HAVERM!AI35</f>
        <v>845</v>
      </c>
    </row>
    <row r="40" spans="1:3" x14ac:dyDescent="0.35">
      <c r="A40" s="4">
        <f>DATE(LEFT(HAVERM!J36,4),RIGHT(HAVERM!J36,2),1)</f>
        <v>43525</v>
      </c>
      <c r="B40" s="2">
        <f>HAVERM!L36</f>
        <v>680711</v>
      </c>
      <c r="C40">
        <f>HAVERM!AI36</f>
        <v>840</v>
      </c>
    </row>
    <row r="41" spans="1:3" x14ac:dyDescent="0.35">
      <c r="A41" s="4">
        <f>DATE(LEFT(HAVERM!J37,4),RIGHT(HAVERM!J37,2),1)</f>
        <v>43556</v>
      </c>
      <c r="B41" s="2">
        <f>HAVERM!L37</f>
        <v>686967</v>
      </c>
      <c r="C41">
        <f>HAVERM!AI37</f>
        <v>835</v>
      </c>
    </row>
    <row r="42" spans="1:3" x14ac:dyDescent="0.35">
      <c r="A42" s="4">
        <f>DATE(LEFT(HAVERM!J38,4),RIGHT(HAVERM!J38,2),1)</f>
        <v>43586</v>
      </c>
      <c r="B42" s="2">
        <f>HAVERM!L38</f>
        <v>661067</v>
      </c>
      <c r="C42">
        <f>HAVERM!AI38</f>
        <v>822</v>
      </c>
    </row>
    <row r="43" spans="1:3" x14ac:dyDescent="0.35">
      <c r="A43" s="4">
        <f>DATE(LEFT(HAVERM!J39,4),RIGHT(HAVERM!J39,2),1)</f>
        <v>43617</v>
      </c>
      <c r="B43" s="2">
        <f>HAVERM!L39</f>
        <v>657879</v>
      </c>
      <c r="C43">
        <f>HAVERM!AI39</f>
        <v>821</v>
      </c>
    </row>
    <row r="44" spans="1:3" x14ac:dyDescent="0.35">
      <c r="A44" s="4">
        <f>DATE(LEFT(HAVERM!J40,4),RIGHT(HAVERM!J40,2),1)</f>
        <v>43647</v>
      </c>
      <c r="B44" s="2">
        <f>HAVERM!L40</f>
        <v>644954</v>
      </c>
      <c r="C44">
        <f>HAVERM!AI40</f>
        <v>815</v>
      </c>
    </row>
    <row r="45" spans="1:3" x14ac:dyDescent="0.35">
      <c r="A45" s="4">
        <f>DATE(LEFT(HAVERM!J41,4),RIGHT(HAVERM!J41,2),1)</f>
        <v>43678</v>
      </c>
      <c r="B45" s="2">
        <f>HAVERM!L41</f>
        <v>664942</v>
      </c>
      <c r="C45">
        <f>HAVERM!AI41</f>
        <v>818</v>
      </c>
    </row>
    <row r="46" spans="1:3" x14ac:dyDescent="0.35">
      <c r="A46" s="4">
        <f>DATE(LEFT(HAVERM!J42,4),RIGHT(HAVERM!J42,2),1)</f>
        <v>43709</v>
      </c>
      <c r="B46" s="2">
        <f>HAVERM!L42</f>
        <v>663453</v>
      </c>
      <c r="C46">
        <f>HAVERM!AI42</f>
        <v>813</v>
      </c>
    </row>
    <row r="47" spans="1:3" x14ac:dyDescent="0.35">
      <c r="A47" s="4">
        <f>DATE(LEFT(HAVERM!J43,4),RIGHT(HAVERM!J43,2),1)</f>
        <v>43739</v>
      </c>
      <c r="B47" s="2">
        <f>HAVERM!L43</f>
        <v>646959</v>
      </c>
      <c r="C47">
        <f>HAVERM!AI43</f>
        <v>809</v>
      </c>
    </row>
    <row r="48" spans="1:3" x14ac:dyDescent="0.35">
      <c r="A48" s="4">
        <f>DATE(LEFT(HAVERM!J44,4),RIGHT(HAVERM!J44,2),1)</f>
        <v>43770</v>
      </c>
      <c r="B48" s="2">
        <f>HAVERM!L44</f>
        <v>647283</v>
      </c>
      <c r="C48">
        <f>HAVERM!AI44</f>
        <v>811</v>
      </c>
    </row>
    <row r="49" spans="1:5" x14ac:dyDescent="0.35">
      <c r="A49" s="4">
        <f>DATE(LEFT(HAVERM!J45,4),RIGHT(HAVERM!J45,2),1)</f>
        <v>43800</v>
      </c>
      <c r="B49" s="2">
        <f>HAVERM!L45</f>
        <v>676212</v>
      </c>
      <c r="C49">
        <f>HAVERM!AI45</f>
        <v>812</v>
      </c>
      <c r="D49" s="7">
        <f>B49/AVERAGE($B$47:$B$49)*100</f>
        <v>102.95272054054547</v>
      </c>
      <c r="E49" s="7">
        <f>C49/AVERAGE($C$49)*100</f>
        <v>100</v>
      </c>
    </row>
    <row r="50" spans="1:5" x14ac:dyDescent="0.35">
      <c r="A50" s="4">
        <f>DATE(LEFT(HAVERM!J46,4),RIGHT(HAVERM!J46,2),1)</f>
        <v>43831</v>
      </c>
      <c r="B50" s="2">
        <f>HAVERM!L46</f>
        <v>705146</v>
      </c>
      <c r="C50">
        <f>HAVERM!AI46</f>
        <v>819</v>
      </c>
      <c r="D50" s="7">
        <f t="shared" ref="D50:D113" si="0">B50/AVERAGE($B$47:$B$49)*100</f>
        <v>107.35789823056005</v>
      </c>
      <c r="E50" s="7">
        <f t="shared" ref="E50:E113" si="1">C50/AVERAGE($C$49)*100</f>
        <v>100.86206896551724</v>
      </c>
    </row>
    <row r="51" spans="1:5" x14ac:dyDescent="0.35">
      <c r="A51" s="4">
        <f>DATE(LEFT(HAVERM!J47,4),RIGHT(HAVERM!J47,2),1)</f>
        <v>43862</v>
      </c>
      <c r="B51" s="2">
        <f>HAVERM!L47</f>
        <v>676372</v>
      </c>
      <c r="C51">
        <f>HAVERM!AI47</f>
        <v>795</v>
      </c>
      <c r="D51" s="7">
        <f t="shared" si="0"/>
        <v>102.97708040888038</v>
      </c>
      <c r="E51" s="7">
        <f t="shared" si="1"/>
        <v>97.906403940886705</v>
      </c>
    </row>
    <row r="52" spans="1:5" x14ac:dyDescent="0.35">
      <c r="A52" s="4">
        <f>DATE(LEFT(HAVERM!J48,4),RIGHT(HAVERM!J48,2),1)</f>
        <v>43891</v>
      </c>
      <c r="B52" s="2">
        <f>HAVERM!L48</f>
        <v>658550</v>
      </c>
      <c r="C52">
        <f>HAVERM!AI48</f>
        <v>637</v>
      </c>
      <c r="D52" s="7">
        <f t="shared" si="0"/>
        <v>100.2636955747254</v>
      </c>
      <c r="E52" s="7">
        <f t="shared" si="1"/>
        <v>78.448275862068968</v>
      </c>
    </row>
    <row r="53" spans="1:5" x14ac:dyDescent="0.35">
      <c r="A53" s="4">
        <f>DATE(LEFT(HAVERM!J49,4),RIGHT(HAVERM!J49,2),1)</f>
        <v>43922</v>
      </c>
      <c r="B53" s="2">
        <f>HAVERM!L49</f>
        <v>465778</v>
      </c>
      <c r="C53">
        <f>HAVERM!AI49</f>
        <v>471</v>
      </c>
      <c r="D53" s="7">
        <f t="shared" si="0"/>
        <v>70.914317208115492</v>
      </c>
      <c r="E53" s="7">
        <f t="shared" si="1"/>
        <v>58.004926108374391</v>
      </c>
    </row>
    <row r="54" spans="1:5" x14ac:dyDescent="0.35">
      <c r="A54" s="4">
        <f>DATE(LEFT(HAVERM!J50,4),RIGHT(HAVERM!J50,2),1)</f>
        <v>43952</v>
      </c>
      <c r="B54" s="2">
        <f>HAVERM!L50</f>
        <v>434276</v>
      </c>
      <c r="C54">
        <f>HAVERM!AI50</f>
        <v>328</v>
      </c>
      <c r="D54" s="7">
        <f t="shared" si="0"/>
        <v>66.118163631325572</v>
      </c>
      <c r="E54" s="7">
        <f t="shared" si="1"/>
        <v>40.39408866995074</v>
      </c>
    </row>
    <row r="55" spans="1:5" x14ac:dyDescent="0.35">
      <c r="A55" s="4">
        <f>DATE(LEFT(HAVERM!J51,4),RIGHT(HAVERM!J51,2),1)</f>
        <v>43983</v>
      </c>
      <c r="B55" s="2">
        <f>HAVERM!L51</f>
        <v>410819</v>
      </c>
      <c r="C55">
        <f>HAVERM!AI51</f>
        <v>369</v>
      </c>
      <c r="D55" s="7">
        <f t="shared" si="0"/>
        <v>62.546854684250434</v>
      </c>
      <c r="E55" s="7">
        <f t="shared" si="1"/>
        <v>45.443349753694577</v>
      </c>
    </row>
    <row r="56" spans="1:5" x14ac:dyDescent="0.35">
      <c r="A56" s="4">
        <f>DATE(LEFT(HAVERM!J52,4),RIGHT(HAVERM!J52,2),1)</f>
        <v>44013</v>
      </c>
      <c r="B56" s="2">
        <f>HAVERM!L52</f>
        <v>444827</v>
      </c>
      <c r="C56">
        <f>HAVERM!AI52</f>
        <v>428</v>
      </c>
      <c r="D56" s="7">
        <f t="shared" si="0"/>
        <v>67.724544698835899</v>
      </c>
      <c r="E56" s="7">
        <f t="shared" si="1"/>
        <v>52.709359605911331</v>
      </c>
    </row>
    <row r="57" spans="1:5" x14ac:dyDescent="0.35">
      <c r="A57" s="4">
        <f>DATE(LEFT(HAVERM!J53,4),RIGHT(HAVERM!J53,2),1)</f>
        <v>44044</v>
      </c>
      <c r="B57" s="2">
        <f>HAVERM!L53</f>
        <v>530404</v>
      </c>
      <c r="C57">
        <f>HAVERM!AI53</f>
        <v>490</v>
      </c>
      <c r="D57" s="7">
        <f t="shared" si="0"/>
        <v>80.753572526940488</v>
      </c>
      <c r="E57" s="7">
        <f t="shared" si="1"/>
        <v>60.344827586206897</v>
      </c>
    </row>
    <row r="58" spans="1:5" x14ac:dyDescent="0.35">
      <c r="A58" s="4">
        <f>DATE(LEFT(HAVERM!J54,4),RIGHT(HAVERM!J54,2),1)</f>
        <v>44075</v>
      </c>
      <c r="B58" s="2">
        <f>HAVERM!L54</f>
        <v>547800</v>
      </c>
      <c r="C58">
        <f>HAVERM!AI54</f>
        <v>535</v>
      </c>
      <c r="D58" s="7">
        <f t="shared" si="0"/>
        <v>83.402099211653763</v>
      </c>
      <c r="E58" s="7">
        <f t="shared" si="1"/>
        <v>65.886699507389153</v>
      </c>
    </row>
    <row r="59" spans="1:5" x14ac:dyDescent="0.35">
      <c r="A59" s="4">
        <f>DATE(LEFT(HAVERM!J55,4),RIGHT(HAVERM!J55,2),1)</f>
        <v>44105</v>
      </c>
      <c r="B59" s="2">
        <f>HAVERM!L55</f>
        <v>559266</v>
      </c>
      <c r="C59">
        <f>HAVERM!AI55</f>
        <v>560</v>
      </c>
      <c r="D59" s="7">
        <f t="shared" si="0"/>
        <v>85.147788276204366</v>
      </c>
      <c r="E59" s="7">
        <f t="shared" si="1"/>
        <v>68.965517241379317</v>
      </c>
    </row>
    <row r="60" spans="1:5" x14ac:dyDescent="0.35">
      <c r="A60" s="4">
        <f>DATE(LEFT(HAVERM!J56,4),RIGHT(HAVERM!J56,2),1)</f>
        <v>44136</v>
      </c>
      <c r="B60" s="2">
        <f>HAVERM!L56</f>
        <v>564675</v>
      </c>
      <c r="C60">
        <f>HAVERM!AI56</f>
        <v>602</v>
      </c>
      <c r="D60" s="7">
        <f t="shared" si="0"/>
        <v>85.971304075101472</v>
      </c>
      <c r="E60" s="7">
        <f t="shared" si="1"/>
        <v>74.137931034482762</v>
      </c>
    </row>
    <row r="61" spans="1:5" x14ac:dyDescent="0.35">
      <c r="A61" s="4">
        <f>DATE(LEFT(HAVERM!J57,4),RIGHT(HAVERM!J57,2),1)</f>
        <v>44166</v>
      </c>
      <c r="B61" s="2">
        <f>HAVERM!L57</f>
        <v>605261</v>
      </c>
      <c r="C61">
        <f>HAVERM!AI57</f>
        <v>617</v>
      </c>
      <c r="D61" s="7">
        <f t="shared" si="0"/>
        <v>92.150489176606001</v>
      </c>
      <c r="E61" s="7">
        <f t="shared" si="1"/>
        <v>75.98522167487684</v>
      </c>
    </row>
    <row r="62" spans="1:5" x14ac:dyDescent="0.35">
      <c r="A62" s="4">
        <f>DATE(LEFT(HAVERM!J58,4),RIGHT(HAVERM!J58,2),1)</f>
        <v>44197</v>
      </c>
      <c r="B62" s="2">
        <f>HAVERM!L58</f>
        <v>590208</v>
      </c>
      <c r="C62">
        <f>HAVERM!AI58</f>
        <v>621</v>
      </c>
      <c r="D62" s="7">
        <f t="shared" si="0"/>
        <v>89.858682313822086</v>
      </c>
      <c r="E62" s="7">
        <f t="shared" si="1"/>
        <v>76.477832512315274</v>
      </c>
    </row>
    <row r="63" spans="1:5" x14ac:dyDescent="0.35">
      <c r="A63" s="4">
        <f>DATE(LEFT(HAVERM!J59,4),RIGHT(HAVERM!J59,2),1)</f>
        <v>44228</v>
      </c>
      <c r="B63" s="2">
        <f>HAVERM!L59</f>
        <v>502842</v>
      </c>
      <c r="C63">
        <f>HAVERM!AI59</f>
        <v>626</v>
      </c>
      <c r="D63" s="7">
        <f t="shared" si="0"/>
        <v>76.557280707897775</v>
      </c>
      <c r="E63" s="7">
        <f t="shared" si="1"/>
        <v>77.093596059113295</v>
      </c>
    </row>
    <row r="64" spans="1:5" x14ac:dyDescent="0.35">
      <c r="A64" s="4">
        <f>DATE(LEFT(HAVERM!J60,4),RIGHT(HAVERM!J60,2),1)</f>
        <v>44256</v>
      </c>
      <c r="B64" s="2">
        <f>HAVERM!L60</f>
        <v>537763</v>
      </c>
      <c r="C64">
        <f>HAVERM!AI60</f>
        <v>659</v>
      </c>
      <c r="D64" s="7">
        <f t="shared" si="0"/>
        <v>81.873974221169334</v>
      </c>
      <c r="E64" s="7">
        <f t="shared" si="1"/>
        <v>81.157635467980299</v>
      </c>
    </row>
    <row r="65" spans="1:5" x14ac:dyDescent="0.35">
      <c r="A65" s="4">
        <f>DATE(LEFT(HAVERM!J61,4),RIGHT(HAVERM!J61,2),1)</f>
        <v>44287</v>
      </c>
      <c r="B65" s="2">
        <f>HAVERM!L61</f>
        <v>629812</v>
      </c>
      <c r="C65">
        <f>HAVERM!AI61</f>
        <v>764</v>
      </c>
      <c r="D65" s="7">
        <f t="shared" si="0"/>
        <v>95.888358723421092</v>
      </c>
      <c r="E65" s="7">
        <f t="shared" si="1"/>
        <v>94.088669950738918</v>
      </c>
    </row>
    <row r="66" spans="1:5" x14ac:dyDescent="0.35">
      <c r="A66" s="4">
        <f>DATE(LEFT(HAVERM!J62,4),RIGHT(HAVERM!J62,2),1)</f>
        <v>44317</v>
      </c>
      <c r="B66" s="2">
        <f>HAVERM!L62</f>
        <v>753574</v>
      </c>
      <c r="C66">
        <f>HAVERM!AI62</f>
        <v>867</v>
      </c>
      <c r="D66" s="7">
        <f t="shared" si="0"/>
        <v>114.73102137882944</v>
      </c>
      <c r="E66" s="7">
        <f t="shared" si="1"/>
        <v>106.77339901477832</v>
      </c>
    </row>
    <row r="67" spans="1:5" x14ac:dyDescent="0.35">
      <c r="A67" s="4">
        <f>DATE(LEFT(HAVERM!J63,4),RIGHT(HAVERM!J63,2),1)</f>
        <v>44348</v>
      </c>
      <c r="B67" s="2">
        <f>HAVERM!L63</f>
        <v>751934</v>
      </c>
      <c r="C67">
        <f>HAVERM!AI63</f>
        <v>968</v>
      </c>
      <c r="D67" s="7">
        <f t="shared" si="0"/>
        <v>114.48133272839659</v>
      </c>
      <c r="E67" s="7">
        <f t="shared" si="1"/>
        <v>119.21182266009853</v>
      </c>
    </row>
    <row r="68" spans="1:5" x14ac:dyDescent="0.35">
      <c r="A68" s="4">
        <f>DATE(LEFT(HAVERM!J64,4),RIGHT(HAVERM!J64,2),1)</f>
        <v>44378</v>
      </c>
      <c r="B68" s="2">
        <f>HAVERM!L64</f>
        <v>697531</v>
      </c>
      <c r="C68">
        <f>HAVERM!AI64</f>
        <v>1052</v>
      </c>
      <c r="D68" s="7">
        <f t="shared" si="0"/>
        <v>106.19852074699536</v>
      </c>
      <c r="E68" s="7">
        <f t="shared" si="1"/>
        <v>129.55665024630542</v>
      </c>
    </row>
    <row r="69" spans="1:5" x14ac:dyDescent="0.35">
      <c r="A69" s="4">
        <f>DATE(LEFT(HAVERM!J65,4),RIGHT(HAVERM!J65,2),1)</f>
        <v>44409</v>
      </c>
      <c r="B69" s="2">
        <f>HAVERM!L65</f>
        <v>709645</v>
      </c>
      <c r="C69">
        <f>HAVERM!AI65</f>
        <v>1125</v>
      </c>
      <c r="D69" s="7">
        <f t="shared" si="0"/>
        <v>108.04286727830237</v>
      </c>
      <c r="E69" s="7">
        <f t="shared" si="1"/>
        <v>138.54679802955664</v>
      </c>
    </row>
    <row r="70" spans="1:5" x14ac:dyDescent="0.35">
      <c r="A70" s="4">
        <f>DATE(LEFT(HAVERM!J66,4),RIGHT(HAVERM!J66,2),1)</f>
        <v>44440</v>
      </c>
      <c r="B70" s="2">
        <f>HAVERM!L66</f>
        <v>699738</v>
      </c>
      <c r="C70">
        <f>HAVERM!AI66</f>
        <v>1198</v>
      </c>
      <c r="D70" s="7">
        <f t="shared" si="0"/>
        <v>106.53453468084004</v>
      </c>
      <c r="E70" s="7">
        <f t="shared" si="1"/>
        <v>147.53694581280789</v>
      </c>
    </row>
    <row r="71" spans="1:5" x14ac:dyDescent="0.35">
      <c r="A71" s="4">
        <f>DATE(LEFT(HAVERM!J67,4),RIGHT(HAVERM!J67,2),1)</f>
        <v>44470</v>
      </c>
      <c r="B71" s="2">
        <f>HAVERM!L67</f>
        <v>689877</v>
      </c>
      <c r="C71">
        <f>HAVERM!AI67</f>
        <v>1223</v>
      </c>
      <c r="D71" s="7">
        <f t="shared" si="0"/>
        <v>105.03320554552403</v>
      </c>
      <c r="E71" s="7">
        <f t="shared" si="1"/>
        <v>150.61576354679801</v>
      </c>
    </row>
    <row r="72" spans="1:5" x14ac:dyDescent="0.35">
      <c r="A72" s="4">
        <f>DATE(LEFT(HAVERM!J68,4),RIGHT(HAVERM!J68,2),1)</f>
        <v>44501</v>
      </c>
      <c r="B72" s="2">
        <f>HAVERM!L68</f>
        <v>717306</v>
      </c>
      <c r="C72">
        <f>HAVERM!AI68</f>
        <v>1243</v>
      </c>
      <c r="D72" s="7">
        <f t="shared" si="0"/>
        <v>109.20924822401335</v>
      </c>
      <c r="E72" s="7">
        <f t="shared" si="1"/>
        <v>153.07881773399015</v>
      </c>
    </row>
    <row r="73" spans="1:5" x14ac:dyDescent="0.35">
      <c r="A73" s="4">
        <f>DATE(LEFT(HAVERM!J69,4),RIGHT(HAVERM!J69,2),1)</f>
        <v>44531</v>
      </c>
      <c r="B73" s="2">
        <f>HAVERM!L69</f>
        <v>701123</v>
      </c>
      <c r="C73">
        <f>HAVERM!AI69</f>
        <v>1250</v>
      </c>
      <c r="D73" s="7">
        <f t="shared" si="0"/>
        <v>106.74539979111412</v>
      </c>
      <c r="E73" s="7">
        <f t="shared" si="1"/>
        <v>153.94088669950739</v>
      </c>
    </row>
    <row r="74" spans="1:5" x14ac:dyDescent="0.35">
      <c r="A74" s="4">
        <f>DATE(LEFT(HAVERM!J70,4),RIGHT(HAVERM!J70,2),1)</f>
        <v>44562</v>
      </c>
      <c r="B74" s="2">
        <f>HAVERM!L70</f>
        <v>687724</v>
      </c>
      <c r="C74">
        <f>HAVERM!AI70</f>
        <v>1267</v>
      </c>
      <c r="D74" s="7">
        <f t="shared" si="0"/>
        <v>104.70541306724238</v>
      </c>
      <c r="E74" s="7">
        <f t="shared" si="1"/>
        <v>156.0344827586207</v>
      </c>
    </row>
    <row r="75" spans="1:5" x14ac:dyDescent="0.35">
      <c r="A75" s="4">
        <f>DATE(LEFT(HAVERM!J71,4),RIGHT(HAVERM!J71,2),1)</f>
        <v>44593</v>
      </c>
      <c r="B75" s="2">
        <f>HAVERM!L71</f>
        <v>725868</v>
      </c>
      <c r="C75">
        <f>HAVERM!AI71</f>
        <v>1276</v>
      </c>
      <c r="D75" s="7">
        <f t="shared" si="0"/>
        <v>110.51280567828532</v>
      </c>
      <c r="E75" s="7">
        <f t="shared" si="1"/>
        <v>157.14285714285714</v>
      </c>
    </row>
    <row r="76" spans="1:5" x14ac:dyDescent="0.35">
      <c r="A76" s="4">
        <f>DATE(LEFT(HAVERM!J72,4),RIGHT(HAVERM!J72,2),1)</f>
        <v>44621</v>
      </c>
      <c r="B76" s="2">
        <f>HAVERM!L72</f>
        <v>711900</v>
      </c>
      <c r="C76">
        <f>HAVERM!AI72</f>
        <v>1291</v>
      </c>
      <c r="D76" s="7">
        <f t="shared" si="0"/>
        <v>108.38618917264753</v>
      </c>
      <c r="E76" s="7">
        <f t="shared" si="1"/>
        <v>158.99014778325122</v>
      </c>
    </row>
    <row r="77" spans="1:5" x14ac:dyDescent="0.35">
      <c r="A77" s="4">
        <f>DATE(LEFT(HAVERM!J73,4),RIGHT(HAVERM!J73,2),1)</f>
        <v>44652</v>
      </c>
      <c r="B77" s="2">
        <f>HAVERM!L73</f>
        <v>710645</v>
      </c>
      <c r="C77">
        <f>HAVERM!AI73</f>
        <v>1300</v>
      </c>
      <c r="D77" s="7">
        <f t="shared" si="0"/>
        <v>108.19511645539556</v>
      </c>
      <c r="E77" s="7">
        <f t="shared" si="1"/>
        <v>160.09852216748769</v>
      </c>
    </row>
    <row r="78" spans="1:5" x14ac:dyDescent="0.35">
      <c r="A78" s="4">
        <f>DATE(LEFT(HAVERM!J74,4),RIGHT(HAVERM!J74,2),1)</f>
        <v>44682</v>
      </c>
      <c r="B78" s="2">
        <f>HAVERM!L74</f>
        <v>694596</v>
      </c>
      <c r="C78">
        <f>HAVERM!AI74</f>
        <v>1290</v>
      </c>
      <c r="D78" s="7">
        <f t="shared" si="0"/>
        <v>105.75166941222682</v>
      </c>
      <c r="E78" s="7">
        <f t="shared" si="1"/>
        <v>158.86699507389162</v>
      </c>
    </row>
    <row r="79" spans="1:5" x14ac:dyDescent="0.35">
      <c r="A79" s="4">
        <f>DATE(LEFT(HAVERM!J75,4),RIGHT(HAVERM!J75,2),1)</f>
        <v>44713</v>
      </c>
      <c r="B79" s="2">
        <f>HAVERM!L75</f>
        <v>666670</v>
      </c>
      <c r="C79">
        <f>HAVERM!AI75</f>
        <v>1263</v>
      </c>
      <c r="D79" s="7">
        <f t="shared" si="0"/>
        <v>101.49995889272219</v>
      </c>
      <c r="E79" s="7">
        <f t="shared" si="1"/>
        <v>155.54187192118226</v>
      </c>
    </row>
    <row r="80" spans="1:5" x14ac:dyDescent="0.35">
      <c r="A80" s="4">
        <f>DATE(LEFT(HAVERM!J76,4),RIGHT(HAVERM!J76,2),1)</f>
        <v>44743</v>
      </c>
      <c r="B80" s="2">
        <f>HAVERM!L76</f>
        <v>697852</v>
      </c>
      <c r="C80">
        <f>HAVERM!AI76</f>
        <v>1244</v>
      </c>
      <c r="D80" s="7">
        <f t="shared" si="0"/>
        <v>106.24739273284227</v>
      </c>
      <c r="E80" s="7">
        <f t="shared" si="1"/>
        <v>153.20197044334975</v>
      </c>
    </row>
    <row r="81" spans="1:5" x14ac:dyDescent="0.35">
      <c r="A81" s="4">
        <f>DATE(LEFT(HAVERM!J77,4),RIGHT(HAVERM!J77,2),1)</f>
        <v>44774</v>
      </c>
      <c r="B81" s="2">
        <f>HAVERM!L77</f>
        <v>693580</v>
      </c>
      <c r="C81">
        <f>HAVERM!AI77</f>
        <v>1222</v>
      </c>
      <c r="D81" s="7">
        <f t="shared" si="0"/>
        <v>105.59698424830013</v>
      </c>
      <c r="E81" s="7">
        <f t="shared" si="1"/>
        <v>150.49261083743843</v>
      </c>
    </row>
    <row r="82" spans="1:5" x14ac:dyDescent="0.35">
      <c r="A82" s="4">
        <f>DATE(LEFT(HAVERM!J78,4),RIGHT(HAVERM!J78,2),1)</f>
        <v>44805</v>
      </c>
      <c r="B82" s="2">
        <f>HAVERM!L78</f>
        <v>701009</v>
      </c>
      <c r="C82">
        <f>HAVERM!AI78</f>
        <v>1208</v>
      </c>
      <c r="D82" s="7">
        <f t="shared" si="0"/>
        <v>106.7280433849255</v>
      </c>
      <c r="E82" s="7">
        <f t="shared" si="1"/>
        <v>148.76847290640393</v>
      </c>
    </row>
    <row r="83" spans="1:5" x14ac:dyDescent="0.35">
      <c r="A83" s="4">
        <f>DATE(LEFT(HAVERM!J79,4),RIGHT(HAVERM!J79,2),1)</f>
        <v>44835</v>
      </c>
      <c r="B83" s="2">
        <f>HAVERM!L79</f>
        <v>688017</v>
      </c>
      <c r="C83">
        <f>HAVERM!AI79</f>
        <v>1167</v>
      </c>
      <c r="D83" s="7">
        <f t="shared" si="0"/>
        <v>104.75002207613069</v>
      </c>
      <c r="E83" s="7">
        <f t="shared" si="1"/>
        <v>143.7192118226601</v>
      </c>
    </row>
    <row r="84" spans="1:5" x14ac:dyDescent="0.35">
      <c r="A84" s="4">
        <f>DATE(LEFT(HAVERM!J80,4),RIGHT(HAVERM!J80,2),1)</f>
        <v>44866</v>
      </c>
      <c r="B84" s="2">
        <f>HAVERM!L80</f>
        <v>693789</v>
      </c>
      <c r="C84">
        <f>HAVERM!AI80</f>
        <v>1138</v>
      </c>
      <c r="D84" s="7">
        <f t="shared" si="0"/>
        <v>105.6288043263126</v>
      </c>
      <c r="E84" s="7">
        <f t="shared" si="1"/>
        <v>140.14778325123152</v>
      </c>
    </row>
    <row r="85" spans="1:5" x14ac:dyDescent="0.35">
      <c r="A85" s="4">
        <f>DATE(LEFT(HAVERM!J81,4),RIGHT(HAVERM!J81,2),1)</f>
        <v>44896</v>
      </c>
      <c r="B85" s="2">
        <f>HAVERM!L81</f>
        <v>677061</v>
      </c>
      <c r="C85">
        <f>HAVERM!AI81</f>
        <v>1114</v>
      </c>
      <c r="D85" s="7">
        <f t="shared" si="0"/>
        <v>103.08198009189759</v>
      </c>
      <c r="E85" s="7">
        <f t="shared" si="1"/>
        <v>137.19211822660097</v>
      </c>
    </row>
    <row r="86" spans="1:5" x14ac:dyDescent="0.35">
      <c r="A86" s="4">
        <f>DATE(LEFT(HAVERM!J82,4),RIGHT(HAVERM!J82,2),1)</f>
        <v>44927</v>
      </c>
      <c r="B86" s="2">
        <f>HAVERM!L82</f>
        <v>669733</v>
      </c>
      <c r="C86">
        <f>HAVERM!AI82</f>
        <v>1112</v>
      </c>
      <c r="D86" s="7">
        <f t="shared" si="0"/>
        <v>101.96629812215865</v>
      </c>
      <c r="E86" s="7">
        <f t="shared" si="1"/>
        <v>136.94581280788179</v>
      </c>
    </row>
    <row r="87" spans="1:5" x14ac:dyDescent="0.35">
      <c r="A87" s="4">
        <f>DATE(LEFT(HAVERM!J83,4),RIGHT(HAVERM!J83,2),1)</f>
        <v>44958</v>
      </c>
      <c r="B87" s="2">
        <f>HAVERM!L83</f>
        <v>684876</v>
      </c>
      <c r="C87">
        <f>HAVERM!AI83</f>
        <v>1104</v>
      </c>
      <c r="D87" s="7">
        <f t="shared" si="0"/>
        <v>104.27180741088094</v>
      </c>
      <c r="E87" s="7">
        <f t="shared" si="1"/>
        <v>135.96059113300493</v>
      </c>
    </row>
    <row r="88" spans="1:5" x14ac:dyDescent="0.35">
      <c r="A88" s="4">
        <f>DATE(LEFT(HAVERM!J84,4),RIGHT(HAVERM!J84,2),1)</f>
        <v>44986</v>
      </c>
      <c r="B88" s="2">
        <f>HAVERM!L84</f>
        <v>681078</v>
      </c>
      <c r="C88">
        <f>HAVERM!AI84</f>
        <v>1075</v>
      </c>
      <c r="D88" s="7">
        <f t="shared" si="0"/>
        <v>103.69356503628097</v>
      </c>
      <c r="E88" s="7">
        <f t="shared" si="1"/>
        <v>132.38916256157637</v>
      </c>
    </row>
    <row r="89" spans="1:5" x14ac:dyDescent="0.35">
      <c r="A89" s="4">
        <f>DATE(LEFT(HAVERM!J85,4),RIGHT(HAVERM!J85,2),1)</f>
        <v>45017</v>
      </c>
      <c r="B89" s="2">
        <f>HAVERM!L85</f>
        <v>688041</v>
      </c>
      <c r="C89">
        <f>HAVERM!AI85</f>
        <v>1043</v>
      </c>
      <c r="D89" s="7">
        <f t="shared" si="0"/>
        <v>104.75367605638091</v>
      </c>
      <c r="E89" s="7">
        <f t="shared" si="1"/>
        <v>128.44827586206898</v>
      </c>
    </row>
    <row r="90" spans="1:5" x14ac:dyDescent="0.35">
      <c r="A90" s="4">
        <f>DATE(LEFT(HAVERM!J86,4),RIGHT(HAVERM!J86,2),1)</f>
        <v>45047</v>
      </c>
      <c r="B90" s="2">
        <f>HAVERM!L86</f>
        <v>663122</v>
      </c>
      <c r="C90">
        <f>HAVERM!AI86</f>
        <v>1025</v>
      </c>
      <c r="D90" s="7">
        <f t="shared" si="0"/>
        <v>100.95977881239553</v>
      </c>
      <c r="E90" s="7">
        <f t="shared" si="1"/>
        <v>126.23152709359606</v>
      </c>
    </row>
    <row r="91" spans="1:5" x14ac:dyDescent="0.35">
      <c r="A91" s="4">
        <f>DATE(LEFT(HAVERM!J87,4),RIGHT(HAVERM!J87,2),1)</f>
        <v>45078</v>
      </c>
      <c r="B91" s="2">
        <f>HAVERM!L87</f>
        <v>662825</v>
      </c>
      <c r="C91">
        <f>HAVERM!AI87</f>
        <v>1010</v>
      </c>
      <c r="D91" s="7">
        <f t="shared" si="0"/>
        <v>100.91456080679883</v>
      </c>
      <c r="E91" s="7">
        <f t="shared" si="1"/>
        <v>124.38423645320198</v>
      </c>
    </row>
    <row r="92" spans="1:5" x14ac:dyDescent="0.35">
      <c r="A92" s="4">
        <f>DATE(LEFT(HAVERM!J88,4),RIGHT(HAVERM!J88,2),1)</f>
        <v>45108</v>
      </c>
      <c r="B92" s="2">
        <f>HAVERM!L88</f>
        <v>648213</v>
      </c>
      <c r="C92">
        <f>HAVERM!AI88</f>
        <v>988</v>
      </c>
      <c r="D92" s="7">
        <f t="shared" si="0"/>
        <v>98.689895831113034</v>
      </c>
      <c r="E92" s="7">
        <f t="shared" si="1"/>
        <v>121.67487684729063</v>
      </c>
    </row>
    <row r="93" spans="1:5" x14ac:dyDescent="0.35">
      <c r="A93" s="4">
        <f>DATE(LEFT(HAVERM!J89,4),RIGHT(HAVERM!J89,2),1)</f>
        <v>45139</v>
      </c>
      <c r="B93" s="2">
        <f>HAVERM!L89</f>
        <v>639446</v>
      </c>
      <c r="C93">
        <f>HAVERM!AI89</f>
        <v>973</v>
      </c>
      <c r="D93" s="7">
        <f t="shared" si="0"/>
        <v>97.355127295536974</v>
      </c>
      <c r="E93" s="7">
        <f t="shared" si="1"/>
        <v>119.82758620689656</v>
      </c>
    </row>
    <row r="94" spans="1:5" x14ac:dyDescent="0.35">
      <c r="A94" s="4">
        <f>DATE(LEFT(HAVERM!J90,4),RIGHT(HAVERM!J90,2),1)</f>
        <v>45170</v>
      </c>
      <c r="B94" s="2">
        <f>HAVERM!L90</f>
        <v>646221</v>
      </c>
      <c r="C94">
        <f>HAVERM!AI90</f>
        <v>952</v>
      </c>
      <c r="D94" s="7">
        <f t="shared" si="0"/>
        <v>98.386615470343386</v>
      </c>
      <c r="E94" s="7">
        <f t="shared" si="1"/>
        <v>117.24137931034481</v>
      </c>
    </row>
    <row r="95" spans="1:5" x14ac:dyDescent="0.35">
      <c r="A95" s="4">
        <f>DATE(LEFT(HAVERM!J91,4),RIGHT(HAVERM!J91,2),1)</f>
        <v>45200</v>
      </c>
      <c r="B95" s="2">
        <f>HAVERM!L91</f>
        <v>643318</v>
      </c>
      <c r="C95">
        <f>HAVERM!AI91</f>
        <v>948</v>
      </c>
      <c r="D95" s="7">
        <f t="shared" si="0"/>
        <v>97.944636109241827</v>
      </c>
      <c r="E95" s="7">
        <f t="shared" si="1"/>
        <v>116.74876847290641</v>
      </c>
    </row>
    <row r="96" spans="1:5" x14ac:dyDescent="0.35">
      <c r="A96" s="4">
        <f>DATE(LEFT(HAVERM!J92,4),RIGHT(HAVERM!J92,2),1)</f>
        <v>45231</v>
      </c>
      <c r="B96" s="2">
        <f>HAVERM!L92</f>
        <v>647368</v>
      </c>
      <c r="C96">
        <f>HAVERM!AI92</f>
        <v>924</v>
      </c>
      <c r="D96" s="7">
        <f t="shared" si="0"/>
        <v>98.561245276469279</v>
      </c>
      <c r="E96" s="7">
        <f t="shared" si="1"/>
        <v>113.79310344827587</v>
      </c>
    </row>
    <row r="97" spans="1:5" x14ac:dyDescent="0.35">
      <c r="A97" s="4">
        <f>DATE(LEFT(HAVERM!J93,4),RIGHT(HAVERM!J93,2),1)</f>
        <v>45261</v>
      </c>
      <c r="B97" s="2">
        <f>HAVERM!L93</f>
        <v>653608</v>
      </c>
      <c r="C97">
        <f>HAVERM!AI93</f>
        <v>916</v>
      </c>
      <c r="D97" s="7">
        <f t="shared" si="0"/>
        <v>99.511280141530833</v>
      </c>
      <c r="E97" s="7">
        <f t="shared" si="1"/>
        <v>112.80788177339902</v>
      </c>
    </row>
    <row r="98" spans="1:5" x14ac:dyDescent="0.35">
      <c r="A98" s="4">
        <f>DATE(LEFT(HAVERM!J94,4),RIGHT(HAVERM!J94,2),1)</f>
        <v>45292</v>
      </c>
      <c r="B98" s="2">
        <f>HAVERM!L94</f>
        <v>643112</v>
      </c>
      <c r="C98">
        <f>HAVERM!AI94</f>
        <v>904</v>
      </c>
      <c r="D98" s="7">
        <f t="shared" si="0"/>
        <v>97.913272778760629</v>
      </c>
      <c r="E98" s="7">
        <f t="shared" si="1"/>
        <v>111.33004926108374</v>
      </c>
    </row>
    <row r="99" spans="1:5" x14ac:dyDescent="0.35">
      <c r="A99" s="4">
        <f>DATE(LEFT(HAVERM!J95,4),RIGHT(HAVERM!J95,2),1)</f>
        <v>45323</v>
      </c>
      <c r="B99" s="2">
        <f>HAVERM!L95</f>
        <v>641025</v>
      </c>
      <c r="C99">
        <f>HAVERM!AI95</f>
        <v>905</v>
      </c>
      <c r="D99" s="7">
        <f t="shared" si="0"/>
        <v>97.595528746167133</v>
      </c>
      <c r="E99" s="7">
        <f t="shared" si="1"/>
        <v>111.45320197044335</v>
      </c>
    </row>
    <row r="100" spans="1:5" x14ac:dyDescent="0.35">
      <c r="A100" s="4">
        <f>DATE(LEFT(HAVERM!J96,4),RIGHT(HAVERM!J96,2),1)</f>
        <v>45352</v>
      </c>
      <c r="B100" s="2">
        <f>HAVERM!L96</f>
        <v>636106</v>
      </c>
      <c r="C100">
        <f>HAVERM!AI96</f>
        <v>892</v>
      </c>
      <c r="D100" s="7">
        <f t="shared" si="0"/>
        <v>96.846615044045691</v>
      </c>
      <c r="E100" s="7">
        <f t="shared" si="1"/>
        <v>109.85221674876848</v>
      </c>
    </row>
    <row r="101" spans="1:5" x14ac:dyDescent="0.35">
      <c r="A101" s="4">
        <f>DATE(LEFT(HAVERM!J97,4),RIGHT(HAVERM!J97,2),1)</f>
        <v>45383</v>
      </c>
      <c r="B101" s="2">
        <f>HAVERM!L97</f>
        <v>615343</v>
      </c>
      <c r="C101">
        <f>HAVERM!AI97</f>
        <v>886</v>
      </c>
      <c r="D101" s="7">
        <f t="shared" si="0"/>
        <v>93.685465380059611</v>
      </c>
      <c r="E101" s="7">
        <f t="shared" si="1"/>
        <v>109.11330049261083</v>
      </c>
    </row>
    <row r="102" spans="1:5" x14ac:dyDescent="0.35">
      <c r="A102" s="4">
        <f>DATE(LEFT(HAVERM!J98,4),RIGHT(HAVERM!J98,2),1)</f>
        <v>45413</v>
      </c>
      <c r="B102" s="2">
        <f>HAVERM!L98</f>
        <v>660283</v>
      </c>
      <c r="C102">
        <f>HAVERM!AI98</f>
        <v>868</v>
      </c>
      <c r="D102" s="7">
        <f t="shared" si="0"/>
        <v>100.52754339862793</v>
      </c>
      <c r="E102" s="7">
        <f t="shared" si="1"/>
        <v>106.89655172413792</v>
      </c>
    </row>
    <row r="103" spans="1:5" x14ac:dyDescent="0.35">
      <c r="A103" s="4">
        <f>DATE(LEFT(HAVERM!J99,4),RIGHT(HAVERM!J99,2),1)</f>
        <v>45444</v>
      </c>
      <c r="B103" s="2">
        <f>HAVERM!L99</f>
        <v>629040</v>
      </c>
      <c r="C103">
        <f>HAVERM!AI99</f>
        <v>859</v>
      </c>
      <c r="D103" s="7">
        <f t="shared" si="0"/>
        <v>95.770822358705161</v>
      </c>
      <c r="E103" s="7">
        <f t="shared" si="1"/>
        <v>105.78817733990147</v>
      </c>
    </row>
    <row r="104" spans="1:5" x14ac:dyDescent="0.35">
      <c r="A104" s="4">
        <f>DATE(LEFT(HAVERM!J100,4),RIGHT(HAVERM!J100,2),1)</f>
        <v>45474</v>
      </c>
      <c r="B104" s="2">
        <f>HAVERM!L100</f>
        <v>601021</v>
      </c>
      <c r="C104">
        <f>HAVERM!AI100</f>
        <v>845</v>
      </c>
      <c r="D104" s="7">
        <f t="shared" si="0"/>
        <v>91.504952665730841</v>
      </c>
      <c r="E104" s="7">
        <f t="shared" si="1"/>
        <v>104.06403940886699</v>
      </c>
    </row>
    <row r="105" spans="1:5" x14ac:dyDescent="0.35">
      <c r="A105" s="4">
        <f>DATE(LEFT(HAVERM!J101,4),RIGHT(HAVERM!J101,2),1)</f>
        <v>45505</v>
      </c>
      <c r="B105" s="2">
        <f>HAVERM!L101</f>
        <v>592738</v>
      </c>
      <c r="C105">
        <f>HAVERM!AI101</f>
        <v>832</v>
      </c>
      <c r="D105" s="7">
        <f t="shared" si="0"/>
        <v>90.243872731867881</v>
      </c>
      <c r="E105" s="7">
        <f t="shared" si="1"/>
        <v>102.46305418719213</v>
      </c>
    </row>
    <row r="106" spans="1:5" x14ac:dyDescent="0.35">
      <c r="A106" s="4">
        <f>DATE(LEFT(HAVERM!J102,4),RIGHT(HAVERM!J102,2),1)</f>
        <v>45536</v>
      </c>
      <c r="B106" s="2">
        <f>HAVERM!L102</f>
        <v>607124</v>
      </c>
      <c r="C106">
        <f>HAVERM!AI102</f>
        <v>823</v>
      </c>
      <c r="D106" s="7">
        <f t="shared" si="0"/>
        <v>92.434129393530625</v>
      </c>
      <c r="E106" s="7">
        <f t="shared" si="1"/>
        <v>101.35467980295567</v>
      </c>
    </row>
    <row r="107" spans="1:5" x14ac:dyDescent="0.35">
      <c r="A107" s="4">
        <f>DATE(LEFT(HAVERM!J103,4),RIGHT(HAVERM!J103,2),1)</f>
        <v>45566</v>
      </c>
      <c r="B107" s="2">
        <f>HAVERM!L103</f>
        <v>586621</v>
      </c>
      <c r="C107">
        <f>HAVERM!AI103</f>
        <v>807</v>
      </c>
      <c r="D107" s="7">
        <f t="shared" si="0"/>
        <v>89.31256451558879</v>
      </c>
      <c r="E107" s="7">
        <f t="shared" si="1"/>
        <v>99.384236453201964</v>
      </c>
    </row>
    <row r="108" spans="1:5" x14ac:dyDescent="0.35">
      <c r="A108" s="4">
        <f>DATE(LEFT(HAVERM!J104,4),RIGHT(HAVERM!J104,2),1)</f>
        <v>45597</v>
      </c>
      <c r="B108" s="2">
        <f>HAVERM!L104</f>
        <v>590399</v>
      </c>
      <c r="C108">
        <f>HAVERM!AI104</f>
        <v>806</v>
      </c>
      <c r="D108" s="7">
        <f t="shared" si="0"/>
        <v>89.887761906646887</v>
      </c>
      <c r="E108" s="7">
        <f t="shared" si="1"/>
        <v>99.261083743842363</v>
      </c>
    </row>
    <row r="109" spans="1:5" x14ac:dyDescent="0.35">
      <c r="A109" s="4">
        <f>DATE(LEFT(HAVERM!J105,4),RIGHT(HAVERM!J105,2),1)</f>
        <v>45627</v>
      </c>
      <c r="B109" s="2">
        <f>HAVERM!L105</f>
        <v>602151</v>
      </c>
      <c r="C109">
        <f>HAVERM!AI105</f>
        <v>804</v>
      </c>
      <c r="D109" s="7">
        <f t="shared" si="0"/>
        <v>91.676994235846152</v>
      </c>
      <c r="E109" s="7">
        <f t="shared" si="1"/>
        <v>99.01477832512316</v>
      </c>
    </row>
    <row r="110" spans="1:5" x14ac:dyDescent="0.35">
      <c r="A110" s="4">
        <f>DATE(LEFT(HAVERM!J106,4),RIGHT(HAVERM!J106,2),1)</f>
        <v>45658</v>
      </c>
      <c r="B110" s="2">
        <f>HAVERM!L106</f>
        <v>612858</v>
      </c>
      <c r="C110">
        <f>HAVERM!AI106</f>
        <v>799</v>
      </c>
      <c r="D110" s="7">
        <f t="shared" si="0"/>
        <v>93.307126174983026</v>
      </c>
      <c r="E110" s="7">
        <f t="shared" si="1"/>
        <v>98.399014778325125</v>
      </c>
    </row>
    <row r="111" spans="1:5" x14ac:dyDescent="0.35">
      <c r="A111" s="4">
        <f>DATE(LEFT(HAVERM!J107,4),RIGHT(HAVERM!J107,2),1)</f>
        <v>45689</v>
      </c>
      <c r="B111" s="2">
        <f>HAVERM!L107</f>
        <v>593631</v>
      </c>
      <c r="C111">
        <f>HAVERM!AI107</f>
        <v>782</v>
      </c>
      <c r="D111" s="7">
        <f t="shared" si="0"/>
        <v>90.379831247012106</v>
      </c>
      <c r="E111" s="7">
        <f t="shared" si="1"/>
        <v>96.305418719211815</v>
      </c>
    </row>
    <row r="112" spans="1:5" x14ac:dyDescent="0.35">
      <c r="A112" s="4">
        <f>DATE(LEFT(HAVERM!J108,4),RIGHT(HAVERM!J108,2),1)</f>
        <v>45717</v>
      </c>
      <c r="B112" s="2">
        <f>HAVERM!L108</f>
        <v>585179</v>
      </c>
      <c r="C112">
        <f>HAVERM!AI108</f>
        <v>760</v>
      </c>
      <c r="D112" s="7">
        <f t="shared" si="0"/>
        <v>89.093021202220399</v>
      </c>
      <c r="E112" s="7">
        <f t="shared" si="1"/>
        <v>93.596059113300484</v>
      </c>
    </row>
    <row r="113" spans="1:5" x14ac:dyDescent="0.35">
      <c r="A113" s="4">
        <f>DATE(LEFT(HAVERM!J109,4),RIGHT(HAVERM!J109,2),1)</f>
        <v>45748</v>
      </c>
      <c r="B113" s="2">
        <f>HAVERM!L109</f>
        <v>555093</v>
      </c>
      <c r="C113">
        <f>HAVERM!AI109</f>
        <v>736</v>
      </c>
      <c r="D113" s="7">
        <f t="shared" si="0"/>
        <v>84.512452460194453</v>
      </c>
      <c r="E113" s="7">
        <f t="shared" si="1"/>
        <v>90.64039408866995</v>
      </c>
    </row>
    <row r="114" spans="1:5" x14ac:dyDescent="0.35">
      <c r="A114" s="4">
        <f>DATE(LEFT(HAVERM!J110,4),RIGHT(HAVERM!J110,2),1)</f>
        <v>45778</v>
      </c>
      <c r="B114" s="2"/>
    </row>
    <row r="115" spans="1:5" x14ac:dyDescent="0.35">
      <c r="A115" s="4"/>
      <c r="B115" s="2"/>
    </row>
    <row r="116" spans="1:5" x14ac:dyDescent="0.35">
      <c r="A116" s="4"/>
      <c r="B116" s="2"/>
    </row>
    <row r="117" spans="1:5" x14ac:dyDescent="0.35">
      <c r="A117" s="4"/>
      <c r="B117" s="2"/>
    </row>
    <row r="118" spans="1:5" x14ac:dyDescent="0.35">
      <c r="A118" s="4"/>
      <c r="B118" s="2"/>
    </row>
    <row r="119" spans="1:5" x14ac:dyDescent="0.35">
      <c r="A119" s="4"/>
      <c r="B119" s="2"/>
    </row>
    <row r="120" spans="1:5" x14ac:dyDescent="0.35">
      <c r="A120" s="4"/>
      <c r="B120" s="2"/>
    </row>
    <row r="121" spans="1:5" x14ac:dyDescent="0.35">
      <c r="A121" s="4"/>
      <c r="B121" s="2"/>
    </row>
    <row r="122" spans="1:5" x14ac:dyDescent="0.35">
      <c r="A122" s="4"/>
      <c r="B122" s="2"/>
    </row>
    <row r="123" spans="1:5" x14ac:dyDescent="0.35">
      <c r="A123" s="4"/>
      <c r="B123" s="2"/>
    </row>
    <row r="124" spans="1:5" x14ac:dyDescent="0.35">
      <c r="A124" s="4"/>
      <c r="B124" s="2"/>
    </row>
    <row r="125" spans="1:5" x14ac:dyDescent="0.35">
      <c r="A125" s="4"/>
      <c r="B125" s="2"/>
    </row>
    <row r="126" spans="1:5" x14ac:dyDescent="0.35">
      <c r="A126" s="4"/>
      <c r="B126" s="2"/>
    </row>
    <row r="127" spans="1:5" x14ac:dyDescent="0.35">
      <c r="A127" s="4"/>
      <c r="B127" s="2"/>
    </row>
    <row r="128" spans="1:5" x14ac:dyDescent="0.35">
      <c r="A128" s="4"/>
      <c r="B128" s="2"/>
    </row>
    <row r="129" spans="1:2" x14ac:dyDescent="0.35">
      <c r="A129" s="4"/>
      <c r="B129" s="2"/>
    </row>
    <row r="130" spans="1:2" x14ac:dyDescent="0.35">
      <c r="A130" s="4"/>
      <c r="B130" s="2"/>
    </row>
    <row r="131" spans="1:2" x14ac:dyDescent="0.35">
      <c r="A131" s="4"/>
      <c r="B131" s="2"/>
    </row>
    <row r="132" spans="1:2" x14ac:dyDescent="0.35">
      <c r="A132" s="4"/>
      <c r="B132" s="2"/>
    </row>
    <row r="133" spans="1:2" x14ac:dyDescent="0.35">
      <c r="A133" s="4"/>
      <c r="B133" s="2"/>
    </row>
    <row r="134" spans="1:2" x14ac:dyDescent="0.35">
      <c r="A134" s="4"/>
      <c r="B134" s="2"/>
    </row>
    <row r="135" spans="1:2" x14ac:dyDescent="0.35">
      <c r="A135" s="4"/>
      <c r="B135" s="2"/>
    </row>
    <row r="136" spans="1:2" x14ac:dyDescent="0.35">
      <c r="A136" s="4"/>
      <c r="B136" s="2"/>
    </row>
    <row r="137" spans="1:2" x14ac:dyDescent="0.35">
      <c r="A137" s="4"/>
      <c r="B137" s="2"/>
    </row>
    <row r="138" spans="1:2" x14ac:dyDescent="0.35">
      <c r="A138" s="4"/>
      <c r="B138" s="2"/>
    </row>
    <row r="139" spans="1:2" x14ac:dyDescent="0.35">
      <c r="A139" s="4"/>
      <c r="B139" s="2"/>
    </row>
    <row r="140" spans="1:2" x14ac:dyDescent="0.35">
      <c r="A140" s="4"/>
      <c r="B140" s="2"/>
    </row>
    <row r="141" spans="1:2" x14ac:dyDescent="0.35">
      <c r="A141" s="4"/>
      <c r="B141" s="2"/>
    </row>
    <row r="142" spans="1:2" x14ac:dyDescent="0.35">
      <c r="A142" s="4"/>
      <c r="B142" s="2"/>
    </row>
    <row r="143" spans="1:2" x14ac:dyDescent="0.35">
      <c r="A143" s="4"/>
      <c r="B143" s="2"/>
    </row>
    <row r="144" spans="1:2" x14ac:dyDescent="0.35">
      <c r="A144" s="4"/>
      <c r="B144" s="2"/>
    </row>
    <row r="145" spans="1:2" x14ac:dyDescent="0.35">
      <c r="A145" s="4"/>
      <c r="B145" s="2"/>
    </row>
    <row r="146" spans="1:2" x14ac:dyDescent="0.35">
      <c r="A146" s="4"/>
      <c r="B146" s="2"/>
    </row>
    <row r="147" spans="1:2" x14ac:dyDescent="0.35">
      <c r="A147" s="4"/>
      <c r="B147" s="2"/>
    </row>
    <row r="148" spans="1:2" x14ac:dyDescent="0.35">
      <c r="A148" s="4"/>
      <c r="B148" s="2"/>
    </row>
    <row r="149" spans="1:2" x14ac:dyDescent="0.35">
      <c r="A149" s="4"/>
      <c r="B149" s="2"/>
    </row>
    <row r="150" spans="1:2" x14ac:dyDescent="0.35">
      <c r="A150" s="4"/>
      <c r="B150" s="2"/>
    </row>
    <row r="151" spans="1:2" x14ac:dyDescent="0.35">
      <c r="A151" s="4"/>
      <c r="B151" s="2"/>
    </row>
    <row r="152" spans="1:2" x14ac:dyDescent="0.35">
      <c r="A152" s="4"/>
      <c r="B152" s="2"/>
    </row>
    <row r="153" spans="1:2" x14ac:dyDescent="0.35">
      <c r="A153" s="4"/>
      <c r="B153" s="2"/>
    </row>
    <row r="154" spans="1:2" x14ac:dyDescent="0.35">
      <c r="A154" s="4"/>
      <c r="B154" s="2"/>
    </row>
    <row r="155" spans="1:2" x14ac:dyDescent="0.35">
      <c r="A155" s="4"/>
      <c r="B155" s="2"/>
    </row>
    <row r="156" spans="1:2" x14ac:dyDescent="0.35">
      <c r="A156" s="4"/>
      <c r="B156" s="2"/>
    </row>
    <row r="157" spans="1:2" x14ac:dyDescent="0.35">
      <c r="A157" s="4"/>
      <c r="B157" s="2"/>
    </row>
    <row r="158" spans="1:2" x14ac:dyDescent="0.35">
      <c r="A158" s="4"/>
      <c r="B158" s="2"/>
    </row>
    <row r="159" spans="1:2" x14ac:dyDescent="0.35">
      <c r="A159" s="4"/>
      <c r="B159" s="2"/>
    </row>
    <row r="160" spans="1:2" x14ac:dyDescent="0.35">
      <c r="A160" s="4"/>
      <c r="B160" s="2"/>
    </row>
    <row r="161" spans="1:2" x14ac:dyDescent="0.35">
      <c r="A161" s="4"/>
      <c r="B161" s="2"/>
    </row>
    <row r="162" spans="1:2" x14ac:dyDescent="0.35">
      <c r="A162" s="4"/>
      <c r="B162" s="2"/>
    </row>
    <row r="163" spans="1:2" x14ac:dyDescent="0.35">
      <c r="A163" s="4"/>
      <c r="B163" s="2"/>
    </row>
    <row r="164" spans="1:2" x14ac:dyDescent="0.35">
      <c r="A164" s="4"/>
      <c r="B164" s="2"/>
    </row>
    <row r="165" spans="1:2" x14ac:dyDescent="0.35">
      <c r="A165" s="4"/>
      <c r="B165" s="2"/>
    </row>
    <row r="166" spans="1:2" x14ac:dyDescent="0.35">
      <c r="A166" s="4"/>
      <c r="B166" s="2"/>
    </row>
    <row r="167" spans="1:2" x14ac:dyDescent="0.35">
      <c r="A167" s="4"/>
      <c r="B167" s="2"/>
    </row>
    <row r="168" spans="1:2" x14ac:dyDescent="0.35">
      <c r="A168" s="4"/>
      <c r="B168" s="2"/>
    </row>
    <row r="169" spans="1:2" x14ac:dyDescent="0.35">
      <c r="A169" s="4"/>
      <c r="B169" s="2"/>
    </row>
    <row r="170" spans="1:2" x14ac:dyDescent="0.35">
      <c r="A170" s="4"/>
      <c r="B170" s="2"/>
    </row>
    <row r="171" spans="1:2" x14ac:dyDescent="0.35">
      <c r="A171" s="4"/>
      <c r="B171" s="2"/>
    </row>
    <row r="172" spans="1:2" x14ac:dyDescent="0.35">
      <c r="A172" s="4"/>
      <c r="B172" s="2"/>
    </row>
    <row r="173" spans="1:2" x14ac:dyDescent="0.35">
      <c r="A173" s="4"/>
      <c r="B173" s="2"/>
    </row>
    <row r="174" spans="1:2" x14ac:dyDescent="0.35">
      <c r="A174" s="4"/>
      <c r="B174" s="2"/>
    </row>
    <row r="175" spans="1:2" x14ac:dyDescent="0.35">
      <c r="A175" s="4"/>
      <c r="B175" s="2"/>
    </row>
    <row r="176" spans="1:2" x14ac:dyDescent="0.35">
      <c r="A176" s="4"/>
      <c r="B176" s="2"/>
    </row>
    <row r="177" spans="1:2" x14ac:dyDescent="0.35">
      <c r="A177" s="4"/>
      <c r="B177" s="2"/>
    </row>
    <row r="178" spans="1:2" x14ac:dyDescent="0.35">
      <c r="A178" s="4"/>
      <c r="B178" s="2"/>
    </row>
    <row r="179" spans="1:2" x14ac:dyDescent="0.35">
      <c r="A179" s="4"/>
      <c r="B179" s="2"/>
    </row>
    <row r="180" spans="1:2" x14ac:dyDescent="0.35">
      <c r="A180" s="4"/>
      <c r="B180" s="2"/>
    </row>
    <row r="181" spans="1:2" x14ac:dyDescent="0.35">
      <c r="A181" s="4"/>
      <c r="B181" s="2"/>
    </row>
    <row r="182" spans="1:2" x14ac:dyDescent="0.35">
      <c r="A182" s="4"/>
      <c r="B182" s="2"/>
    </row>
    <row r="183" spans="1:2" x14ac:dyDescent="0.35">
      <c r="A183" s="4"/>
      <c r="B183" s="2"/>
    </row>
    <row r="184" spans="1:2" x14ac:dyDescent="0.35">
      <c r="A184" s="4"/>
      <c r="B184" s="2"/>
    </row>
    <row r="185" spans="1:2" x14ac:dyDescent="0.35">
      <c r="A185" s="4"/>
      <c r="B185" s="2"/>
    </row>
    <row r="186" spans="1:2" x14ac:dyDescent="0.35">
      <c r="A186" s="4"/>
      <c r="B186" s="2"/>
    </row>
    <row r="187" spans="1:2" x14ac:dyDescent="0.35">
      <c r="A187" s="4"/>
      <c r="B187" s="2"/>
    </row>
    <row r="188" spans="1:2" x14ac:dyDescent="0.35">
      <c r="A188" s="4"/>
      <c r="B188" s="2"/>
    </row>
    <row r="189" spans="1:2" x14ac:dyDescent="0.35">
      <c r="A189" s="4"/>
      <c r="B189" s="2"/>
    </row>
    <row r="190" spans="1:2" x14ac:dyDescent="0.35">
      <c r="A190" s="4"/>
      <c r="B190" s="2"/>
    </row>
    <row r="191" spans="1:2" x14ac:dyDescent="0.35">
      <c r="A191" s="4"/>
      <c r="B191" s="2"/>
    </row>
    <row r="192" spans="1:2" x14ac:dyDescent="0.35">
      <c r="A192" s="4"/>
      <c r="B192" s="2"/>
    </row>
    <row r="193" spans="1:2" x14ac:dyDescent="0.35">
      <c r="A193" s="4"/>
      <c r="B193" s="2"/>
    </row>
    <row r="194" spans="1:2" x14ac:dyDescent="0.35">
      <c r="A194" s="4"/>
      <c r="B194" s="2"/>
    </row>
    <row r="195" spans="1:2" x14ac:dyDescent="0.35">
      <c r="A195" s="4"/>
      <c r="B195" s="2"/>
    </row>
    <row r="196" spans="1:2" x14ac:dyDescent="0.35">
      <c r="A196" s="4"/>
      <c r="B196" s="2"/>
    </row>
    <row r="197" spans="1:2" x14ac:dyDescent="0.35">
      <c r="A197" s="4"/>
      <c r="B197" s="2"/>
    </row>
    <row r="198" spans="1:2" x14ac:dyDescent="0.35">
      <c r="A198" s="4"/>
      <c r="B198" s="2"/>
    </row>
    <row r="199" spans="1:2" x14ac:dyDescent="0.35">
      <c r="A199" s="4"/>
      <c r="B199" s="2"/>
    </row>
    <row r="200" spans="1:2" x14ac:dyDescent="0.35">
      <c r="A200" s="4"/>
      <c r="B200" s="2"/>
    </row>
    <row r="201" spans="1:2" x14ac:dyDescent="0.35">
      <c r="A201" s="4"/>
      <c r="B201" s="2"/>
    </row>
    <row r="202" spans="1:2" x14ac:dyDescent="0.35">
      <c r="A202" s="4"/>
      <c r="B202" s="2"/>
    </row>
    <row r="203" spans="1:2" x14ac:dyDescent="0.35">
      <c r="A203" s="4"/>
      <c r="B203" s="2"/>
    </row>
    <row r="204" spans="1:2" x14ac:dyDescent="0.35">
      <c r="A204" s="4"/>
      <c r="B204" s="2"/>
    </row>
    <row r="205" spans="1:2" x14ac:dyDescent="0.35">
      <c r="A205" s="4"/>
      <c r="B205" s="2"/>
    </row>
    <row r="206" spans="1:2" x14ac:dyDescent="0.35">
      <c r="A206" s="4"/>
      <c r="B206" s="2"/>
    </row>
    <row r="207" spans="1:2" x14ac:dyDescent="0.35">
      <c r="A207" s="4"/>
      <c r="B207" s="2"/>
    </row>
    <row r="208" spans="1:2" x14ac:dyDescent="0.35">
      <c r="A208" s="4"/>
      <c r="B208" s="2"/>
    </row>
    <row r="209" spans="1:2" x14ac:dyDescent="0.35">
      <c r="A209" s="4"/>
      <c r="B209" s="2"/>
    </row>
    <row r="210" spans="1:2" x14ac:dyDescent="0.35">
      <c r="A210" s="4"/>
      <c r="B210" s="2"/>
    </row>
    <row r="211" spans="1:2" x14ac:dyDescent="0.35">
      <c r="A211" s="4"/>
      <c r="B211" s="2"/>
    </row>
    <row r="212" spans="1:2" x14ac:dyDescent="0.35">
      <c r="A212" s="4"/>
      <c r="B212" s="2"/>
    </row>
    <row r="213" spans="1:2" x14ac:dyDescent="0.35">
      <c r="A213" s="4"/>
      <c r="B213" s="2"/>
    </row>
    <row r="214" spans="1:2" x14ac:dyDescent="0.35">
      <c r="A214" s="4"/>
      <c r="B214" s="2"/>
    </row>
    <row r="215" spans="1:2" x14ac:dyDescent="0.35">
      <c r="A215" s="4"/>
      <c r="B215" s="2"/>
    </row>
    <row r="216" spans="1:2" x14ac:dyDescent="0.35">
      <c r="A216" s="4"/>
      <c r="B216" s="2"/>
    </row>
    <row r="217" spans="1:2" x14ac:dyDescent="0.35">
      <c r="A217" s="4"/>
      <c r="B217" s="2"/>
    </row>
    <row r="218" spans="1:2" x14ac:dyDescent="0.35">
      <c r="A218" s="4"/>
      <c r="B218" s="2"/>
    </row>
    <row r="219" spans="1:2" x14ac:dyDescent="0.35">
      <c r="A219" s="4"/>
      <c r="B219" s="2"/>
    </row>
    <row r="220" spans="1:2" x14ac:dyDescent="0.35">
      <c r="A220" s="4"/>
      <c r="B220" s="2"/>
    </row>
    <row r="221" spans="1:2" x14ac:dyDescent="0.35">
      <c r="A221" s="4"/>
      <c r="B221" s="2"/>
    </row>
    <row r="222" spans="1:2" x14ac:dyDescent="0.35">
      <c r="A222" s="4"/>
      <c r="B222" s="2"/>
    </row>
    <row r="223" spans="1:2" x14ac:dyDescent="0.35">
      <c r="A223" s="4"/>
      <c r="B223" s="2"/>
    </row>
    <row r="224" spans="1:2" x14ac:dyDescent="0.35">
      <c r="A224" s="4"/>
      <c r="B224" s="2"/>
    </row>
    <row r="225" spans="1:2" x14ac:dyDescent="0.35">
      <c r="A225" s="4"/>
      <c r="B225" s="2"/>
    </row>
    <row r="226" spans="1:2" x14ac:dyDescent="0.35">
      <c r="A226" s="4"/>
      <c r="B226" s="2"/>
    </row>
    <row r="227" spans="1:2" x14ac:dyDescent="0.35">
      <c r="A227" s="4"/>
      <c r="B227" s="2"/>
    </row>
    <row r="228" spans="1:2" x14ac:dyDescent="0.35">
      <c r="A228" s="4"/>
      <c r="B228" s="2"/>
    </row>
    <row r="229" spans="1:2" x14ac:dyDescent="0.35">
      <c r="A229" s="4"/>
      <c r="B229" s="2"/>
    </row>
    <row r="230" spans="1:2" x14ac:dyDescent="0.35">
      <c r="A230" s="4"/>
      <c r="B230" s="2"/>
    </row>
    <row r="231" spans="1:2" x14ac:dyDescent="0.35">
      <c r="A231" s="4"/>
      <c r="B231" s="2"/>
    </row>
    <row r="232" spans="1:2" x14ac:dyDescent="0.35">
      <c r="A232" s="4"/>
      <c r="B232" s="2"/>
    </row>
    <row r="233" spans="1:2" x14ac:dyDescent="0.35">
      <c r="A233" s="4"/>
      <c r="B233" s="2"/>
    </row>
    <row r="234" spans="1:2" x14ac:dyDescent="0.35">
      <c r="A234" s="4"/>
      <c r="B234" s="2"/>
    </row>
    <row r="235" spans="1:2" x14ac:dyDescent="0.35">
      <c r="A235" s="4"/>
      <c r="B235" s="2"/>
    </row>
    <row r="236" spans="1:2" x14ac:dyDescent="0.35">
      <c r="A236" s="4"/>
      <c r="B236" s="2"/>
    </row>
    <row r="237" spans="1:2" x14ac:dyDescent="0.35">
      <c r="A237" s="4"/>
      <c r="B237" s="2"/>
    </row>
    <row r="238" spans="1:2" x14ac:dyDescent="0.35">
      <c r="A238" s="4"/>
      <c r="B238" s="2"/>
    </row>
    <row r="239" spans="1:2" x14ac:dyDescent="0.35">
      <c r="A239" s="4"/>
      <c r="B239" s="2"/>
    </row>
    <row r="240" spans="1:2" x14ac:dyDescent="0.35">
      <c r="A240" s="4"/>
      <c r="B240" s="2"/>
    </row>
    <row r="241" spans="1:2" x14ac:dyDescent="0.35">
      <c r="A241" s="4"/>
      <c r="B24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19DE-71DB-4602-B10E-81713B1C80A6}">
  <dimension ref="A14:E257"/>
  <sheetViews>
    <sheetView topLeftCell="A91" workbookViewId="0">
      <selection activeCell="I110" sqref="I110"/>
    </sheetView>
  </sheetViews>
  <sheetFormatPr defaultRowHeight="14.5" x14ac:dyDescent="0.35"/>
  <cols>
    <col min="1" max="1" width="10.08984375" bestFit="1" customWidth="1"/>
  </cols>
  <sheetData>
    <row r="14" spans="1:3" x14ac:dyDescent="0.35">
      <c r="A14" s="4">
        <f>DATE(LEFT(HAVERM!J10,4),RIGHT(HAVERM!J10,2),1)</f>
        <v>42736</v>
      </c>
      <c r="B14" s="2">
        <f>HAVERM!M10</f>
        <v>657675</v>
      </c>
      <c r="C14" s="2">
        <f>HAVERM!AH10</f>
        <v>29332</v>
      </c>
    </row>
    <row r="15" spans="1:3" x14ac:dyDescent="0.35">
      <c r="A15" s="4">
        <f>DATE(LEFT(HAVERM!J11,4),RIGHT(HAVERM!J11,2),1)</f>
        <v>42767</v>
      </c>
      <c r="B15" s="2">
        <f>HAVERM!M11</f>
        <v>642590</v>
      </c>
      <c r="C15" s="2">
        <f>HAVERM!AH11</f>
        <v>23593</v>
      </c>
    </row>
    <row r="16" spans="1:3" x14ac:dyDescent="0.35">
      <c r="A16" s="4">
        <f>DATE(LEFT(HAVERM!J12,4),RIGHT(HAVERM!J12,2),1)</f>
        <v>42795</v>
      </c>
      <c r="B16" s="2">
        <f>HAVERM!M12</f>
        <v>642813</v>
      </c>
      <c r="C16" s="2">
        <f>HAVERM!AH12</f>
        <v>28578</v>
      </c>
    </row>
    <row r="17" spans="1:3" x14ac:dyDescent="0.35">
      <c r="A17" s="4">
        <f>DATE(LEFT(HAVERM!J13,4),RIGHT(HAVERM!J13,2),1)</f>
        <v>42826</v>
      </c>
      <c r="B17" s="2">
        <f>HAVERM!M13</f>
        <v>644204</v>
      </c>
      <c r="C17" s="2">
        <f>HAVERM!AH13</f>
        <v>19543</v>
      </c>
    </row>
    <row r="18" spans="1:3" x14ac:dyDescent="0.35">
      <c r="A18" s="4">
        <f>DATE(LEFT(HAVERM!J14,4),RIGHT(HAVERM!J14,2),1)</f>
        <v>42856</v>
      </c>
      <c r="B18" s="2">
        <f>HAVERM!M14</f>
        <v>646143</v>
      </c>
      <c r="C18" s="2">
        <f>HAVERM!AH14</f>
        <v>37364</v>
      </c>
    </row>
    <row r="19" spans="1:3" x14ac:dyDescent="0.35">
      <c r="A19" s="4">
        <f>DATE(LEFT(HAVERM!J15,4),RIGHT(HAVERM!J15,2),1)</f>
        <v>42887</v>
      </c>
      <c r="B19" s="2">
        <f>HAVERM!M15</f>
        <v>642228</v>
      </c>
      <c r="C19" s="2">
        <f>HAVERM!AH15</f>
        <v>19518</v>
      </c>
    </row>
    <row r="20" spans="1:3" x14ac:dyDescent="0.35">
      <c r="A20" s="4">
        <f>DATE(LEFT(HAVERM!J16,4),RIGHT(HAVERM!J16,2),1)</f>
        <v>42917</v>
      </c>
      <c r="B20" s="2">
        <f>HAVERM!M16</f>
        <v>655072</v>
      </c>
      <c r="C20" s="2">
        <f>HAVERM!AH16</f>
        <v>21370</v>
      </c>
    </row>
    <row r="21" spans="1:3" x14ac:dyDescent="0.35">
      <c r="A21" s="4">
        <f>DATE(LEFT(HAVERM!J17,4),RIGHT(HAVERM!J17,2),1)</f>
        <v>42948</v>
      </c>
      <c r="B21" s="2">
        <f>HAVERM!M17</f>
        <v>645276</v>
      </c>
      <c r="C21" s="2">
        <f>HAVERM!AH17</f>
        <v>34790</v>
      </c>
    </row>
    <row r="22" spans="1:3" x14ac:dyDescent="0.35">
      <c r="A22" s="4">
        <f>DATE(LEFT(HAVERM!J18,4),RIGHT(HAVERM!J18,2),1)</f>
        <v>42979</v>
      </c>
      <c r="B22" s="2">
        <f>HAVERM!M18</f>
        <v>641300</v>
      </c>
      <c r="C22" s="2">
        <f>HAVERM!AH18</f>
        <v>20258</v>
      </c>
    </row>
    <row r="23" spans="1:3" x14ac:dyDescent="0.35">
      <c r="A23" s="4">
        <f>DATE(LEFT(HAVERM!J19,4),RIGHT(HAVERM!J19,2),1)</f>
        <v>43009</v>
      </c>
      <c r="B23" s="2">
        <f>HAVERM!M19</f>
        <v>648093</v>
      </c>
      <c r="C23" s="2">
        <f>HAVERM!AH19</f>
        <v>21234</v>
      </c>
    </row>
    <row r="24" spans="1:3" x14ac:dyDescent="0.35">
      <c r="A24" s="4">
        <f>DATE(LEFT(HAVERM!J20,4),RIGHT(HAVERM!J20,2),1)</f>
        <v>43040</v>
      </c>
      <c r="B24" s="2">
        <f>HAVERM!M20</f>
        <v>642261</v>
      </c>
      <c r="C24" s="2">
        <f>HAVERM!AH20</f>
        <v>29026</v>
      </c>
    </row>
    <row r="25" spans="1:3" x14ac:dyDescent="0.35">
      <c r="A25" s="4">
        <f>DATE(LEFT(HAVERM!J21,4),RIGHT(HAVERM!J21,2),1)</f>
        <v>43070</v>
      </c>
      <c r="B25" s="2">
        <f>HAVERM!M21</f>
        <v>640721</v>
      </c>
      <c r="C25" s="2">
        <f>HAVERM!AH21</f>
        <v>23171</v>
      </c>
    </row>
    <row r="26" spans="1:3" x14ac:dyDescent="0.35">
      <c r="A26" s="4">
        <f>DATE(LEFT(HAVERM!J22,4),RIGHT(HAVERM!J22,2),1)</f>
        <v>43101</v>
      </c>
      <c r="B26" s="2">
        <f>HAVERM!M22</f>
        <v>647172</v>
      </c>
      <c r="C26" s="2">
        <f>HAVERM!AH22</f>
        <v>38752</v>
      </c>
    </row>
    <row r="27" spans="1:3" x14ac:dyDescent="0.35">
      <c r="A27" s="4">
        <f>DATE(LEFT(HAVERM!J23,4),RIGHT(HAVERM!J23,2),1)</f>
        <v>43132</v>
      </c>
      <c r="B27" s="2">
        <f>HAVERM!M23</f>
        <v>654983</v>
      </c>
      <c r="C27" s="2">
        <f>HAVERM!AH23</f>
        <v>36801</v>
      </c>
    </row>
    <row r="28" spans="1:3" x14ac:dyDescent="0.35">
      <c r="A28" s="4">
        <f>DATE(LEFT(HAVERM!J24,4),RIGHT(HAVERM!J24,2),1)</f>
        <v>43160</v>
      </c>
      <c r="B28" s="2">
        <f>HAVERM!M24</f>
        <v>650426</v>
      </c>
      <c r="C28" s="2">
        <f>HAVERM!AH24</f>
        <v>156723</v>
      </c>
    </row>
    <row r="29" spans="1:3" x14ac:dyDescent="0.35">
      <c r="A29" s="4">
        <f>DATE(LEFT(HAVERM!J25,4),RIGHT(HAVERM!J25,2),1)</f>
        <v>43191</v>
      </c>
      <c r="B29" s="2">
        <f>HAVERM!M25</f>
        <v>611563</v>
      </c>
      <c r="C29" s="2">
        <f>HAVERM!AH25</f>
        <v>22837</v>
      </c>
    </row>
    <row r="30" spans="1:3" x14ac:dyDescent="0.35">
      <c r="A30" s="4">
        <f>DATE(LEFT(HAVERM!J26,4),RIGHT(HAVERM!J26,2),1)</f>
        <v>43221</v>
      </c>
      <c r="B30" s="2">
        <f>HAVERM!M26</f>
        <v>637995</v>
      </c>
      <c r="C30" s="2">
        <f>HAVERM!AH26</f>
        <v>32379</v>
      </c>
    </row>
    <row r="31" spans="1:3" x14ac:dyDescent="0.35">
      <c r="A31" s="4">
        <f>DATE(LEFT(HAVERM!J27,4),RIGHT(HAVERM!J27,2),1)</f>
        <v>43252</v>
      </c>
      <c r="B31" s="2">
        <f>HAVERM!M27</f>
        <v>645981</v>
      </c>
      <c r="C31" s="2">
        <f>HAVERM!AH27</f>
        <v>25486</v>
      </c>
    </row>
    <row r="32" spans="1:3" x14ac:dyDescent="0.35">
      <c r="A32" s="4">
        <f>DATE(LEFT(HAVERM!J28,4),RIGHT(HAVERM!J28,2),1)</f>
        <v>43282</v>
      </c>
      <c r="B32" s="2">
        <f>HAVERM!M28</f>
        <v>630010</v>
      </c>
      <c r="C32" s="2">
        <f>HAVERM!AH28</f>
        <v>18882</v>
      </c>
    </row>
    <row r="33" spans="1:3" x14ac:dyDescent="0.35">
      <c r="A33" s="4">
        <f>DATE(LEFT(HAVERM!J29,4),RIGHT(HAVERM!J29,2),1)</f>
        <v>43313</v>
      </c>
      <c r="B33" s="2">
        <f>HAVERM!M29</f>
        <v>640553</v>
      </c>
      <c r="C33" s="2">
        <f>HAVERM!AH29</f>
        <v>22678</v>
      </c>
    </row>
    <row r="34" spans="1:3" x14ac:dyDescent="0.35">
      <c r="A34" s="4">
        <f>DATE(LEFT(HAVERM!J30,4),RIGHT(HAVERM!J30,2),1)</f>
        <v>43344</v>
      </c>
      <c r="B34" s="2">
        <f>HAVERM!M30</f>
        <v>665757</v>
      </c>
      <c r="C34" s="2">
        <f>HAVERM!AH30</f>
        <v>19461</v>
      </c>
    </row>
    <row r="35" spans="1:3" x14ac:dyDescent="0.35">
      <c r="A35" s="4">
        <f>DATE(LEFT(HAVERM!J31,4),RIGHT(HAVERM!J31,2),1)</f>
        <v>43374</v>
      </c>
      <c r="B35" s="2">
        <f>HAVERM!M31</f>
        <v>631850</v>
      </c>
      <c r="C35" s="2">
        <f>HAVERM!AH31</f>
        <v>26968</v>
      </c>
    </row>
    <row r="36" spans="1:3" x14ac:dyDescent="0.35">
      <c r="A36" s="4">
        <f>DATE(LEFT(HAVERM!J32,4),RIGHT(HAVERM!J32,2),1)</f>
        <v>43405</v>
      </c>
      <c r="B36" s="2">
        <f>HAVERM!M32</f>
        <v>626277</v>
      </c>
      <c r="C36" s="2">
        <f>HAVERM!AH32</f>
        <v>25064</v>
      </c>
    </row>
    <row r="37" spans="1:3" x14ac:dyDescent="0.35">
      <c r="A37" s="4">
        <f>DATE(LEFT(HAVERM!J33,4),RIGHT(HAVERM!J33,2),1)</f>
        <v>43435</v>
      </c>
      <c r="B37" s="2">
        <f>HAVERM!M33</f>
        <v>666422</v>
      </c>
      <c r="C37" s="2">
        <f>HAVERM!AH33</f>
        <v>16154</v>
      </c>
    </row>
    <row r="38" spans="1:3" x14ac:dyDescent="0.35">
      <c r="A38" s="4">
        <f>DATE(LEFT(HAVERM!J34,4),RIGHT(HAVERM!J34,2),1)</f>
        <v>43466</v>
      </c>
      <c r="B38" s="2">
        <f>HAVERM!M34</f>
        <v>638319</v>
      </c>
      <c r="C38" s="2">
        <f>HAVERM!AH34</f>
        <v>28138</v>
      </c>
    </row>
    <row r="39" spans="1:3" x14ac:dyDescent="0.35">
      <c r="A39" s="4">
        <f>DATE(LEFT(HAVERM!J35,4),RIGHT(HAVERM!J35,2),1)</f>
        <v>43497</v>
      </c>
      <c r="B39" s="2">
        <f>HAVERM!M35</f>
        <v>640148</v>
      </c>
      <c r="C39" s="2">
        <f>HAVERM!AH35</f>
        <v>32189</v>
      </c>
    </row>
    <row r="40" spans="1:3" x14ac:dyDescent="0.35">
      <c r="A40" s="4">
        <f>DATE(LEFT(HAVERM!J36,4),RIGHT(HAVERM!J36,2),1)</f>
        <v>43525</v>
      </c>
      <c r="B40" s="2">
        <f>HAVERM!M36</f>
        <v>631416</v>
      </c>
      <c r="C40" s="2">
        <f>HAVERM!AH36</f>
        <v>41626</v>
      </c>
    </row>
    <row r="41" spans="1:3" x14ac:dyDescent="0.35">
      <c r="A41" s="4">
        <f>DATE(LEFT(HAVERM!J37,4),RIGHT(HAVERM!J37,2),1)</f>
        <v>43556</v>
      </c>
      <c r="B41" s="2">
        <f>HAVERM!M37</f>
        <v>672201</v>
      </c>
      <c r="C41" s="2">
        <f>HAVERM!AH37</f>
        <v>85913</v>
      </c>
    </row>
    <row r="42" spans="1:3" x14ac:dyDescent="0.35">
      <c r="A42" s="4">
        <f>DATE(LEFT(HAVERM!J38,4),RIGHT(HAVERM!J38,2),1)</f>
        <v>43586</v>
      </c>
      <c r="B42" s="2">
        <f>HAVERM!M38</f>
        <v>647024</v>
      </c>
      <c r="C42" s="2">
        <f>HAVERM!AH38</f>
        <v>36304</v>
      </c>
    </row>
    <row r="43" spans="1:3" x14ac:dyDescent="0.35">
      <c r="A43" s="4">
        <f>DATE(LEFT(HAVERM!J39,4),RIGHT(HAVERM!J39,2),1)</f>
        <v>43617</v>
      </c>
      <c r="B43" s="2">
        <f>HAVERM!M39</f>
        <v>655789</v>
      </c>
      <c r="C43" s="2">
        <f>HAVERM!AH39</f>
        <v>24024</v>
      </c>
    </row>
    <row r="44" spans="1:3" x14ac:dyDescent="0.35">
      <c r="A44" s="4">
        <f>DATE(LEFT(HAVERM!J40,4),RIGHT(HAVERM!J40,2),1)</f>
        <v>43647</v>
      </c>
      <c r="B44" s="2">
        <f>HAVERM!M40</f>
        <v>651156</v>
      </c>
      <c r="C44" s="2">
        <f>HAVERM!AH40</f>
        <v>21456</v>
      </c>
    </row>
    <row r="45" spans="1:3" x14ac:dyDescent="0.35">
      <c r="A45" s="4">
        <f>DATE(LEFT(HAVERM!J41,4),RIGHT(HAVERM!J41,2),1)</f>
        <v>43678</v>
      </c>
      <c r="B45" s="2">
        <f>HAVERM!M41</f>
        <v>630779</v>
      </c>
      <c r="C45" s="2">
        <f>HAVERM!AH41</f>
        <v>22642</v>
      </c>
    </row>
    <row r="46" spans="1:3" x14ac:dyDescent="0.35">
      <c r="A46" s="4">
        <f>DATE(LEFT(HAVERM!J42,4),RIGHT(HAVERM!J42,2),1)</f>
        <v>43709</v>
      </c>
      <c r="B46" s="2">
        <f>HAVERM!M42</f>
        <v>632555</v>
      </c>
      <c r="C46" s="2">
        <f>HAVERM!AH42</f>
        <v>26716</v>
      </c>
    </row>
    <row r="47" spans="1:3" x14ac:dyDescent="0.35">
      <c r="A47" s="4">
        <f>DATE(LEFT(HAVERM!J43,4),RIGHT(HAVERM!J43,2),1)</f>
        <v>43739</v>
      </c>
      <c r="B47" s="2">
        <f>HAVERM!M43</f>
        <v>640684</v>
      </c>
      <c r="C47" s="2">
        <f>HAVERM!AH43</f>
        <v>23882</v>
      </c>
    </row>
    <row r="48" spans="1:3" x14ac:dyDescent="0.35">
      <c r="A48" s="4">
        <f>DATE(LEFT(HAVERM!J44,4),RIGHT(HAVERM!J44,2),1)</f>
        <v>43770</v>
      </c>
      <c r="B48" s="2">
        <f>HAVERM!M44</f>
        <v>640944</v>
      </c>
      <c r="C48" s="2">
        <f>HAVERM!AH44</f>
        <v>27820</v>
      </c>
    </row>
    <row r="49" spans="1:5" x14ac:dyDescent="0.35">
      <c r="A49" s="4">
        <f>DATE(LEFT(HAVERM!J45,4),RIGHT(HAVERM!J45,2),1)</f>
        <v>43800</v>
      </c>
      <c r="B49" s="2">
        <f>HAVERM!M45</f>
        <v>658887</v>
      </c>
      <c r="C49" s="2">
        <f>HAVERM!AH45</f>
        <v>16733</v>
      </c>
      <c r="D49">
        <f>B49/AVERAGE(B$47:B$49)*100</f>
        <v>101.86270139627882</v>
      </c>
      <c r="E49">
        <f>C49/AVERAGE(C$47:C$49)*100</f>
        <v>73.352816541243513</v>
      </c>
    </row>
    <row r="50" spans="1:5" x14ac:dyDescent="0.35">
      <c r="A50" s="4">
        <f>DATE(LEFT(HAVERM!J46,4),RIGHT(HAVERM!J46,2),1)</f>
        <v>43831</v>
      </c>
      <c r="B50" s="2">
        <f>HAVERM!M46</f>
        <v>647578</v>
      </c>
      <c r="C50" s="2">
        <f>HAVERM!AH46</f>
        <v>29496</v>
      </c>
      <c r="D50">
        <f t="shared" ref="D50:D113" si="0">B50/AVERAGE(B$47:B$49)*100</f>
        <v>100.11435108721139</v>
      </c>
      <c r="E50">
        <f t="shared" ref="E50:E113" si="1">C50/AVERAGE(C$47:C$49)*100</f>
        <v>129.30225761671659</v>
      </c>
    </row>
    <row r="51" spans="1:5" x14ac:dyDescent="0.35">
      <c r="A51" s="4">
        <f>DATE(LEFT(HAVERM!J47,4),RIGHT(HAVERM!J47,2),1)</f>
        <v>43862</v>
      </c>
      <c r="B51" s="2">
        <f>HAVERM!M47</f>
        <v>688189</v>
      </c>
      <c r="C51" s="2">
        <f>HAVERM!AH47</f>
        <v>27804</v>
      </c>
      <c r="D51">
        <f t="shared" si="0"/>
        <v>106.39273594896198</v>
      </c>
      <c r="E51">
        <f t="shared" si="1"/>
        <v>121.88500036531013</v>
      </c>
    </row>
    <row r="52" spans="1:5" x14ac:dyDescent="0.35">
      <c r="A52" s="4">
        <f>DATE(LEFT(HAVERM!J48,4),RIGHT(HAVERM!J48,2),1)</f>
        <v>43891</v>
      </c>
      <c r="B52" s="2">
        <f>HAVERM!M48</f>
        <v>694326</v>
      </c>
      <c r="C52" s="2">
        <f>HAVERM!AH48</f>
        <v>44235</v>
      </c>
      <c r="D52">
        <f t="shared" si="0"/>
        <v>107.34150470364825</v>
      </c>
      <c r="E52">
        <f t="shared" si="1"/>
        <v>193.91393292905676</v>
      </c>
    </row>
    <row r="53" spans="1:5" x14ac:dyDescent="0.35">
      <c r="A53" s="4">
        <f>DATE(LEFT(HAVERM!J49,4),RIGHT(HAVERM!J49,2),1)</f>
        <v>43922</v>
      </c>
      <c r="B53" s="2">
        <f>HAVERM!M49</f>
        <v>908918</v>
      </c>
      <c r="C53" s="2">
        <f>HAVERM!AH49</f>
        <v>61502</v>
      </c>
      <c r="D53">
        <f t="shared" si="0"/>
        <v>140.51702769625589</v>
      </c>
      <c r="E53">
        <f t="shared" si="1"/>
        <v>269.60765690070872</v>
      </c>
    </row>
    <row r="54" spans="1:5" x14ac:dyDescent="0.35">
      <c r="A54" s="4">
        <f>DATE(LEFT(HAVERM!J50,4),RIGHT(HAVERM!J50,2),1)</f>
        <v>43952</v>
      </c>
      <c r="B54" s="2">
        <f>HAVERM!M50</f>
        <v>586561</v>
      </c>
      <c r="C54" s="2">
        <f>HAVERM!AH50</f>
        <v>73254</v>
      </c>
      <c r="D54">
        <f t="shared" si="0"/>
        <v>90.681236682014827</v>
      </c>
      <c r="E54">
        <f t="shared" si="1"/>
        <v>321.125155256813</v>
      </c>
    </row>
    <row r="55" spans="1:5" x14ac:dyDescent="0.35">
      <c r="A55" s="4">
        <f>DATE(LEFT(HAVERM!J51,4),RIGHT(HAVERM!J51,2),1)</f>
        <v>43983</v>
      </c>
      <c r="B55" s="2">
        <f>HAVERM!M51</f>
        <v>464781</v>
      </c>
      <c r="C55" s="2">
        <f>HAVERM!AH51</f>
        <v>155576</v>
      </c>
      <c r="D55">
        <f t="shared" si="0"/>
        <v>71.854275797919627</v>
      </c>
      <c r="E55">
        <f t="shared" si="1"/>
        <v>682.00189961277124</v>
      </c>
    </row>
    <row r="56" spans="1:5" x14ac:dyDescent="0.35">
      <c r="A56" s="4">
        <f>DATE(LEFT(HAVERM!J52,4),RIGHT(HAVERM!J52,2),1)</f>
        <v>44013</v>
      </c>
      <c r="B56" s="2">
        <f>HAVERM!M52</f>
        <v>476434</v>
      </c>
      <c r="C56" s="2">
        <f>HAVERM!AH52</f>
        <v>149301</v>
      </c>
      <c r="D56">
        <f t="shared" si="0"/>
        <v>73.655807865437779</v>
      </c>
      <c r="E56">
        <f t="shared" si="1"/>
        <v>654.49404544458241</v>
      </c>
    </row>
    <row r="57" spans="1:5" x14ac:dyDescent="0.35">
      <c r="A57" s="4">
        <f>DATE(LEFT(HAVERM!J53,4),RIGHT(HAVERM!J53,2),1)</f>
        <v>44044</v>
      </c>
      <c r="B57" s="2">
        <f>HAVERM!M53</f>
        <v>595960</v>
      </c>
      <c r="C57" s="2">
        <f>HAVERM!AH53</f>
        <v>57749</v>
      </c>
      <c r="D57">
        <f t="shared" si="0"/>
        <v>92.134304553172726</v>
      </c>
      <c r="E57">
        <f t="shared" si="1"/>
        <v>253.15554906115293</v>
      </c>
    </row>
    <row r="58" spans="1:5" x14ac:dyDescent="0.35">
      <c r="A58" s="4">
        <f>DATE(LEFT(HAVERM!J54,4),RIGHT(HAVERM!J54,2),1)</f>
        <v>44075</v>
      </c>
      <c r="B58" s="2">
        <f>HAVERM!M54</f>
        <v>610345</v>
      </c>
      <c r="C58" s="2">
        <f>HAVERM!AH54</f>
        <v>81670</v>
      </c>
      <c r="D58">
        <f t="shared" si="0"/>
        <v>94.358198725596026</v>
      </c>
      <c r="E58">
        <f t="shared" si="1"/>
        <v>358.0185577555344</v>
      </c>
    </row>
    <row r="59" spans="1:5" x14ac:dyDescent="0.35">
      <c r="A59" s="4">
        <f>DATE(LEFT(HAVERM!J55,4),RIGHT(HAVERM!J55,2),1)</f>
        <v>44105</v>
      </c>
      <c r="B59" s="2">
        <f>HAVERM!M55</f>
        <v>590745</v>
      </c>
      <c r="C59" s="2">
        <f>HAVERM!AH55</f>
        <v>51351</v>
      </c>
      <c r="D59">
        <f t="shared" si="0"/>
        <v>91.32807527898521</v>
      </c>
      <c r="E59">
        <f t="shared" si="1"/>
        <v>225.10849711404984</v>
      </c>
    </row>
    <row r="60" spans="1:5" x14ac:dyDescent="0.35">
      <c r="A60" s="4">
        <f>DATE(LEFT(HAVERM!J56,4),RIGHT(HAVERM!J56,2),1)</f>
        <v>44136</v>
      </c>
      <c r="B60" s="2">
        <f>HAVERM!M56</f>
        <v>640218</v>
      </c>
      <c r="C60" s="2">
        <f>HAVERM!AH56</f>
        <v>36686</v>
      </c>
      <c r="D60">
        <f t="shared" si="0"/>
        <v>98.976508813382011</v>
      </c>
      <c r="E60">
        <f t="shared" si="1"/>
        <v>160.82121721341417</v>
      </c>
    </row>
    <row r="61" spans="1:5" x14ac:dyDescent="0.35">
      <c r="A61" s="4">
        <f>DATE(LEFT(HAVERM!J57,4),RIGHT(HAVERM!J57,2),1)</f>
        <v>44166</v>
      </c>
      <c r="B61" s="2">
        <f>HAVERM!M57</f>
        <v>570147</v>
      </c>
      <c r="C61" s="2">
        <f>HAVERM!AH57</f>
        <v>23083</v>
      </c>
      <c r="D61">
        <f t="shared" si="0"/>
        <v>88.143662893613282</v>
      </c>
      <c r="E61">
        <f t="shared" si="1"/>
        <v>101.18944984291662</v>
      </c>
    </row>
    <row r="62" spans="1:5" x14ac:dyDescent="0.35">
      <c r="A62" s="4">
        <f>DATE(LEFT(HAVERM!J58,4),RIGHT(HAVERM!J58,2),1)</f>
        <v>44197</v>
      </c>
      <c r="B62" s="2">
        <f>HAVERM!M58</f>
        <v>552763</v>
      </c>
      <c r="C62" s="2">
        <f>HAVERM!AH58</f>
        <v>31946</v>
      </c>
      <c r="D62">
        <f t="shared" si="0"/>
        <v>85.456128914231527</v>
      </c>
      <c r="E62">
        <f t="shared" si="1"/>
        <v>140.04237597720464</v>
      </c>
    </row>
    <row r="63" spans="1:5" x14ac:dyDescent="0.35">
      <c r="A63" s="4">
        <f>DATE(LEFT(HAVERM!J59,4),RIGHT(HAVERM!J59,2),1)</f>
        <v>44228</v>
      </c>
      <c r="B63" s="2">
        <f>HAVERM!M59</f>
        <v>505926</v>
      </c>
      <c r="C63" s="2">
        <f>HAVERM!AH59</f>
        <v>26576</v>
      </c>
      <c r="D63">
        <f t="shared" si="0"/>
        <v>78.215216063776879</v>
      </c>
      <c r="E63">
        <f t="shared" si="1"/>
        <v>116.50179001972674</v>
      </c>
    </row>
    <row r="64" spans="1:5" x14ac:dyDescent="0.35">
      <c r="A64" s="4">
        <f>DATE(LEFT(HAVERM!J60,4),RIGHT(HAVERM!J60,2),1)</f>
        <v>44256</v>
      </c>
      <c r="B64" s="2">
        <f>HAVERM!M60</f>
        <v>501587</v>
      </c>
      <c r="C64" s="2">
        <f>HAVERM!AH60</f>
        <v>27809</v>
      </c>
      <c r="D64">
        <f t="shared" si="0"/>
        <v>77.544414755876659</v>
      </c>
      <c r="E64">
        <f t="shared" si="1"/>
        <v>121.90691897420909</v>
      </c>
    </row>
    <row r="65" spans="1:5" x14ac:dyDescent="0.35">
      <c r="A65" s="4">
        <f>DATE(LEFT(HAVERM!J61,4),RIGHT(HAVERM!J61,2),1)</f>
        <v>44287</v>
      </c>
      <c r="B65" s="2">
        <f>HAVERM!M61</f>
        <v>506479</v>
      </c>
      <c r="C65" s="2">
        <f>HAVERM!AH61</f>
        <v>18492</v>
      </c>
      <c r="D65">
        <f t="shared" si="0"/>
        <v>78.300708832449118</v>
      </c>
      <c r="E65">
        <f t="shared" si="1"/>
        <v>81.063783151895947</v>
      </c>
    </row>
    <row r="66" spans="1:5" x14ac:dyDescent="0.35">
      <c r="A66" s="4">
        <f>DATE(LEFT(HAVERM!J62,4),RIGHT(HAVERM!J62,2),1)</f>
        <v>44317</v>
      </c>
      <c r="B66" s="2">
        <f>HAVERM!M62</f>
        <v>552245</v>
      </c>
      <c r="C66" s="2">
        <f>HAVERM!AH62</f>
        <v>19211</v>
      </c>
      <c r="D66">
        <f t="shared" si="0"/>
        <v>85.376047080285375</v>
      </c>
      <c r="E66">
        <f t="shared" si="1"/>
        <v>84.215679111565706</v>
      </c>
    </row>
    <row r="67" spans="1:5" x14ac:dyDescent="0.35">
      <c r="A67" s="4">
        <f>DATE(LEFT(HAVERM!J63,4),RIGHT(HAVERM!J63,2),1)</f>
        <v>44348</v>
      </c>
      <c r="B67" s="2">
        <f>HAVERM!M63</f>
        <v>586363</v>
      </c>
      <c r="C67" s="2">
        <f>HAVERM!AH63</f>
        <v>15741</v>
      </c>
      <c r="D67">
        <f t="shared" si="0"/>
        <v>90.650626251278652</v>
      </c>
      <c r="E67">
        <f t="shared" si="1"/>
        <v>69.004164535690791</v>
      </c>
    </row>
    <row r="68" spans="1:5" x14ac:dyDescent="0.35">
      <c r="A68" s="4">
        <f>DATE(LEFT(HAVERM!J64,4),RIGHT(HAVERM!J64,2),1)</f>
        <v>44378</v>
      </c>
      <c r="B68" s="2">
        <f>HAVERM!M64</f>
        <v>582426</v>
      </c>
      <c r="C68" s="2">
        <f>HAVERM!AH64</f>
        <v>14078</v>
      </c>
      <c r="D68">
        <f t="shared" si="0"/>
        <v>90.041973393660953</v>
      </c>
      <c r="E68">
        <f t="shared" si="1"/>
        <v>61.714035215898299</v>
      </c>
    </row>
    <row r="69" spans="1:5" x14ac:dyDescent="0.35">
      <c r="A69" s="4">
        <f>DATE(LEFT(HAVERM!J65,4),RIGHT(HAVERM!J65,2),1)</f>
        <v>44409</v>
      </c>
      <c r="B69" s="2">
        <f>HAVERM!M65</f>
        <v>561386</v>
      </c>
      <c r="C69" s="2">
        <f>HAVERM!AH65</f>
        <v>12687</v>
      </c>
      <c r="D69">
        <f t="shared" si="0"/>
        <v>86.789228632605258</v>
      </c>
      <c r="E69">
        <f t="shared" si="1"/>
        <v>55.616278220208962</v>
      </c>
    </row>
    <row r="70" spans="1:5" x14ac:dyDescent="0.35">
      <c r="A70" s="4">
        <f>DATE(LEFT(HAVERM!J66,4),RIGHT(HAVERM!J66,2),1)</f>
        <v>44440</v>
      </c>
      <c r="B70" s="2">
        <f>HAVERM!M66</f>
        <v>595393</v>
      </c>
      <c r="C70" s="2">
        <f>HAVERM!AH66</f>
        <v>13836</v>
      </c>
      <c r="D70">
        <f t="shared" si="0"/>
        <v>92.046647410610063</v>
      </c>
      <c r="E70">
        <f t="shared" si="1"/>
        <v>60.653174545188861</v>
      </c>
    </row>
    <row r="71" spans="1:5" x14ac:dyDescent="0.35">
      <c r="A71" s="4">
        <f>DATE(LEFT(HAVERM!J67,4),RIGHT(HAVERM!J67,2),1)</f>
        <v>44470</v>
      </c>
      <c r="B71" s="2">
        <f>HAVERM!M67</f>
        <v>670641</v>
      </c>
      <c r="C71" s="2">
        <f>HAVERM!AH67</f>
        <v>12818</v>
      </c>
      <c r="D71">
        <f t="shared" si="0"/>
        <v>103.67984787543512</v>
      </c>
      <c r="E71">
        <f t="shared" si="1"/>
        <v>56.190545773361578</v>
      </c>
    </row>
    <row r="72" spans="1:5" x14ac:dyDescent="0.35">
      <c r="A72" s="4">
        <f>DATE(LEFT(HAVERM!J68,4),RIGHT(HAVERM!J68,2),1)</f>
        <v>44501</v>
      </c>
      <c r="B72" s="2">
        <f>HAVERM!M68</f>
        <v>619191</v>
      </c>
      <c r="C72" s="2">
        <f>HAVERM!AH68</f>
        <v>16892</v>
      </c>
      <c r="D72">
        <f t="shared" si="0"/>
        <v>95.725773828081714</v>
      </c>
      <c r="E72">
        <f t="shared" si="1"/>
        <v>74.049828304230289</v>
      </c>
    </row>
    <row r="73" spans="1:5" x14ac:dyDescent="0.35">
      <c r="A73" s="4">
        <f>DATE(LEFT(HAVERM!J69,4),RIGHT(HAVERM!J69,2),1)</f>
        <v>44531</v>
      </c>
      <c r="B73" s="2">
        <f>HAVERM!M69</f>
        <v>621206</v>
      </c>
      <c r="C73" s="2">
        <f>HAVERM!AH69</f>
        <v>7141</v>
      </c>
      <c r="D73">
        <f t="shared" si="0"/>
        <v>96.037289070169507</v>
      </c>
      <c r="E73">
        <f t="shared" si="1"/>
        <v>31.304157229487835</v>
      </c>
    </row>
    <row r="74" spans="1:5" x14ac:dyDescent="0.35">
      <c r="A74" s="4">
        <f>DATE(LEFT(HAVERM!J70,4),RIGHT(HAVERM!J70,2),1)</f>
        <v>44562</v>
      </c>
      <c r="B74" s="2">
        <f>HAVERM!M70</f>
        <v>638897</v>
      </c>
      <c r="C74" s="2">
        <f>HAVERM!AH70</f>
        <v>13684</v>
      </c>
      <c r="D74">
        <f t="shared" si="0"/>
        <v>98.772284677005842</v>
      </c>
      <c r="E74">
        <f t="shared" si="1"/>
        <v>59.98684883466062</v>
      </c>
    </row>
    <row r="75" spans="1:5" x14ac:dyDescent="0.35">
      <c r="A75" s="4">
        <f>DATE(LEFT(HAVERM!J71,4),RIGHT(HAVERM!J71,2),1)</f>
        <v>44593</v>
      </c>
      <c r="B75" s="2">
        <f>HAVERM!M71</f>
        <v>609267</v>
      </c>
      <c r="C75" s="2">
        <f>HAVERM!AH71</f>
        <v>19413</v>
      </c>
      <c r="D75">
        <f t="shared" si="0"/>
        <v>94.191541936032436</v>
      </c>
      <c r="E75">
        <f t="shared" si="1"/>
        <v>85.101190911083506</v>
      </c>
    </row>
    <row r="76" spans="1:5" x14ac:dyDescent="0.35">
      <c r="A76" s="4">
        <f>DATE(LEFT(HAVERM!J72,4),RIGHT(HAVERM!J72,2),1)</f>
        <v>44621</v>
      </c>
      <c r="B76" s="2">
        <f>HAVERM!M72</f>
        <v>636991</v>
      </c>
      <c r="C76" s="2">
        <f>HAVERM!AH72</f>
        <v>25216</v>
      </c>
      <c r="D76">
        <f t="shared" si="0"/>
        <v>98.477620631636441</v>
      </c>
      <c r="E76">
        <f t="shared" si="1"/>
        <v>110.53992839921092</v>
      </c>
    </row>
    <row r="77" spans="1:5" x14ac:dyDescent="0.35">
      <c r="A77" s="4">
        <f>DATE(LEFT(HAVERM!J73,4),RIGHT(HAVERM!J73,2),1)</f>
        <v>44652</v>
      </c>
      <c r="B77" s="2">
        <f>HAVERM!M73</f>
        <v>676301</v>
      </c>
      <c r="C77" s="2">
        <f>HAVERM!AH73</f>
        <v>16041</v>
      </c>
      <c r="D77">
        <f t="shared" si="0"/>
        <v>104.55487331971152</v>
      </c>
      <c r="E77">
        <f t="shared" si="1"/>
        <v>70.319281069628119</v>
      </c>
    </row>
    <row r="78" spans="1:5" x14ac:dyDescent="0.35">
      <c r="A78" s="4">
        <f>DATE(LEFT(HAVERM!J74,4),RIGHT(HAVERM!J74,2),1)</f>
        <v>44682</v>
      </c>
      <c r="B78" s="2">
        <f>HAVERM!M74</f>
        <v>655588</v>
      </c>
      <c r="C78" s="2">
        <f>HAVERM!AH74</f>
        <v>16415</v>
      </c>
      <c r="D78">
        <f t="shared" si="0"/>
        <v>101.35268214881101</v>
      </c>
      <c r="E78">
        <f t="shared" si="1"/>
        <v>71.958793015269961</v>
      </c>
    </row>
    <row r="79" spans="1:5" x14ac:dyDescent="0.35">
      <c r="A79" s="4">
        <f>DATE(LEFT(HAVERM!J75,4),RIGHT(HAVERM!J75,2),1)</f>
        <v>44713</v>
      </c>
      <c r="B79" s="2">
        <f>HAVERM!M75</f>
        <v>648914</v>
      </c>
      <c r="C79" s="2">
        <f>HAVERM!AH75</f>
        <v>10974</v>
      </c>
      <c r="D79">
        <f t="shared" si="0"/>
        <v>100.32089419561301</v>
      </c>
      <c r="E79">
        <f t="shared" si="1"/>
        <v>48.106962811426904</v>
      </c>
    </row>
    <row r="80" spans="1:5" x14ac:dyDescent="0.35">
      <c r="A80" s="4">
        <f>DATE(LEFT(HAVERM!J76,4),RIGHT(HAVERM!J76,2),1)</f>
        <v>44743</v>
      </c>
      <c r="B80" s="2">
        <f>HAVERM!M76</f>
        <v>626365</v>
      </c>
      <c r="C80" s="2">
        <f>HAVERM!AH76</f>
        <v>12159</v>
      </c>
      <c r="D80">
        <f t="shared" si="0"/>
        <v>96.834860848795287</v>
      </c>
      <c r="E80">
        <f t="shared" si="1"/>
        <v>53.301673120479286</v>
      </c>
    </row>
    <row r="81" spans="1:5" x14ac:dyDescent="0.35">
      <c r="A81" s="4">
        <f>DATE(LEFT(HAVERM!J77,4),RIGHT(HAVERM!J77,2),1)</f>
        <v>44774</v>
      </c>
      <c r="B81" s="2">
        <f>HAVERM!M77</f>
        <v>639412</v>
      </c>
      <c r="C81" s="2">
        <f>HAVERM!AH77</f>
        <v>16491</v>
      </c>
      <c r="D81">
        <f t="shared" si="0"/>
        <v>98.851902716546888</v>
      </c>
      <c r="E81">
        <f t="shared" si="1"/>
        <v>72.291955870534082</v>
      </c>
    </row>
    <row r="82" spans="1:5" x14ac:dyDescent="0.35">
      <c r="A82" s="4">
        <f>DATE(LEFT(HAVERM!J78,4),RIGHT(HAVERM!J78,2),1)</f>
        <v>44805</v>
      </c>
      <c r="B82" s="2">
        <f>HAVERM!M78</f>
        <v>629477</v>
      </c>
      <c r="C82" s="2">
        <f>HAVERM!AH78</f>
        <v>14369</v>
      </c>
      <c r="D82">
        <f t="shared" si="0"/>
        <v>97.315970245012267</v>
      </c>
      <c r="E82">
        <f t="shared" si="1"/>
        <v>62.98969825381748</v>
      </c>
    </row>
    <row r="83" spans="1:5" x14ac:dyDescent="0.35">
      <c r="A83" s="4">
        <f>DATE(LEFT(HAVERM!J79,4),RIGHT(HAVERM!J79,2),1)</f>
        <v>44835</v>
      </c>
      <c r="B83" s="2">
        <f>HAVERM!M79</f>
        <v>651524</v>
      </c>
      <c r="C83" s="2">
        <f>HAVERM!AH79</f>
        <v>13992</v>
      </c>
      <c r="D83">
        <f t="shared" si="0"/>
        <v>100.72439532804435</v>
      </c>
      <c r="E83">
        <f t="shared" si="1"/>
        <v>61.337035142836257</v>
      </c>
    </row>
    <row r="84" spans="1:5" x14ac:dyDescent="0.35">
      <c r="A84" s="4">
        <f>DATE(LEFT(HAVERM!J80,4),RIGHT(HAVERM!J80,2),1)</f>
        <v>44866</v>
      </c>
      <c r="B84" s="2">
        <f>HAVERM!M80</f>
        <v>629563</v>
      </c>
      <c r="C84" s="2">
        <f>HAVERM!AH80</f>
        <v>22580</v>
      </c>
      <c r="D84">
        <f t="shared" si="0"/>
        <v>97.329265684624957</v>
      </c>
      <c r="E84">
        <f t="shared" si="1"/>
        <v>98.984437787681728</v>
      </c>
    </row>
    <row r="85" spans="1:5" x14ac:dyDescent="0.35">
      <c r="A85" s="4">
        <f>DATE(LEFT(HAVERM!J81,4),RIGHT(HAVERM!J81,2),1)</f>
        <v>44896</v>
      </c>
      <c r="B85" s="2">
        <f>HAVERM!M81</f>
        <v>635218</v>
      </c>
      <c r="C85" s="2">
        <f>HAVERM!AH81</f>
        <v>12654</v>
      </c>
      <c r="D85">
        <f t="shared" si="0"/>
        <v>98.203518138226187</v>
      </c>
      <c r="E85">
        <f t="shared" si="1"/>
        <v>55.471615401475852</v>
      </c>
    </row>
    <row r="86" spans="1:5" x14ac:dyDescent="0.35">
      <c r="A86" s="4">
        <f>DATE(LEFT(HAVERM!J82,4),RIGHT(HAVERM!J82,2),1)</f>
        <v>44927</v>
      </c>
      <c r="B86" s="2">
        <f>HAVERM!M82</f>
        <v>643577</v>
      </c>
      <c r="C86" s="2">
        <f>HAVERM!AH82</f>
        <v>25257</v>
      </c>
      <c r="D86">
        <f t="shared" si="0"/>
        <v>99.495803948951689</v>
      </c>
      <c r="E86">
        <f t="shared" si="1"/>
        <v>110.71966099218236</v>
      </c>
    </row>
    <row r="87" spans="1:5" x14ac:dyDescent="0.35">
      <c r="A87" s="4">
        <f>DATE(LEFT(HAVERM!J83,4),RIGHT(HAVERM!J83,2),1)</f>
        <v>44958</v>
      </c>
      <c r="B87" s="2">
        <f>HAVERM!M83</f>
        <v>629540</v>
      </c>
      <c r="C87" s="2">
        <f>HAVERM!AH83</f>
        <v>34636</v>
      </c>
      <c r="D87">
        <f t="shared" si="0"/>
        <v>97.325709927519227</v>
      </c>
      <c r="E87">
        <f t="shared" si="1"/>
        <v>151.83458756484254</v>
      </c>
    </row>
    <row r="88" spans="1:5" x14ac:dyDescent="0.35">
      <c r="A88" s="4">
        <f>DATE(LEFT(HAVERM!J84,4),RIGHT(HAVERM!J84,2),1)</f>
        <v>44986</v>
      </c>
      <c r="B88" s="2">
        <f>HAVERM!M84</f>
        <v>630792</v>
      </c>
      <c r="C88" s="2">
        <f>HAVERM!AH84</f>
        <v>23692</v>
      </c>
      <c r="D88">
        <f t="shared" si="0"/>
        <v>97.51926679257825</v>
      </c>
      <c r="E88">
        <f t="shared" si="1"/>
        <v>103.85913640680937</v>
      </c>
    </row>
    <row r="89" spans="1:5" x14ac:dyDescent="0.35">
      <c r="A89" s="4">
        <f>DATE(LEFT(HAVERM!J85,4),RIGHT(HAVERM!J85,2),1)</f>
        <v>45017</v>
      </c>
      <c r="B89" s="2">
        <f>HAVERM!M85</f>
        <v>632448</v>
      </c>
      <c r="C89" s="2">
        <f>HAVERM!AH85</f>
        <v>21045</v>
      </c>
      <c r="D89">
        <f t="shared" si="0"/>
        <v>97.775281304189861</v>
      </c>
      <c r="E89">
        <f t="shared" si="1"/>
        <v>92.255424855702486</v>
      </c>
    </row>
    <row r="90" spans="1:5" x14ac:dyDescent="0.35">
      <c r="A90" s="4">
        <f>DATE(LEFT(HAVERM!J86,4),RIGHT(HAVERM!J86,2),1)</f>
        <v>45047</v>
      </c>
      <c r="B90" s="2">
        <f>HAVERM!M86</f>
        <v>624752</v>
      </c>
      <c r="C90" s="2">
        <f>HAVERM!AH86</f>
        <v>19001</v>
      </c>
      <c r="D90">
        <f t="shared" si="0"/>
        <v>96.585494056990015</v>
      </c>
      <c r="E90">
        <f t="shared" si="1"/>
        <v>83.295097537809596</v>
      </c>
    </row>
    <row r="91" spans="1:5" x14ac:dyDescent="0.35">
      <c r="A91" s="4">
        <f>DATE(LEFT(HAVERM!J87,4),RIGHT(HAVERM!J87,2),1)</f>
        <v>45078</v>
      </c>
      <c r="B91" s="2">
        <f>HAVERM!M87</f>
        <v>620378</v>
      </c>
      <c r="C91" s="2">
        <f>HAVERM!AH87</f>
        <v>25564</v>
      </c>
      <c r="D91">
        <f t="shared" si="0"/>
        <v>95.909281814363709</v>
      </c>
      <c r="E91">
        <f t="shared" si="1"/>
        <v>112.0654635785782</v>
      </c>
    </row>
    <row r="92" spans="1:5" x14ac:dyDescent="0.35">
      <c r="A92" s="4">
        <f>DATE(LEFT(HAVERM!J88,4),RIGHT(HAVERM!J88,2),1)</f>
        <v>45108</v>
      </c>
      <c r="B92" s="2">
        <f>HAVERM!M88</f>
        <v>643011</v>
      </c>
      <c r="C92" s="2">
        <f>HAVERM!AH88</f>
        <v>24641</v>
      </c>
      <c r="D92">
        <f t="shared" si="0"/>
        <v>99.408301404524053</v>
      </c>
      <c r="E92">
        <f t="shared" si="1"/>
        <v>108.01928837583108</v>
      </c>
    </row>
    <row r="93" spans="1:5" x14ac:dyDescent="0.35">
      <c r="A93" s="4">
        <f>DATE(LEFT(HAVERM!J89,4),RIGHT(HAVERM!J89,2),1)</f>
        <v>45139</v>
      </c>
      <c r="B93" s="2">
        <f>HAVERM!M89</f>
        <v>620025</v>
      </c>
      <c r="C93" s="2">
        <f>HAVERM!AH89</f>
        <v>28361</v>
      </c>
      <c r="D93">
        <f t="shared" si="0"/>
        <v>95.854708672697711</v>
      </c>
      <c r="E93">
        <f t="shared" si="1"/>
        <v>124.32673339665374</v>
      </c>
    </row>
    <row r="94" spans="1:5" x14ac:dyDescent="0.35">
      <c r="A94" s="4">
        <f>DATE(LEFT(HAVERM!J90,4),RIGHT(HAVERM!J90,2),1)</f>
        <v>45170</v>
      </c>
      <c r="B94" s="2">
        <f>HAVERM!M90</f>
        <v>609313</v>
      </c>
      <c r="C94" s="2">
        <f>HAVERM!AH90</f>
        <v>18865</v>
      </c>
      <c r="D94">
        <f t="shared" si="0"/>
        <v>94.198653450243881</v>
      </c>
      <c r="E94">
        <f t="shared" si="1"/>
        <v>82.698911375758016</v>
      </c>
    </row>
    <row r="95" spans="1:5" x14ac:dyDescent="0.35">
      <c r="A95" s="4">
        <f>DATE(LEFT(HAVERM!J91,4),RIGHT(HAVERM!J91,2),1)</f>
        <v>45200</v>
      </c>
      <c r="B95" s="2">
        <f>HAVERM!M91</f>
        <v>616742</v>
      </c>
      <c r="C95" s="2">
        <f>HAVERM!AH91</f>
        <v>25359</v>
      </c>
      <c r="D95">
        <f t="shared" si="0"/>
        <v>95.347162995390391</v>
      </c>
      <c r="E95">
        <f t="shared" si="1"/>
        <v>111.16680061372104</v>
      </c>
    </row>
    <row r="96" spans="1:5" x14ac:dyDescent="0.35">
      <c r="A96" s="4">
        <f>DATE(LEFT(HAVERM!J92,4),RIGHT(HAVERM!J92,2),1)</f>
        <v>45231</v>
      </c>
      <c r="B96" s="2">
        <f>HAVERM!M92</f>
        <v>619334</v>
      </c>
      <c r="C96" s="2">
        <f>HAVERM!AH92</f>
        <v>38555</v>
      </c>
      <c r="D96">
        <f t="shared" si="0"/>
        <v>95.74788136139118</v>
      </c>
      <c r="E96">
        <f t="shared" si="1"/>
        <v>169.01439321984364</v>
      </c>
    </row>
    <row r="97" spans="1:5" x14ac:dyDescent="0.35">
      <c r="A97" s="4">
        <f>DATE(LEFT(HAVERM!J93,4),RIGHT(HAVERM!J93,2),1)</f>
        <v>45261</v>
      </c>
      <c r="B97" s="2">
        <f>HAVERM!M93</f>
        <v>608244</v>
      </c>
      <c r="C97" s="2">
        <f>HAVERM!AH93</f>
        <v>17057</v>
      </c>
      <c r="D97">
        <f t="shared" si="0"/>
        <v>94.033388043895556</v>
      </c>
      <c r="E97">
        <f t="shared" si="1"/>
        <v>74.773142397895811</v>
      </c>
    </row>
    <row r="98" spans="1:5" x14ac:dyDescent="0.35">
      <c r="A98" s="4">
        <f>DATE(LEFT(HAVERM!J94,4),RIGHT(HAVERM!J94,2),1)</f>
        <v>45292</v>
      </c>
      <c r="B98" s="2">
        <f>HAVERM!M94</f>
        <v>632172</v>
      </c>
      <c r="C98" s="2">
        <f>HAVERM!AH94</f>
        <v>26788</v>
      </c>
      <c r="D98">
        <f t="shared" si="0"/>
        <v>97.732612218921261</v>
      </c>
      <c r="E98">
        <f t="shared" si="1"/>
        <v>117.43113903704246</v>
      </c>
    </row>
    <row r="99" spans="1:5" x14ac:dyDescent="0.35">
      <c r="A99" s="4">
        <f>DATE(LEFT(HAVERM!J95,4),RIGHT(HAVERM!J95,2),1)</f>
        <v>45323</v>
      </c>
      <c r="B99" s="2">
        <f>HAVERM!M95</f>
        <v>636286</v>
      </c>
      <c r="C99" s="2">
        <f>HAVERM!AH95</f>
        <v>31043</v>
      </c>
      <c r="D99">
        <f t="shared" si="0"/>
        <v>98.368628946439472</v>
      </c>
      <c r="E99">
        <f t="shared" si="1"/>
        <v>136.08387521005332</v>
      </c>
    </row>
    <row r="100" spans="1:5" x14ac:dyDescent="0.35">
      <c r="A100" s="4">
        <f>DATE(LEFT(HAVERM!J96,4),RIGHT(HAVERM!J96,2),1)</f>
        <v>45352</v>
      </c>
      <c r="B100" s="2">
        <f>HAVERM!M96</f>
        <v>618909</v>
      </c>
      <c r="C100" s="2">
        <f>HAVERM!AH96</f>
        <v>26233</v>
      </c>
      <c r="D100">
        <f t="shared" si="0"/>
        <v>95.682177154002929</v>
      </c>
      <c r="E100">
        <f t="shared" si="1"/>
        <v>114.99817344925842</v>
      </c>
    </row>
    <row r="101" spans="1:5" x14ac:dyDescent="0.35">
      <c r="A101" s="4">
        <f>DATE(LEFT(HAVERM!J97,4),RIGHT(HAVERM!J97,2),1)</f>
        <v>45383</v>
      </c>
      <c r="B101" s="2">
        <f>HAVERM!M97</f>
        <v>600482</v>
      </c>
      <c r="C101" s="2">
        <f>HAVERM!AH97</f>
        <v>18450</v>
      </c>
      <c r="D101">
        <f t="shared" si="0"/>
        <v>92.833397319783657</v>
      </c>
      <c r="E101">
        <f t="shared" si="1"/>
        <v>80.87966683714474</v>
      </c>
    </row>
    <row r="102" spans="1:5" x14ac:dyDescent="0.35">
      <c r="A102" s="4">
        <f>DATE(LEFT(HAVERM!J98,4),RIGHT(HAVERM!J98,2),1)</f>
        <v>45413</v>
      </c>
      <c r="B102" s="2">
        <f>HAVERM!M98</f>
        <v>610752</v>
      </c>
      <c r="C102" s="2">
        <f>HAVERM!AH98</f>
        <v>25455</v>
      </c>
      <c r="D102">
        <f t="shared" si="0"/>
        <v>94.42112016655372</v>
      </c>
      <c r="E102">
        <f t="shared" si="1"/>
        <v>111.58763790458099</v>
      </c>
    </row>
    <row r="103" spans="1:5" x14ac:dyDescent="0.35">
      <c r="A103" s="4">
        <f>DATE(LEFT(HAVERM!J99,4),RIGHT(HAVERM!J99,2),1)</f>
        <v>45444</v>
      </c>
      <c r="B103" s="2">
        <f>HAVERM!M99</f>
        <v>625616</v>
      </c>
      <c r="C103" s="2">
        <f>HAVERM!AH99</f>
        <v>16768</v>
      </c>
      <c r="D103">
        <f t="shared" si="0"/>
        <v>96.71906684565694</v>
      </c>
      <c r="E103">
        <f t="shared" si="1"/>
        <v>73.5062468035362</v>
      </c>
    </row>
    <row r="104" spans="1:5" x14ac:dyDescent="0.35">
      <c r="A104" s="4">
        <f>DATE(LEFT(HAVERM!J100,4),RIGHT(HAVERM!J100,2),1)</f>
        <v>45474</v>
      </c>
      <c r="B104" s="2">
        <f>HAVERM!M100</f>
        <v>595960</v>
      </c>
      <c r="C104" s="2">
        <f>HAVERM!AH100</f>
        <v>21212</v>
      </c>
      <c r="D104">
        <f t="shared" si="0"/>
        <v>92.134304553172726</v>
      </c>
      <c r="E104">
        <f t="shared" si="1"/>
        <v>92.987506392927585</v>
      </c>
    </row>
    <row r="105" spans="1:5" x14ac:dyDescent="0.35">
      <c r="A105" s="4">
        <f>DATE(LEFT(HAVERM!J101,4),RIGHT(HAVERM!J101,2),1)</f>
        <v>45505</v>
      </c>
      <c r="B105" s="2">
        <f>HAVERM!M101</f>
        <v>619298</v>
      </c>
      <c r="C105" s="2">
        <f>HAVERM!AH101</f>
        <v>14518</v>
      </c>
      <c r="D105">
        <f t="shared" si="0"/>
        <v>95.742315828530039</v>
      </c>
      <c r="E105">
        <f t="shared" si="1"/>
        <v>63.642872799006355</v>
      </c>
    </row>
    <row r="106" spans="1:5" x14ac:dyDescent="0.35">
      <c r="A106" s="4">
        <f>DATE(LEFT(HAVERM!J102,4),RIGHT(HAVERM!J102,2),1)</f>
        <v>45536</v>
      </c>
      <c r="B106" s="2">
        <f>HAVERM!M102</f>
        <v>607525</v>
      </c>
      <c r="C106" s="2">
        <f>HAVERM!AH102</f>
        <v>22409</v>
      </c>
      <c r="D106">
        <f t="shared" si="0"/>
        <v>93.92223198480815</v>
      </c>
      <c r="E106">
        <f t="shared" si="1"/>
        <v>98.23482136333746</v>
      </c>
    </row>
    <row r="107" spans="1:5" x14ac:dyDescent="0.35">
      <c r="A107" s="4">
        <f>DATE(LEFT(HAVERM!J103,4),RIGHT(HAVERM!J103,2),1)</f>
        <v>45566</v>
      </c>
      <c r="B107" s="2">
        <f>HAVERM!M103</f>
        <v>565730</v>
      </c>
      <c r="C107" s="2">
        <f>HAVERM!AH103</f>
        <v>19559</v>
      </c>
      <c r="D107">
        <f t="shared" si="0"/>
        <v>87.460802931180638</v>
      </c>
      <c r="E107">
        <f t="shared" si="1"/>
        <v>85.741214290933002</v>
      </c>
    </row>
    <row r="108" spans="1:5" x14ac:dyDescent="0.35">
      <c r="A108" s="4">
        <f>DATE(LEFT(HAVERM!J104,4),RIGHT(HAVERM!J104,2),1)</f>
        <v>45597</v>
      </c>
      <c r="B108" s="2">
        <f>HAVERM!M104</f>
        <v>616435</v>
      </c>
      <c r="C108" s="2">
        <f>HAVERM!AH104</f>
        <v>23906</v>
      </c>
      <c r="D108">
        <f t="shared" si="0"/>
        <v>95.299701367935825</v>
      </c>
      <c r="E108">
        <f t="shared" si="1"/>
        <v>104.79725286768466</v>
      </c>
    </row>
    <row r="109" spans="1:5" x14ac:dyDescent="0.35">
      <c r="A109" s="4">
        <f>DATE(LEFT(HAVERM!J105,4),RIGHT(HAVERM!J105,2),1)</f>
        <v>45627</v>
      </c>
      <c r="B109" s="2">
        <f>HAVERM!M105</f>
        <v>621962</v>
      </c>
      <c r="C109" s="2">
        <f>HAVERM!AH105</f>
        <v>20808</v>
      </c>
      <c r="D109">
        <f t="shared" si="0"/>
        <v>96.154165260253066</v>
      </c>
      <c r="E109">
        <f t="shared" si="1"/>
        <v>91.216482793892013</v>
      </c>
    </row>
    <row r="110" spans="1:5" x14ac:dyDescent="0.35">
      <c r="A110" s="4">
        <f>DATE(LEFT(HAVERM!J106,4),RIGHT(HAVERM!J106,2),1)</f>
        <v>45658</v>
      </c>
      <c r="B110" s="2">
        <f>HAVERM!M106</f>
        <v>615566</v>
      </c>
      <c r="C110" s="2">
        <f>HAVERM!AH106</f>
        <v>23199</v>
      </c>
      <c r="D110">
        <f t="shared" si="0"/>
        <v>95.165355588593741</v>
      </c>
      <c r="E110">
        <f t="shared" si="1"/>
        <v>101.69796156937238</v>
      </c>
    </row>
    <row r="111" spans="1:5" x14ac:dyDescent="0.35">
      <c r="A111" s="4">
        <f>DATE(LEFT(HAVERM!J107,4),RIGHT(HAVERM!J107,2),1)</f>
        <v>45689</v>
      </c>
      <c r="B111" s="2">
        <f>HAVERM!M107</f>
        <v>621850</v>
      </c>
      <c r="C111" s="2">
        <f>HAVERM!AH107</f>
        <v>28706</v>
      </c>
      <c r="D111">
        <f t="shared" si="0"/>
        <v>96.136850269129582</v>
      </c>
      <c r="E111">
        <f t="shared" si="1"/>
        <v>125.83911741068165</v>
      </c>
    </row>
    <row r="112" spans="1:5" x14ac:dyDescent="0.35">
      <c r="A112" s="4">
        <f>DATE(LEFT(HAVERM!J108,4),RIGHT(HAVERM!J108,2),1)</f>
        <v>45717</v>
      </c>
      <c r="B112" s="2">
        <f>HAVERM!M108</f>
        <v>620325</v>
      </c>
      <c r="C112" s="2">
        <f>HAVERM!AH108</f>
        <v>31825</v>
      </c>
      <c r="D112">
        <f t="shared" si="0"/>
        <v>95.901088113207052</v>
      </c>
      <c r="E112">
        <f t="shared" si="1"/>
        <v>139.51194564184993</v>
      </c>
    </row>
    <row r="113" spans="1:5" x14ac:dyDescent="0.35">
      <c r="A113" s="4">
        <f>DATE(LEFT(HAVERM!J109,4),RIGHT(HAVERM!J109,2),1)</f>
        <v>45748</v>
      </c>
      <c r="B113" s="2">
        <f>HAVERM!M109</f>
        <v>610089</v>
      </c>
      <c r="C113" s="2">
        <f>HAVERM!AH109</f>
        <v>23769</v>
      </c>
      <c r="D113">
        <f t="shared" si="0"/>
        <v>94.318621603028049</v>
      </c>
      <c r="E113">
        <f t="shared" si="1"/>
        <v>104.19668298385329</v>
      </c>
    </row>
    <row r="114" spans="1:5" x14ac:dyDescent="0.35">
      <c r="A114" s="4">
        <f>DATE(LEFT(HAVERM!J110,4),RIGHT(HAVERM!J110,2),1)</f>
        <v>45778</v>
      </c>
      <c r="B114" s="2"/>
      <c r="C114" s="2">
        <f>HAVERM!AH110</f>
        <v>24615</v>
      </c>
    </row>
    <row r="115" spans="1:5" x14ac:dyDescent="0.35">
      <c r="A115" s="4"/>
      <c r="B115" s="2"/>
      <c r="C115" s="2"/>
    </row>
    <row r="116" spans="1:5" x14ac:dyDescent="0.35">
      <c r="A116" s="4"/>
      <c r="B116" s="2"/>
      <c r="C116" s="2"/>
    </row>
    <row r="117" spans="1:5" x14ac:dyDescent="0.35">
      <c r="A117" s="4"/>
      <c r="B117" s="2"/>
      <c r="C117" s="2"/>
    </row>
    <row r="118" spans="1:5" x14ac:dyDescent="0.35">
      <c r="A118" s="4"/>
      <c r="B118" s="2"/>
      <c r="C118" s="2"/>
    </row>
    <row r="119" spans="1:5" x14ac:dyDescent="0.35">
      <c r="A119" s="4"/>
      <c r="B119" s="2"/>
      <c r="C119" s="2"/>
    </row>
    <row r="120" spans="1:5" x14ac:dyDescent="0.35">
      <c r="A120" s="4"/>
      <c r="B120" s="2"/>
      <c r="C120" s="2"/>
    </row>
    <row r="121" spans="1:5" x14ac:dyDescent="0.35">
      <c r="A121" s="4"/>
      <c r="B121" s="2"/>
      <c r="C121" s="2"/>
    </row>
    <row r="122" spans="1:5" x14ac:dyDescent="0.35">
      <c r="A122" s="4"/>
      <c r="B122" s="2"/>
      <c r="C122" s="2"/>
    </row>
    <row r="123" spans="1:5" x14ac:dyDescent="0.35">
      <c r="A123" s="4"/>
      <c r="B123" s="2"/>
      <c r="C123" s="2"/>
    </row>
    <row r="124" spans="1:5" x14ac:dyDescent="0.35">
      <c r="A124" s="4"/>
      <c r="B124" s="2"/>
      <c r="C124" s="2"/>
    </row>
    <row r="125" spans="1:5" x14ac:dyDescent="0.35">
      <c r="A125" s="4"/>
      <c r="B125" s="2"/>
      <c r="C125" s="2"/>
    </row>
    <row r="126" spans="1:5" x14ac:dyDescent="0.35">
      <c r="A126" s="4"/>
      <c r="B126" s="2"/>
      <c r="C126" s="2"/>
    </row>
    <row r="127" spans="1:5" x14ac:dyDescent="0.35">
      <c r="A127" s="4"/>
      <c r="B127" s="2"/>
      <c r="C127" s="2"/>
    </row>
    <row r="128" spans="1:5" x14ac:dyDescent="0.35">
      <c r="A128" s="4"/>
      <c r="B128" s="2"/>
      <c r="C128" s="2"/>
    </row>
    <row r="129" spans="1:3" x14ac:dyDescent="0.35">
      <c r="A129" s="4"/>
      <c r="B129" s="2"/>
      <c r="C129" s="2"/>
    </row>
    <row r="130" spans="1:3" x14ac:dyDescent="0.35">
      <c r="A130" s="4"/>
      <c r="B130" s="2"/>
      <c r="C130" s="2"/>
    </row>
    <row r="131" spans="1:3" x14ac:dyDescent="0.35">
      <c r="A131" s="4"/>
      <c r="B131" s="2"/>
      <c r="C131" s="2"/>
    </row>
    <row r="132" spans="1:3" x14ac:dyDescent="0.35">
      <c r="A132" s="4"/>
      <c r="B132" s="2"/>
      <c r="C132" s="2"/>
    </row>
    <row r="133" spans="1:3" x14ac:dyDescent="0.35">
      <c r="A133" s="4"/>
      <c r="B133" s="2"/>
      <c r="C133" s="2"/>
    </row>
    <row r="134" spans="1:3" x14ac:dyDescent="0.35">
      <c r="A134" s="4"/>
      <c r="B134" s="2"/>
      <c r="C134" s="2"/>
    </row>
    <row r="135" spans="1:3" x14ac:dyDescent="0.35">
      <c r="A135" s="4"/>
      <c r="B135" s="2"/>
      <c r="C135" s="2"/>
    </row>
    <row r="136" spans="1:3" x14ac:dyDescent="0.35">
      <c r="A136" s="4"/>
      <c r="B136" s="2"/>
      <c r="C136" s="2"/>
    </row>
    <row r="137" spans="1:3" x14ac:dyDescent="0.35">
      <c r="A137" s="4"/>
      <c r="B137" s="2"/>
      <c r="C137" s="2"/>
    </row>
    <row r="138" spans="1:3" x14ac:dyDescent="0.35">
      <c r="A138" s="4"/>
      <c r="B138" s="2"/>
      <c r="C138" s="2"/>
    </row>
    <row r="139" spans="1:3" x14ac:dyDescent="0.35">
      <c r="A139" s="4"/>
      <c r="B139" s="2"/>
      <c r="C139" s="2"/>
    </row>
    <row r="140" spans="1:3" x14ac:dyDescent="0.35">
      <c r="A140" s="4"/>
      <c r="B140" s="2"/>
      <c r="C140" s="2"/>
    </row>
    <row r="141" spans="1:3" x14ac:dyDescent="0.35">
      <c r="A141" s="4"/>
      <c r="B141" s="2"/>
      <c r="C141" s="2"/>
    </row>
    <row r="142" spans="1:3" x14ac:dyDescent="0.35">
      <c r="A142" s="4"/>
      <c r="B142" s="2"/>
      <c r="C142" s="2"/>
    </row>
    <row r="143" spans="1:3" x14ac:dyDescent="0.35">
      <c r="A143" s="4"/>
      <c r="B143" s="2"/>
      <c r="C143" s="2"/>
    </row>
    <row r="144" spans="1:3" x14ac:dyDescent="0.35">
      <c r="A144" s="4"/>
      <c r="B144" s="2"/>
      <c r="C144" s="2"/>
    </row>
    <row r="145" spans="1:3" x14ac:dyDescent="0.35">
      <c r="A145" s="4"/>
      <c r="B145" s="2"/>
      <c r="C145" s="2"/>
    </row>
    <row r="146" spans="1:3" x14ac:dyDescent="0.35">
      <c r="A146" s="4"/>
      <c r="B146" s="2"/>
      <c r="C146" s="2"/>
    </row>
    <row r="147" spans="1:3" x14ac:dyDescent="0.35">
      <c r="A147" s="4"/>
      <c r="B147" s="2"/>
      <c r="C147" s="2"/>
    </row>
    <row r="148" spans="1:3" x14ac:dyDescent="0.35">
      <c r="A148" s="4"/>
      <c r="B148" s="2"/>
      <c r="C148" s="2"/>
    </row>
    <row r="149" spans="1:3" x14ac:dyDescent="0.35">
      <c r="A149" s="4"/>
      <c r="B149" s="2"/>
      <c r="C149" s="2"/>
    </row>
    <row r="150" spans="1:3" x14ac:dyDescent="0.35">
      <c r="A150" s="4"/>
      <c r="B150" s="2"/>
      <c r="C150" s="2"/>
    </row>
    <row r="151" spans="1:3" x14ac:dyDescent="0.35">
      <c r="A151" s="4"/>
      <c r="B151" s="2"/>
      <c r="C151" s="2"/>
    </row>
    <row r="152" spans="1:3" x14ac:dyDescent="0.35">
      <c r="A152" s="4"/>
      <c r="B152" s="2"/>
      <c r="C152" s="2"/>
    </row>
    <row r="153" spans="1:3" x14ac:dyDescent="0.35">
      <c r="A153" s="4"/>
      <c r="B153" s="2"/>
      <c r="C153" s="2"/>
    </row>
    <row r="154" spans="1:3" x14ac:dyDescent="0.35">
      <c r="A154" s="4"/>
      <c r="B154" s="2"/>
      <c r="C154" s="2"/>
    </row>
    <row r="155" spans="1:3" x14ac:dyDescent="0.35">
      <c r="A155" s="4"/>
      <c r="B155" s="2"/>
      <c r="C155" s="2"/>
    </row>
    <row r="156" spans="1:3" x14ac:dyDescent="0.35">
      <c r="A156" s="4"/>
      <c r="B156" s="2"/>
      <c r="C156" s="2"/>
    </row>
    <row r="157" spans="1:3" x14ac:dyDescent="0.35">
      <c r="A157" s="4"/>
      <c r="B157" s="2"/>
      <c r="C157" s="2"/>
    </row>
    <row r="158" spans="1:3" x14ac:dyDescent="0.35">
      <c r="A158" s="4"/>
      <c r="B158" s="2"/>
      <c r="C158" s="2"/>
    </row>
    <row r="159" spans="1:3" x14ac:dyDescent="0.35">
      <c r="A159" s="4"/>
      <c r="B159" s="2"/>
      <c r="C159" s="2"/>
    </row>
    <row r="160" spans="1:3" x14ac:dyDescent="0.35">
      <c r="A160" s="4"/>
      <c r="B160" s="2"/>
      <c r="C160" s="2"/>
    </row>
    <row r="161" spans="1:3" x14ac:dyDescent="0.35">
      <c r="A161" s="4"/>
      <c r="B161" s="2"/>
      <c r="C161" s="2"/>
    </row>
    <row r="162" spans="1:3" x14ac:dyDescent="0.35">
      <c r="A162" s="4"/>
      <c r="B162" s="2"/>
      <c r="C162" s="2"/>
    </row>
    <row r="163" spans="1:3" x14ac:dyDescent="0.35">
      <c r="A163" s="4"/>
      <c r="B163" s="2"/>
      <c r="C163" s="2"/>
    </row>
    <row r="164" spans="1:3" x14ac:dyDescent="0.35">
      <c r="A164" s="4"/>
      <c r="B164" s="2"/>
      <c r="C164" s="2"/>
    </row>
    <row r="165" spans="1:3" x14ac:dyDescent="0.35">
      <c r="A165" s="4"/>
      <c r="B165" s="2"/>
      <c r="C165" s="2"/>
    </row>
    <row r="166" spans="1:3" x14ac:dyDescent="0.35">
      <c r="A166" s="4"/>
      <c r="B166" s="2"/>
      <c r="C166" s="2"/>
    </row>
    <row r="167" spans="1:3" x14ac:dyDescent="0.35">
      <c r="A167" s="4"/>
      <c r="B167" s="2"/>
      <c r="C167" s="2"/>
    </row>
    <row r="168" spans="1:3" x14ac:dyDescent="0.35">
      <c r="A168" s="4"/>
      <c r="B168" s="2"/>
      <c r="C168" s="2"/>
    </row>
    <row r="169" spans="1:3" x14ac:dyDescent="0.35">
      <c r="A169" s="4"/>
      <c r="B169" s="2"/>
      <c r="C169" s="2"/>
    </row>
    <row r="170" spans="1:3" x14ac:dyDescent="0.35">
      <c r="A170" s="4"/>
      <c r="B170" s="2"/>
      <c r="C170" s="2"/>
    </row>
    <row r="171" spans="1:3" x14ac:dyDescent="0.35">
      <c r="A171" s="4"/>
      <c r="B171" s="2"/>
      <c r="C171" s="2"/>
    </row>
    <row r="172" spans="1:3" x14ac:dyDescent="0.35">
      <c r="A172" s="4"/>
      <c r="B172" s="2"/>
      <c r="C172" s="2"/>
    </row>
    <row r="173" spans="1:3" x14ac:dyDescent="0.35">
      <c r="A173" s="4"/>
      <c r="B173" s="2"/>
      <c r="C173" s="2"/>
    </row>
    <row r="174" spans="1:3" x14ac:dyDescent="0.35">
      <c r="A174" s="4"/>
      <c r="B174" s="2"/>
      <c r="C174" s="2"/>
    </row>
    <row r="175" spans="1:3" x14ac:dyDescent="0.35">
      <c r="A175" s="4"/>
      <c r="B175" s="2"/>
      <c r="C175" s="2"/>
    </row>
    <row r="176" spans="1:3" x14ac:dyDescent="0.35">
      <c r="A176" s="4"/>
      <c r="B176" s="2"/>
      <c r="C176" s="2"/>
    </row>
    <row r="177" spans="1:3" x14ac:dyDescent="0.35">
      <c r="A177" s="4"/>
      <c r="B177" s="2"/>
      <c r="C177" s="2"/>
    </row>
    <row r="178" spans="1:3" x14ac:dyDescent="0.35">
      <c r="A178" s="4"/>
      <c r="B178" s="2"/>
      <c r="C178" s="2"/>
    </row>
    <row r="179" spans="1:3" x14ac:dyDescent="0.35">
      <c r="A179" s="4"/>
      <c r="B179" s="2"/>
      <c r="C179" s="2"/>
    </row>
    <row r="180" spans="1:3" x14ac:dyDescent="0.35">
      <c r="A180" s="4"/>
      <c r="B180" s="2"/>
      <c r="C180" s="2"/>
    </row>
    <row r="181" spans="1:3" x14ac:dyDescent="0.35">
      <c r="A181" s="4"/>
      <c r="B181" s="2"/>
      <c r="C181" s="2"/>
    </row>
    <row r="182" spans="1:3" x14ac:dyDescent="0.35">
      <c r="A182" s="4"/>
      <c r="B182" s="2"/>
      <c r="C182" s="2"/>
    </row>
    <row r="183" spans="1:3" x14ac:dyDescent="0.35">
      <c r="A183" s="4"/>
      <c r="B183" s="2"/>
      <c r="C183" s="2"/>
    </row>
    <row r="184" spans="1:3" x14ac:dyDescent="0.35">
      <c r="A184" s="4"/>
      <c r="B184" s="2"/>
      <c r="C184" s="2"/>
    </row>
    <row r="185" spans="1:3" x14ac:dyDescent="0.35">
      <c r="A185" s="4"/>
      <c r="B185" s="2"/>
      <c r="C185" s="2"/>
    </row>
    <row r="186" spans="1:3" x14ac:dyDescent="0.35">
      <c r="A186" s="4"/>
      <c r="B186" s="2"/>
      <c r="C186" s="2"/>
    </row>
    <row r="187" spans="1:3" x14ac:dyDescent="0.35">
      <c r="A187" s="4"/>
      <c r="B187" s="2"/>
      <c r="C187" s="2"/>
    </row>
    <row r="188" spans="1:3" x14ac:dyDescent="0.35">
      <c r="A188" s="4"/>
      <c r="B188" s="2"/>
      <c r="C188" s="2"/>
    </row>
    <row r="189" spans="1:3" x14ac:dyDescent="0.35">
      <c r="A189" s="4"/>
      <c r="B189" s="2"/>
      <c r="C189" s="2"/>
    </row>
    <row r="190" spans="1:3" x14ac:dyDescent="0.35">
      <c r="A190" s="4"/>
      <c r="B190" s="2"/>
      <c r="C190" s="2"/>
    </row>
    <row r="191" spans="1:3" x14ac:dyDescent="0.35">
      <c r="A191" s="4"/>
      <c r="B191" s="2"/>
      <c r="C191" s="2"/>
    </row>
    <row r="192" spans="1:3" x14ac:dyDescent="0.35">
      <c r="A192" s="4"/>
      <c r="B192" s="2"/>
      <c r="C192" s="2"/>
    </row>
    <row r="193" spans="1:3" x14ac:dyDescent="0.35">
      <c r="A193" s="4"/>
      <c r="B193" s="2"/>
      <c r="C193" s="2"/>
    </row>
    <row r="194" spans="1:3" x14ac:dyDescent="0.35">
      <c r="A194" s="4"/>
      <c r="B194" s="2"/>
      <c r="C194" s="2"/>
    </row>
    <row r="195" spans="1:3" x14ac:dyDescent="0.35">
      <c r="A195" s="4"/>
      <c r="B195" s="2"/>
      <c r="C195" s="2"/>
    </row>
    <row r="196" spans="1:3" x14ac:dyDescent="0.35">
      <c r="A196" s="4"/>
      <c r="B196" s="2"/>
      <c r="C196" s="2"/>
    </row>
    <row r="197" spans="1:3" x14ac:dyDescent="0.35">
      <c r="A197" s="4"/>
      <c r="B197" s="2"/>
      <c r="C197" s="2"/>
    </row>
    <row r="198" spans="1:3" x14ac:dyDescent="0.35">
      <c r="A198" s="4"/>
      <c r="B198" s="2"/>
      <c r="C198" s="2"/>
    </row>
    <row r="199" spans="1:3" x14ac:dyDescent="0.35">
      <c r="A199" s="4"/>
      <c r="B199" s="2"/>
      <c r="C199" s="2"/>
    </row>
    <row r="200" spans="1:3" x14ac:dyDescent="0.35">
      <c r="A200" s="4"/>
      <c r="B200" s="2"/>
      <c r="C200" s="2"/>
    </row>
    <row r="201" spans="1:3" x14ac:dyDescent="0.35">
      <c r="A201" s="4"/>
      <c r="B201" s="2"/>
      <c r="C201" s="2"/>
    </row>
    <row r="202" spans="1:3" x14ac:dyDescent="0.35">
      <c r="A202" s="4"/>
      <c r="B202" s="2"/>
      <c r="C202" s="2"/>
    </row>
    <row r="203" spans="1:3" x14ac:dyDescent="0.35">
      <c r="A203" s="4"/>
      <c r="B203" s="2"/>
      <c r="C203" s="2"/>
    </row>
    <row r="204" spans="1:3" x14ac:dyDescent="0.35">
      <c r="A204" s="4"/>
      <c r="B204" s="2"/>
      <c r="C204" s="2"/>
    </row>
    <row r="205" spans="1:3" x14ac:dyDescent="0.35">
      <c r="A205" s="4"/>
      <c r="B205" s="2"/>
      <c r="C205" s="2"/>
    </row>
    <row r="206" spans="1:3" x14ac:dyDescent="0.35">
      <c r="A206" s="4"/>
      <c r="B206" s="2"/>
      <c r="C206" s="2"/>
    </row>
    <row r="207" spans="1:3" x14ac:dyDescent="0.35">
      <c r="A207" s="4"/>
      <c r="B207" s="2"/>
      <c r="C207" s="2"/>
    </row>
    <row r="208" spans="1:3" x14ac:dyDescent="0.35">
      <c r="A208" s="4"/>
      <c r="B208" s="2"/>
      <c r="C208" s="2"/>
    </row>
    <row r="209" spans="1:3" x14ac:dyDescent="0.35">
      <c r="A209" s="4"/>
      <c r="B209" s="2"/>
      <c r="C209" s="2"/>
    </row>
    <row r="210" spans="1:3" x14ac:dyDescent="0.35">
      <c r="A210" s="4"/>
      <c r="B210" s="2"/>
      <c r="C210" s="2"/>
    </row>
    <row r="211" spans="1:3" x14ac:dyDescent="0.35">
      <c r="A211" s="4"/>
      <c r="B211" s="2"/>
      <c r="C211" s="2"/>
    </row>
    <row r="212" spans="1:3" x14ac:dyDescent="0.35">
      <c r="A212" s="4"/>
      <c r="B212" s="2"/>
      <c r="C212" s="2"/>
    </row>
    <row r="213" spans="1:3" x14ac:dyDescent="0.35">
      <c r="A213" s="4"/>
      <c r="B213" s="2"/>
      <c r="C213" s="2"/>
    </row>
    <row r="214" spans="1:3" x14ac:dyDescent="0.35">
      <c r="A214" s="4"/>
      <c r="B214" s="2"/>
      <c r="C214" s="2"/>
    </row>
    <row r="215" spans="1:3" x14ac:dyDescent="0.35">
      <c r="A215" s="4"/>
      <c r="B215" s="2"/>
      <c r="C215" s="2"/>
    </row>
    <row r="216" spans="1:3" x14ac:dyDescent="0.35">
      <c r="A216" s="4"/>
      <c r="B216" s="2"/>
      <c r="C216" s="2"/>
    </row>
    <row r="217" spans="1:3" x14ac:dyDescent="0.35">
      <c r="A217" s="4"/>
      <c r="B217" s="2"/>
      <c r="C217" s="2"/>
    </row>
    <row r="218" spans="1:3" x14ac:dyDescent="0.35">
      <c r="A218" s="4"/>
      <c r="B218" s="2"/>
      <c r="C218" s="2"/>
    </row>
    <row r="219" spans="1:3" x14ac:dyDescent="0.35">
      <c r="A219" s="4"/>
      <c r="B219" s="2"/>
      <c r="C219" s="2"/>
    </row>
    <row r="220" spans="1:3" x14ac:dyDescent="0.35">
      <c r="A220" s="4"/>
      <c r="B220" s="2"/>
      <c r="C220" s="2"/>
    </row>
    <row r="221" spans="1:3" x14ac:dyDescent="0.35">
      <c r="A221" s="4"/>
      <c r="B221" s="2"/>
      <c r="C221" s="2"/>
    </row>
    <row r="222" spans="1:3" x14ac:dyDescent="0.35">
      <c r="A222" s="4"/>
      <c r="B222" s="2"/>
      <c r="C222" s="2"/>
    </row>
    <row r="223" spans="1:3" x14ac:dyDescent="0.35">
      <c r="A223" s="4"/>
      <c r="B223" s="2"/>
      <c r="C223" s="2"/>
    </row>
    <row r="224" spans="1:3" x14ac:dyDescent="0.35">
      <c r="A224" s="4"/>
      <c r="B224" s="2"/>
      <c r="C224" s="2"/>
    </row>
    <row r="225" spans="1:3" x14ac:dyDescent="0.35">
      <c r="A225" s="4"/>
      <c r="B225" s="2"/>
      <c r="C225" s="2"/>
    </row>
    <row r="226" spans="1:3" x14ac:dyDescent="0.35">
      <c r="A226" s="4"/>
      <c r="B226" s="2"/>
      <c r="C226" s="2"/>
    </row>
    <row r="227" spans="1:3" x14ac:dyDescent="0.35">
      <c r="A227" s="4"/>
      <c r="B227" s="2"/>
      <c r="C227" s="2"/>
    </row>
    <row r="228" spans="1:3" x14ac:dyDescent="0.35">
      <c r="A228" s="4"/>
      <c r="B228" s="2"/>
      <c r="C228" s="2"/>
    </row>
    <row r="229" spans="1:3" x14ac:dyDescent="0.35">
      <c r="A229" s="4"/>
      <c r="B229" s="2"/>
      <c r="C229" s="2"/>
    </row>
    <row r="230" spans="1:3" x14ac:dyDescent="0.35">
      <c r="A230" s="4"/>
      <c r="B230" s="2"/>
      <c r="C230" s="2"/>
    </row>
    <row r="231" spans="1:3" x14ac:dyDescent="0.35">
      <c r="A231" s="4"/>
      <c r="B231" s="2"/>
      <c r="C231" s="2"/>
    </row>
    <row r="232" spans="1:3" x14ac:dyDescent="0.35">
      <c r="A232" s="4"/>
      <c r="B232" s="2"/>
      <c r="C232" s="2"/>
    </row>
    <row r="233" spans="1:3" x14ac:dyDescent="0.35">
      <c r="A233" s="4"/>
      <c r="B233" s="2"/>
      <c r="C233" s="2"/>
    </row>
    <row r="234" spans="1:3" x14ac:dyDescent="0.35">
      <c r="A234" s="4"/>
      <c r="B234" s="2"/>
      <c r="C234" s="2"/>
    </row>
    <row r="235" spans="1:3" x14ac:dyDescent="0.35">
      <c r="A235" s="4"/>
      <c r="B235" s="2"/>
      <c r="C235" s="2"/>
    </row>
    <row r="236" spans="1:3" x14ac:dyDescent="0.35">
      <c r="A236" s="4"/>
      <c r="B236" s="2"/>
      <c r="C236" s="2"/>
    </row>
    <row r="237" spans="1:3" x14ac:dyDescent="0.35">
      <c r="A237" s="4"/>
      <c r="B237" s="2"/>
      <c r="C237" s="2"/>
    </row>
    <row r="238" spans="1:3" x14ac:dyDescent="0.35">
      <c r="A238" s="4"/>
      <c r="B238" s="2"/>
      <c r="C238" s="2"/>
    </row>
    <row r="239" spans="1:3" x14ac:dyDescent="0.35">
      <c r="A239" s="4"/>
      <c r="B239" s="2"/>
      <c r="C239" s="2"/>
    </row>
    <row r="240" spans="1:3" x14ac:dyDescent="0.35">
      <c r="A240" s="4"/>
      <c r="B240" s="2"/>
      <c r="C240" s="2"/>
    </row>
    <row r="241" spans="1:3" x14ac:dyDescent="0.35">
      <c r="A241" s="4"/>
      <c r="B241" s="2"/>
      <c r="C241" s="2"/>
    </row>
    <row r="242" spans="1:3" x14ac:dyDescent="0.35">
      <c r="A242" s="4"/>
      <c r="B242" s="2"/>
      <c r="C242" s="2"/>
    </row>
    <row r="243" spans="1:3" x14ac:dyDescent="0.35">
      <c r="A243" s="4"/>
      <c r="B243" s="2"/>
      <c r="C243" s="2"/>
    </row>
    <row r="244" spans="1:3" x14ac:dyDescent="0.35">
      <c r="A244" s="4"/>
      <c r="B244" s="2"/>
      <c r="C244" s="2"/>
    </row>
    <row r="245" spans="1:3" x14ac:dyDescent="0.35">
      <c r="A245" s="4"/>
      <c r="B245" s="2"/>
      <c r="C245" s="2"/>
    </row>
    <row r="246" spans="1:3" x14ac:dyDescent="0.35">
      <c r="A246" s="4"/>
      <c r="B246" s="2"/>
      <c r="C246" s="2"/>
    </row>
    <row r="247" spans="1:3" x14ac:dyDescent="0.35">
      <c r="A247" s="4"/>
      <c r="B247" s="2"/>
      <c r="C247" s="2"/>
    </row>
    <row r="248" spans="1:3" x14ac:dyDescent="0.35">
      <c r="A248" s="4"/>
      <c r="B248" s="2"/>
      <c r="C248" s="2"/>
    </row>
    <row r="249" spans="1:3" x14ac:dyDescent="0.35">
      <c r="A249" s="4"/>
      <c r="B249" s="2"/>
      <c r="C249" s="2"/>
    </row>
    <row r="250" spans="1:3" x14ac:dyDescent="0.35">
      <c r="A250" s="4"/>
      <c r="B250" s="2"/>
      <c r="C250" s="2"/>
    </row>
    <row r="251" spans="1:3" x14ac:dyDescent="0.35">
      <c r="A251" s="4"/>
      <c r="B251" s="2"/>
      <c r="C251" s="2"/>
    </row>
    <row r="252" spans="1:3" x14ac:dyDescent="0.35">
      <c r="A252" s="4"/>
      <c r="B252" s="2"/>
      <c r="C252" s="2"/>
    </row>
    <row r="253" spans="1:3" x14ac:dyDescent="0.35">
      <c r="A253" s="4"/>
      <c r="B253" s="2"/>
      <c r="C253" s="2"/>
    </row>
    <row r="254" spans="1:3" x14ac:dyDescent="0.35">
      <c r="A254" s="4"/>
      <c r="B254" s="2"/>
      <c r="C254" s="2"/>
    </row>
    <row r="255" spans="1:3" x14ac:dyDescent="0.35">
      <c r="A255" s="4"/>
      <c r="B255" s="2"/>
      <c r="C255" s="2"/>
    </row>
    <row r="256" spans="1:3" x14ac:dyDescent="0.35">
      <c r="A256" s="4"/>
      <c r="B256" s="2"/>
      <c r="C256" s="2"/>
    </row>
    <row r="257" spans="1:3" x14ac:dyDescent="0.35">
      <c r="A257" s="4"/>
      <c r="B257" s="2"/>
      <c r="C25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7ADD-1DFA-497F-B2FC-9E65FAA0C71D}">
  <dimension ref="J5:AI110"/>
  <sheetViews>
    <sheetView workbookViewId="0">
      <pane xSplit="10" ySplit="9" topLeftCell="K94" activePane="bottomRight" state="frozen"/>
      <selection pane="topRight" activeCell="K1" sqref="K1"/>
      <selection pane="bottomLeft" activeCell="A10" sqref="A10"/>
      <selection pane="bottomRight" activeCell="N110" sqref="N110"/>
    </sheetView>
  </sheetViews>
  <sheetFormatPr defaultRowHeight="14.5" x14ac:dyDescent="0.35"/>
  <sheetData>
    <row r="5" spans="10:35" x14ac:dyDescent="0.35">
      <c r="J5" s="1" t="s">
        <v>24</v>
      </c>
      <c r="K5" t="s">
        <v>1</v>
      </c>
      <c r="L5" t="s">
        <v>2</v>
      </c>
      <c r="M5" t="s">
        <v>3</v>
      </c>
      <c r="N5" t="s">
        <v>4</v>
      </c>
      <c r="O5" t="s">
        <v>5</v>
      </c>
      <c r="P5" t="s">
        <v>6</v>
      </c>
      <c r="Q5" t="s">
        <v>7</v>
      </c>
      <c r="R5" t="s">
        <v>8</v>
      </c>
      <c r="S5" t="s">
        <v>9</v>
      </c>
      <c r="T5" t="s">
        <v>10</v>
      </c>
      <c r="U5" t="s">
        <v>11</v>
      </c>
      <c r="V5" t="s">
        <v>12</v>
      </c>
      <c r="W5" t="s">
        <v>13</v>
      </c>
      <c r="X5" t="s">
        <v>14</v>
      </c>
      <c r="Y5" t="s">
        <v>15</v>
      </c>
      <c r="Z5" t="s">
        <v>16</v>
      </c>
      <c r="AA5" t="s">
        <v>17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233</v>
      </c>
      <c r="AI5" t="s">
        <v>0</v>
      </c>
    </row>
    <row r="6" spans="10:35" x14ac:dyDescent="0.35">
      <c r="J6" t="s">
        <v>29</v>
      </c>
      <c r="K6" t="s">
        <v>33</v>
      </c>
      <c r="L6" t="s">
        <v>34</v>
      </c>
      <c r="M6" t="s">
        <v>35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D6" t="s">
        <v>54</v>
      </c>
      <c r="AE6" t="s">
        <v>55</v>
      </c>
      <c r="AF6" t="s">
        <v>56</v>
      </c>
      <c r="AG6" t="s">
        <v>57</v>
      </c>
      <c r="AH6" t="s">
        <v>236</v>
      </c>
      <c r="AI6" t="s">
        <v>239</v>
      </c>
    </row>
    <row r="7" spans="10:35" x14ac:dyDescent="0.35">
      <c r="J7" t="s">
        <v>28</v>
      </c>
      <c r="K7" t="s">
        <v>32</v>
      </c>
      <c r="L7" t="s">
        <v>32</v>
      </c>
      <c r="M7" t="s">
        <v>32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235</v>
      </c>
      <c r="AI7" t="s">
        <v>238</v>
      </c>
    </row>
    <row r="8" spans="10:35" x14ac:dyDescent="0.35">
      <c r="J8" t="s">
        <v>27</v>
      </c>
      <c r="K8" t="s">
        <v>31</v>
      </c>
      <c r="L8" t="s">
        <v>31</v>
      </c>
      <c r="M8" t="s">
        <v>31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31</v>
      </c>
    </row>
    <row r="9" spans="10:35" x14ac:dyDescent="0.35">
      <c r="J9" t="s">
        <v>26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30</v>
      </c>
      <c r="AH9" t="s">
        <v>234</v>
      </c>
      <c r="AI9" t="s">
        <v>237</v>
      </c>
    </row>
    <row r="10" spans="10:35" x14ac:dyDescent="0.35">
      <c r="J10" t="s">
        <v>25</v>
      </c>
      <c r="K10" s="2">
        <v>7884</v>
      </c>
      <c r="L10" s="2">
        <v>665559</v>
      </c>
      <c r="M10" s="2">
        <v>657675</v>
      </c>
      <c r="N10" s="2">
        <v>181714</v>
      </c>
      <c r="O10" s="2">
        <v>48543</v>
      </c>
      <c r="P10" s="2">
        <v>2401843</v>
      </c>
      <c r="Q10" s="2">
        <v>101879</v>
      </c>
      <c r="R10" s="2">
        <v>167124</v>
      </c>
      <c r="S10" s="2">
        <v>1197052</v>
      </c>
      <c r="T10" s="2">
        <v>4504148</v>
      </c>
      <c r="U10" s="2">
        <v>1258528</v>
      </c>
      <c r="V10" s="2">
        <v>1947038</v>
      </c>
      <c r="W10" s="2">
        <v>1134830</v>
      </c>
      <c r="X10" s="2">
        <v>1077510</v>
      </c>
      <c r="Y10" s="2">
        <v>409208</v>
      </c>
      <c r="Z10" s="2">
        <v>1998212</v>
      </c>
      <c r="AA10" s="2">
        <v>2407474</v>
      </c>
      <c r="AB10" s="2">
        <v>1420862</v>
      </c>
      <c r="AC10" s="2">
        <v>2997669</v>
      </c>
      <c r="AD10" s="2">
        <v>3633454</v>
      </c>
      <c r="AE10" s="2">
        <v>578483</v>
      </c>
      <c r="AF10" s="2">
        <v>520626</v>
      </c>
      <c r="AG10" s="2">
        <v>106138</v>
      </c>
      <c r="AH10" s="2">
        <v>29332</v>
      </c>
      <c r="AI10" s="6">
        <v>764</v>
      </c>
    </row>
    <row r="11" spans="10:35" x14ac:dyDescent="0.35">
      <c r="J11" t="s">
        <v>58</v>
      </c>
      <c r="K11" s="2">
        <v>40110</v>
      </c>
      <c r="L11" s="2">
        <v>682700</v>
      </c>
      <c r="M11" s="2">
        <v>642590</v>
      </c>
      <c r="N11" s="2">
        <v>181842</v>
      </c>
      <c r="O11" s="2">
        <v>48605</v>
      </c>
      <c r="P11" s="2">
        <v>2405098</v>
      </c>
      <c r="Q11" s="2">
        <v>102048</v>
      </c>
      <c r="R11" s="2">
        <v>167850</v>
      </c>
      <c r="S11" s="2">
        <v>1203664</v>
      </c>
      <c r="T11" s="2">
        <v>4500487</v>
      </c>
      <c r="U11" s="2">
        <v>1264134</v>
      </c>
      <c r="V11" s="2">
        <v>1953471</v>
      </c>
      <c r="W11" s="2">
        <v>1136121</v>
      </c>
      <c r="X11" s="2">
        <v>1078088</v>
      </c>
      <c r="Y11" s="2">
        <v>409774</v>
      </c>
      <c r="Z11" s="2">
        <v>2001466</v>
      </c>
      <c r="AA11" s="2">
        <v>2410297</v>
      </c>
      <c r="AB11" s="2">
        <v>1420878</v>
      </c>
      <c r="AC11" s="2">
        <v>2999284</v>
      </c>
      <c r="AD11" s="2">
        <v>3639992</v>
      </c>
      <c r="AE11" s="2">
        <v>581481</v>
      </c>
      <c r="AF11" s="2">
        <v>521317</v>
      </c>
      <c r="AG11" s="2">
        <v>106551</v>
      </c>
      <c r="AH11" s="2">
        <v>23593</v>
      </c>
      <c r="AI11" s="6">
        <v>771</v>
      </c>
    </row>
    <row r="12" spans="10:35" x14ac:dyDescent="0.35">
      <c r="J12" t="s">
        <v>59</v>
      </c>
      <c r="K12" s="2">
        <v>39314</v>
      </c>
      <c r="L12" s="2">
        <v>682127</v>
      </c>
      <c r="M12" s="2">
        <v>642813</v>
      </c>
      <c r="N12" s="2">
        <v>181881</v>
      </c>
      <c r="O12" s="2">
        <v>48981</v>
      </c>
      <c r="P12" s="2">
        <v>2406415</v>
      </c>
      <c r="Q12" s="2">
        <v>102098</v>
      </c>
      <c r="R12" s="2">
        <v>168675</v>
      </c>
      <c r="S12" s="2">
        <v>1208222</v>
      </c>
      <c r="T12" s="2">
        <v>4498066</v>
      </c>
      <c r="U12" s="2">
        <v>1272009</v>
      </c>
      <c r="V12" s="2">
        <v>1963472</v>
      </c>
      <c r="W12" s="2">
        <v>1137367</v>
      </c>
      <c r="X12" s="2">
        <v>1076194</v>
      </c>
      <c r="Y12" s="2">
        <v>409947</v>
      </c>
      <c r="Z12" s="2">
        <v>2006335</v>
      </c>
      <c r="AA12" s="2">
        <v>2414681</v>
      </c>
      <c r="AB12" s="2">
        <v>1421731</v>
      </c>
      <c r="AC12" s="2">
        <v>3001756</v>
      </c>
      <c r="AD12" s="2">
        <v>3644924</v>
      </c>
      <c r="AE12" s="2">
        <v>579740</v>
      </c>
      <c r="AF12" s="2">
        <v>522287</v>
      </c>
      <c r="AG12" s="2">
        <v>106981</v>
      </c>
      <c r="AH12" s="2">
        <v>28578</v>
      </c>
      <c r="AI12" s="6">
        <v>791</v>
      </c>
    </row>
    <row r="13" spans="10:35" x14ac:dyDescent="0.35">
      <c r="J13" t="s">
        <v>60</v>
      </c>
      <c r="K13" s="2">
        <v>34249</v>
      </c>
      <c r="L13" s="2">
        <v>678453</v>
      </c>
      <c r="M13" s="2">
        <v>644204</v>
      </c>
      <c r="N13" s="2">
        <v>182308</v>
      </c>
      <c r="O13" s="2">
        <v>48489</v>
      </c>
      <c r="P13" s="2">
        <v>2409801</v>
      </c>
      <c r="Q13" s="2">
        <v>102357</v>
      </c>
      <c r="R13" s="2">
        <v>168049</v>
      </c>
      <c r="S13" s="2">
        <v>1208464</v>
      </c>
      <c r="T13" s="2">
        <v>4508802</v>
      </c>
      <c r="U13" s="2">
        <v>1273040</v>
      </c>
      <c r="V13" s="2">
        <v>1964245</v>
      </c>
      <c r="W13" s="2">
        <v>1139663</v>
      </c>
      <c r="X13" s="2">
        <v>1077647</v>
      </c>
      <c r="Y13" s="2">
        <v>410102</v>
      </c>
      <c r="Z13" s="2">
        <v>2011093</v>
      </c>
      <c r="AA13" s="2">
        <v>2424508</v>
      </c>
      <c r="AB13" s="2">
        <v>1420878</v>
      </c>
      <c r="AC13" s="2">
        <v>2994724</v>
      </c>
      <c r="AD13" s="2">
        <v>3649211</v>
      </c>
      <c r="AE13" s="2">
        <v>582704</v>
      </c>
      <c r="AF13" s="2">
        <v>522701</v>
      </c>
      <c r="AG13" s="2">
        <v>107225</v>
      </c>
      <c r="AH13" s="2">
        <v>19543</v>
      </c>
      <c r="AI13" s="6">
        <v>786</v>
      </c>
    </row>
    <row r="14" spans="10:35" x14ac:dyDescent="0.35">
      <c r="J14" t="s">
        <v>61</v>
      </c>
      <c r="K14" s="2">
        <v>40698</v>
      </c>
      <c r="L14" s="2">
        <v>686841</v>
      </c>
      <c r="M14" s="2">
        <v>646143</v>
      </c>
      <c r="N14" s="2">
        <v>182432</v>
      </c>
      <c r="O14" s="2">
        <v>48559</v>
      </c>
      <c r="P14" s="2">
        <v>2411552</v>
      </c>
      <c r="Q14" s="2">
        <v>102425</v>
      </c>
      <c r="R14" s="2">
        <v>168835</v>
      </c>
      <c r="S14" s="2">
        <v>1211272</v>
      </c>
      <c r="T14" s="2">
        <v>4508012</v>
      </c>
      <c r="U14" s="2">
        <v>1274781</v>
      </c>
      <c r="V14" s="2">
        <v>1967451</v>
      </c>
      <c r="W14" s="2">
        <v>1142750</v>
      </c>
      <c r="X14" s="2">
        <v>1075914</v>
      </c>
      <c r="Y14" s="2">
        <v>410837</v>
      </c>
      <c r="Z14" s="2">
        <v>2022660</v>
      </c>
      <c r="AA14" s="2">
        <v>2430162</v>
      </c>
      <c r="AB14" s="2">
        <v>1422810</v>
      </c>
      <c r="AC14" s="2">
        <v>2991815</v>
      </c>
      <c r="AD14" s="2">
        <v>3657842</v>
      </c>
      <c r="AE14" s="2">
        <v>585101</v>
      </c>
      <c r="AF14" s="2">
        <v>523969</v>
      </c>
      <c r="AG14" s="2">
        <v>107530</v>
      </c>
      <c r="AH14" s="2">
        <v>37364</v>
      </c>
      <c r="AI14" s="6">
        <v>786</v>
      </c>
    </row>
    <row r="15" spans="10:35" x14ac:dyDescent="0.35">
      <c r="J15" t="s">
        <v>62</v>
      </c>
      <c r="K15" s="2">
        <v>34350</v>
      </c>
      <c r="L15" s="2">
        <v>676578</v>
      </c>
      <c r="M15" s="2">
        <v>642228</v>
      </c>
      <c r="N15" s="2">
        <v>182209</v>
      </c>
      <c r="O15" s="2">
        <v>48654</v>
      </c>
      <c r="P15" s="2">
        <v>2413468</v>
      </c>
      <c r="Q15" s="2">
        <v>102484</v>
      </c>
      <c r="R15" s="2">
        <v>168951</v>
      </c>
      <c r="S15" s="2">
        <v>1213536</v>
      </c>
      <c r="T15" s="2">
        <v>4502089</v>
      </c>
      <c r="U15" s="2">
        <v>1276530</v>
      </c>
      <c r="V15" s="2">
        <v>1972841</v>
      </c>
      <c r="W15" s="2">
        <v>1143454</v>
      </c>
      <c r="X15" s="2">
        <v>1074659</v>
      </c>
      <c r="Y15" s="2">
        <v>410808</v>
      </c>
      <c r="Z15" s="2">
        <v>2026899</v>
      </c>
      <c r="AA15" s="2">
        <v>2434505</v>
      </c>
      <c r="AB15" s="2">
        <v>1429402</v>
      </c>
      <c r="AC15" s="2">
        <v>3001441</v>
      </c>
      <c r="AD15" s="2">
        <v>3661784</v>
      </c>
      <c r="AE15" s="2">
        <v>585043</v>
      </c>
      <c r="AF15" s="2">
        <v>524425</v>
      </c>
      <c r="AG15" s="2">
        <v>107878</v>
      </c>
      <c r="AH15" s="2">
        <v>19518</v>
      </c>
      <c r="AI15" s="6">
        <v>784</v>
      </c>
    </row>
    <row r="16" spans="10:35" x14ac:dyDescent="0.35">
      <c r="J16" t="s">
        <v>63</v>
      </c>
      <c r="K16" s="2">
        <v>20974</v>
      </c>
      <c r="L16" s="2">
        <v>676046</v>
      </c>
      <c r="M16" s="2">
        <v>655072</v>
      </c>
      <c r="N16" s="2">
        <v>182498</v>
      </c>
      <c r="O16" s="2">
        <v>48647</v>
      </c>
      <c r="P16" s="2">
        <v>2414847</v>
      </c>
      <c r="Q16" s="2">
        <v>102574</v>
      </c>
      <c r="R16" s="2">
        <v>169004</v>
      </c>
      <c r="S16" s="2">
        <v>1215226</v>
      </c>
      <c r="T16" s="2">
        <v>4504327</v>
      </c>
      <c r="U16" s="2">
        <v>1278218</v>
      </c>
      <c r="V16" s="2">
        <v>1980896</v>
      </c>
      <c r="W16" s="2">
        <v>1142286</v>
      </c>
      <c r="X16" s="2">
        <v>1074498</v>
      </c>
      <c r="Y16" s="2">
        <v>410787</v>
      </c>
      <c r="Z16" s="2">
        <v>2029550</v>
      </c>
      <c r="AA16" s="2">
        <v>2438446</v>
      </c>
      <c r="AB16" s="2">
        <v>1424419</v>
      </c>
      <c r="AC16" s="2">
        <v>3004983</v>
      </c>
      <c r="AD16" s="2">
        <v>3662852</v>
      </c>
      <c r="AE16" s="2">
        <v>585322</v>
      </c>
      <c r="AF16" s="2">
        <v>524685</v>
      </c>
      <c r="AG16" s="2">
        <v>107967</v>
      </c>
      <c r="AH16" s="2">
        <v>21370</v>
      </c>
      <c r="AI16" s="6">
        <v>793</v>
      </c>
    </row>
    <row r="17" spans="10:35" x14ac:dyDescent="0.35">
      <c r="J17" t="s">
        <v>64</v>
      </c>
      <c r="K17" s="2">
        <v>35190</v>
      </c>
      <c r="L17" s="2">
        <v>680466</v>
      </c>
      <c r="M17" s="2">
        <v>645276</v>
      </c>
      <c r="N17" s="2">
        <v>182930</v>
      </c>
      <c r="O17" s="2">
        <v>48817</v>
      </c>
      <c r="P17" s="2">
        <v>2417904</v>
      </c>
      <c r="Q17" s="2">
        <v>102998</v>
      </c>
      <c r="R17" s="2">
        <v>169425</v>
      </c>
      <c r="S17" s="2">
        <v>1218259</v>
      </c>
      <c r="T17" s="2">
        <v>4509570</v>
      </c>
      <c r="U17" s="2">
        <v>1281420</v>
      </c>
      <c r="V17" s="2">
        <v>1984781</v>
      </c>
      <c r="W17" s="2">
        <v>1143917</v>
      </c>
      <c r="X17" s="2">
        <v>1076563</v>
      </c>
      <c r="Y17" s="2">
        <v>411979</v>
      </c>
      <c r="Z17" s="2">
        <v>2033687</v>
      </c>
      <c r="AA17" s="2">
        <v>2445199</v>
      </c>
      <c r="AB17" s="2">
        <v>1413601</v>
      </c>
      <c r="AC17" s="2">
        <v>3008414</v>
      </c>
      <c r="AD17" s="2">
        <v>3668033</v>
      </c>
      <c r="AE17" s="2">
        <v>586089</v>
      </c>
      <c r="AF17" s="2">
        <v>525439</v>
      </c>
      <c r="AG17" s="2">
        <v>108198</v>
      </c>
      <c r="AH17" s="2">
        <v>34790</v>
      </c>
      <c r="AI17" s="6">
        <v>800</v>
      </c>
    </row>
    <row r="18" spans="10:35" x14ac:dyDescent="0.35">
      <c r="J18" t="s">
        <v>65</v>
      </c>
      <c r="K18" s="2">
        <v>37414</v>
      </c>
      <c r="L18" s="2">
        <v>678714</v>
      </c>
      <c r="M18" s="2">
        <v>641300</v>
      </c>
      <c r="N18" s="2">
        <v>182970</v>
      </c>
      <c r="O18" s="2">
        <v>48923</v>
      </c>
      <c r="P18" s="2">
        <v>2421343</v>
      </c>
      <c r="Q18" s="2">
        <v>103528</v>
      </c>
      <c r="R18" s="2">
        <v>169914</v>
      </c>
      <c r="S18" s="2">
        <v>1220793</v>
      </c>
      <c r="T18" s="2">
        <v>4512615</v>
      </c>
      <c r="U18" s="2">
        <v>1286153</v>
      </c>
      <c r="V18" s="2">
        <v>1988552</v>
      </c>
      <c r="W18" s="2">
        <v>1146056</v>
      </c>
      <c r="X18" s="2">
        <v>1081744</v>
      </c>
      <c r="Y18" s="2">
        <v>413018</v>
      </c>
      <c r="Z18" s="2">
        <v>2038523</v>
      </c>
      <c r="AA18" s="2">
        <v>2450455</v>
      </c>
      <c r="AB18" s="2">
        <v>1413507</v>
      </c>
      <c r="AC18" s="2">
        <v>3001002</v>
      </c>
      <c r="AD18" s="2">
        <v>3673305</v>
      </c>
      <c r="AE18" s="2">
        <v>587271</v>
      </c>
      <c r="AF18" s="2">
        <v>526433</v>
      </c>
      <c r="AG18" s="2">
        <v>108531</v>
      </c>
      <c r="AH18" s="2">
        <v>20258</v>
      </c>
      <c r="AI18" s="6">
        <v>812</v>
      </c>
    </row>
    <row r="19" spans="10:35" x14ac:dyDescent="0.35">
      <c r="J19" t="s">
        <v>66</v>
      </c>
      <c r="K19" s="2">
        <v>31924</v>
      </c>
      <c r="L19" s="2">
        <v>680017</v>
      </c>
      <c r="M19" s="2">
        <v>648093</v>
      </c>
      <c r="N19" s="2">
        <v>183338</v>
      </c>
      <c r="O19" s="2">
        <v>48976</v>
      </c>
      <c r="P19" s="2">
        <v>2424837</v>
      </c>
      <c r="Q19" s="2">
        <v>103959</v>
      </c>
      <c r="R19" s="2">
        <v>170439</v>
      </c>
      <c r="S19" s="2">
        <v>1222673</v>
      </c>
      <c r="T19" s="2">
        <v>4511596</v>
      </c>
      <c r="U19" s="2">
        <v>1288383</v>
      </c>
      <c r="V19" s="2">
        <v>1991960</v>
      </c>
      <c r="W19" s="2">
        <v>1147963</v>
      </c>
      <c r="X19" s="2">
        <v>1081811</v>
      </c>
      <c r="Y19" s="2">
        <v>413609</v>
      </c>
      <c r="Z19" s="2">
        <v>2042651</v>
      </c>
      <c r="AA19" s="2">
        <v>2458598</v>
      </c>
      <c r="AB19" s="2">
        <v>1413881</v>
      </c>
      <c r="AC19" s="2">
        <v>3000592</v>
      </c>
      <c r="AD19" s="2">
        <v>3677764</v>
      </c>
      <c r="AE19" s="2">
        <v>588326</v>
      </c>
      <c r="AF19" s="2">
        <v>526566</v>
      </c>
      <c r="AG19" s="2">
        <v>108640</v>
      </c>
      <c r="AH19" s="2">
        <v>21234</v>
      </c>
      <c r="AI19" s="6">
        <v>819</v>
      </c>
    </row>
    <row r="20" spans="10:35" x14ac:dyDescent="0.35">
      <c r="J20" t="s">
        <v>67</v>
      </c>
      <c r="K20" s="2">
        <v>33099</v>
      </c>
      <c r="L20" s="2">
        <v>675360</v>
      </c>
      <c r="M20" s="2">
        <v>642261</v>
      </c>
      <c r="N20" s="2">
        <v>183781</v>
      </c>
      <c r="O20" s="2">
        <v>49001</v>
      </c>
      <c r="P20" s="2">
        <v>2427824</v>
      </c>
      <c r="Q20" s="2">
        <v>104013</v>
      </c>
      <c r="R20" s="2">
        <v>170914</v>
      </c>
      <c r="S20" s="2">
        <v>1223903</v>
      </c>
      <c r="T20" s="2">
        <v>4509898</v>
      </c>
      <c r="U20" s="2">
        <v>1292404</v>
      </c>
      <c r="V20" s="2">
        <v>1996167</v>
      </c>
      <c r="W20" s="2">
        <v>1149411</v>
      </c>
      <c r="X20" s="2">
        <v>1081602</v>
      </c>
      <c r="Y20" s="2">
        <v>414507</v>
      </c>
      <c r="Z20" s="2">
        <v>2045855</v>
      </c>
      <c r="AA20" s="2">
        <v>2465483</v>
      </c>
      <c r="AB20" s="2">
        <v>1413398</v>
      </c>
      <c r="AC20" s="2">
        <v>3002619</v>
      </c>
      <c r="AD20" s="2">
        <v>3683250</v>
      </c>
      <c r="AE20" s="2">
        <v>589296</v>
      </c>
      <c r="AF20" s="2">
        <v>527352</v>
      </c>
      <c r="AG20" s="2">
        <v>108983</v>
      </c>
      <c r="AH20" s="2">
        <v>29026</v>
      </c>
      <c r="AI20" s="6">
        <v>820</v>
      </c>
    </row>
    <row r="21" spans="10:35" x14ac:dyDescent="0.35">
      <c r="J21" t="s">
        <v>68</v>
      </c>
      <c r="K21" s="2">
        <v>26838</v>
      </c>
      <c r="L21" s="2">
        <v>667559</v>
      </c>
      <c r="M21" s="2">
        <v>640721</v>
      </c>
      <c r="N21" s="2">
        <v>184043</v>
      </c>
      <c r="O21" s="2">
        <v>48975</v>
      </c>
      <c r="P21" s="2">
        <v>2436958</v>
      </c>
      <c r="Q21" s="2">
        <v>104305</v>
      </c>
      <c r="R21" s="2">
        <v>171350</v>
      </c>
      <c r="S21" s="2">
        <v>1222469</v>
      </c>
      <c r="T21" s="2">
        <v>4506721</v>
      </c>
      <c r="U21" s="2">
        <v>1295585</v>
      </c>
      <c r="V21" s="2">
        <v>2000983</v>
      </c>
      <c r="W21" s="2">
        <v>1150632</v>
      </c>
      <c r="X21" s="2">
        <v>1080955</v>
      </c>
      <c r="Y21" s="2">
        <v>414932</v>
      </c>
      <c r="Z21" s="2">
        <v>2049232</v>
      </c>
      <c r="AA21" s="2">
        <v>2469895</v>
      </c>
      <c r="AB21" s="2">
        <v>1411963</v>
      </c>
      <c r="AC21" s="2">
        <v>3003171</v>
      </c>
      <c r="AD21" s="2">
        <v>3687520</v>
      </c>
      <c r="AE21" s="2">
        <v>590099</v>
      </c>
      <c r="AF21" s="2">
        <v>527557</v>
      </c>
      <c r="AG21" s="2">
        <v>109153</v>
      </c>
      <c r="AH21" s="2">
        <v>23171</v>
      </c>
      <c r="AI21" s="6">
        <v>817</v>
      </c>
    </row>
    <row r="22" spans="10:35" x14ac:dyDescent="0.35">
      <c r="J22" t="s">
        <v>69</v>
      </c>
      <c r="K22" s="2">
        <v>20749</v>
      </c>
      <c r="L22" s="2">
        <v>667921</v>
      </c>
      <c r="M22" s="2">
        <v>647172</v>
      </c>
      <c r="N22" s="2">
        <v>183996</v>
      </c>
      <c r="O22" s="2">
        <v>48721</v>
      </c>
      <c r="P22" s="2">
        <v>2430703</v>
      </c>
      <c r="Q22" s="2">
        <v>104454</v>
      </c>
      <c r="R22" s="2">
        <v>171601</v>
      </c>
      <c r="S22" s="2">
        <v>1224026</v>
      </c>
      <c r="T22" s="2">
        <v>4506083</v>
      </c>
      <c r="U22" s="2">
        <v>1295727</v>
      </c>
      <c r="V22" s="2">
        <v>2005557</v>
      </c>
      <c r="W22" s="2">
        <v>1152614</v>
      </c>
      <c r="X22" s="2">
        <v>1081103</v>
      </c>
      <c r="Y22" s="2">
        <v>415677</v>
      </c>
      <c r="Z22" s="2">
        <v>2054649</v>
      </c>
      <c r="AA22" s="2">
        <v>2472787</v>
      </c>
      <c r="AB22" s="2">
        <v>1410737</v>
      </c>
      <c r="AC22" s="2">
        <v>3008215</v>
      </c>
      <c r="AD22" s="2">
        <v>3691823</v>
      </c>
      <c r="AE22" s="2">
        <v>590981</v>
      </c>
      <c r="AF22" s="2">
        <v>528222</v>
      </c>
      <c r="AG22" s="2">
        <v>109570</v>
      </c>
      <c r="AH22" s="2">
        <v>38752</v>
      </c>
      <c r="AI22" s="6">
        <v>814</v>
      </c>
    </row>
    <row r="23" spans="10:35" x14ac:dyDescent="0.35">
      <c r="J23" t="s">
        <v>70</v>
      </c>
      <c r="K23" s="2">
        <v>7686</v>
      </c>
      <c r="L23" s="2">
        <v>662669</v>
      </c>
      <c r="M23" s="2">
        <v>654983</v>
      </c>
      <c r="N23" s="2">
        <v>184112</v>
      </c>
      <c r="O23" s="2">
        <v>48643</v>
      </c>
      <c r="P23" s="2">
        <v>2429629</v>
      </c>
      <c r="Q23" s="2">
        <v>104660</v>
      </c>
      <c r="R23" s="2">
        <v>171772</v>
      </c>
      <c r="S23" s="2">
        <v>1226448</v>
      </c>
      <c r="T23" s="2">
        <v>4506567</v>
      </c>
      <c r="U23" s="2">
        <v>1297232</v>
      </c>
      <c r="V23" s="2">
        <v>2008426</v>
      </c>
      <c r="W23" s="2">
        <v>1153420</v>
      </c>
      <c r="X23" s="2">
        <v>1080826</v>
      </c>
      <c r="Y23" s="2">
        <v>415521</v>
      </c>
      <c r="Z23" s="2">
        <v>2053989</v>
      </c>
      <c r="AA23" s="2">
        <v>2472406</v>
      </c>
      <c r="AB23" s="2">
        <v>1408762</v>
      </c>
      <c r="AC23" s="2">
        <v>3010203</v>
      </c>
      <c r="AD23" s="2">
        <v>3693707</v>
      </c>
      <c r="AE23" s="2">
        <v>590547</v>
      </c>
      <c r="AF23" s="2">
        <v>528566</v>
      </c>
      <c r="AG23" s="2">
        <v>109496</v>
      </c>
      <c r="AH23" s="2">
        <v>36801</v>
      </c>
      <c r="AI23" s="6">
        <v>815</v>
      </c>
    </row>
    <row r="24" spans="10:35" x14ac:dyDescent="0.35">
      <c r="J24" t="s">
        <v>71</v>
      </c>
      <c r="K24" s="2">
        <v>3792</v>
      </c>
      <c r="L24" s="2">
        <v>654218</v>
      </c>
      <c r="M24" s="2">
        <v>650426</v>
      </c>
      <c r="N24" s="2">
        <v>183800</v>
      </c>
      <c r="O24" s="2">
        <v>48667</v>
      </c>
      <c r="P24" s="2">
        <v>2428186</v>
      </c>
      <c r="Q24" s="2">
        <v>104802</v>
      </c>
      <c r="R24" s="2">
        <v>172233</v>
      </c>
      <c r="S24" s="2">
        <v>1225714</v>
      </c>
      <c r="T24" s="2">
        <v>4504923</v>
      </c>
      <c r="U24" s="2">
        <v>1299578</v>
      </c>
      <c r="V24" s="2">
        <v>2010229</v>
      </c>
      <c r="W24" s="2">
        <v>1155131</v>
      </c>
      <c r="X24" s="2">
        <v>1080378</v>
      </c>
      <c r="Y24" s="2">
        <v>415630</v>
      </c>
      <c r="Z24" s="2">
        <v>2055126</v>
      </c>
      <c r="AA24" s="2">
        <v>2472522</v>
      </c>
      <c r="AB24" s="2">
        <v>1408526</v>
      </c>
      <c r="AC24" s="2">
        <v>3008071</v>
      </c>
      <c r="AD24" s="2">
        <v>3696216</v>
      </c>
      <c r="AE24" s="2">
        <v>590746</v>
      </c>
      <c r="AF24" s="2">
        <v>528752</v>
      </c>
      <c r="AG24" s="2">
        <v>109495</v>
      </c>
      <c r="AH24" s="2">
        <v>156723</v>
      </c>
      <c r="AI24" s="6">
        <v>811</v>
      </c>
    </row>
    <row r="25" spans="10:35" x14ac:dyDescent="0.35">
      <c r="J25" t="s">
        <v>72</v>
      </c>
      <c r="K25" s="2">
        <v>38545</v>
      </c>
      <c r="L25" s="2">
        <v>650108</v>
      </c>
      <c r="M25" s="2">
        <v>611563</v>
      </c>
      <c r="N25" s="2">
        <v>183816</v>
      </c>
      <c r="O25" s="2">
        <v>48895</v>
      </c>
      <c r="P25" s="2">
        <v>2432961</v>
      </c>
      <c r="Q25" s="2">
        <v>105058</v>
      </c>
      <c r="R25" s="2">
        <v>172860</v>
      </c>
      <c r="S25" s="2">
        <v>1225313</v>
      </c>
      <c r="T25" s="2">
        <v>4504193</v>
      </c>
      <c r="U25" s="2">
        <v>1304067</v>
      </c>
      <c r="V25" s="2">
        <v>2011287</v>
      </c>
      <c r="W25" s="2">
        <v>1159416</v>
      </c>
      <c r="X25" s="2">
        <v>1081070</v>
      </c>
      <c r="Y25" s="2">
        <v>417587</v>
      </c>
      <c r="Z25" s="2">
        <v>2060730</v>
      </c>
      <c r="AA25" s="2">
        <v>2472379</v>
      </c>
      <c r="AB25" s="2">
        <v>1408433</v>
      </c>
      <c r="AC25" s="2">
        <v>3011972</v>
      </c>
      <c r="AD25" s="2">
        <v>3705344</v>
      </c>
      <c r="AE25" s="2">
        <v>591815</v>
      </c>
      <c r="AF25" s="2">
        <v>529984</v>
      </c>
      <c r="AG25" s="2">
        <v>110090</v>
      </c>
      <c r="AH25" s="2">
        <v>22837</v>
      </c>
      <c r="AI25" s="6">
        <v>821</v>
      </c>
    </row>
    <row r="26" spans="10:35" x14ac:dyDescent="0.35">
      <c r="J26" t="s">
        <v>73</v>
      </c>
      <c r="K26" s="2">
        <v>28687</v>
      </c>
      <c r="L26" s="2">
        <v>666682</v>
      </c>
      <c r="M26" s="2">
        <v>637995</v>
      </c>
      <c r="N26" s="2">
        <v>183695</v>
      </c>
      <c r="O26" s="2">
        <v>48995</v>
      </c>
      <c r="P26" s="2">
        <v>2433168</v>
      </c>
      <c r="Q26" s="2">
        <v>105215</v>
      </c>
      <c r="R26" s="2">
        <v>173508</v>
      </c>
      <c r="S26" s="2">
        <v>1225814</v>
      </c>
      <c r="T26" s="2">
        <v>4503558</v>
      </c>
      <c r="U26" s="2">
        <v>1307521</v>
      </c>
      <c r="V26" s="2">
        <v>2014293</v>
      </c>
      <c r="W26" s="2">
        <v>1161625</v>
      </c>
      <c r="X26" s="2">
        <v>1081349</v>
      </c>
      <c r="Y26" s="2">
        <v>418265</v>
      </c>
      <c r="Z26" s="2">
        <v>2065751</v>
      </c>
      <c r="AA26" s="2">
        <v>2482513</v>
      </c>
      <c r="AB26" s="2">
        <v>1401152</v>
      </c>
      <c r="AC26" s="2">
        <v>3015193</v>
      </c>
      <c r="AD26" s="2">
        <v>3711817</v>
      </c>
      <c r="AE26" s="2">
        <v>591758</v>
      </c>
      <c r="AF26" s="2">
        <v>530543</v>
      </c>
      <c r="AG26" s="2">
        <v>110223</v>
      </c>
      <c r="AH26" s="2">
        <v>32379</v>
      </c>
      <c r="AI26" s="6">
        <v>832</v>
      </c>
    </row>
    <row r="27" spans="10:35" x14ac:dyDescent="0.35">
      <c r="J27" t="s">
        <v>74</v>
      </c>
      <c r="K27" s="2">
        <v>18185</v>
      </c>
      <c r="L27" s="2">
        <v>664166</v>
      </c>
      <c r="M27" s="2">
        <v>645981</v>
      </c>
      <c r="N27" s="2">
        <v>183621</v>
      </c>
      <c r="O27" s="2">
        <v>49303</v>
      </c>
      <c r="P27" s="2">
        <v>2433981</v>
      </c>
      <c r="Q27" s="2">
        <v>105322</v>
      </c>
      <c r="R27" s="2">
        <v>173888</v>
      </c>
      <c r="S27" s="2">
        <v>1226510</v>
      </c>
      <c r="T27" s="2">
        <v>4503698</v>
      </c>
      <c r="U27" s="2">
        <v>1310315</v>
      </c>
      <c r="V27" s="2">
        <v>2016023</v>
      </c>
      <c r="W27" s="2">
        <v>1164838</v>
      </c>
      <c r="X27" s="2">
        <v>1082368</v>
      </c>
      <c r="Y27" s="2">
        <v>418822</v>
      </c>
      <c r="Z27" s="2">
        <v>2070084</v>
      </c>
      <c r="AA27" s="2">
        <v>2484439</v>
      </c>
      <c r="AB27" s="2">
        <v>1391678</v>
      </c>
      <c r="AC27" s="2">
        <v>3016294</v>
      </c>
      <c r="AD27" s="2">
        <v>3719410</v>
      </c>
      <c r="AE27" s="2">
        <v>592599</v>
      </c>
      <c r="AF27" s="2">
        <v>530731</v>
      </c>
      <c r="AG27" s="2">
        <v>110218</v>
      </c>
      <c r="AH27" s="2">
        <v>25486</v>
      </c>
      <c r="AI27" s="6">
        <v>837</v>
      </c>
    </row>
    <row r="28" spans="10:35" x14ac:dyDescent="0.35">
      <c r="J28" t="s">
        <v>75</v>
      </c>
      <c r="K28" s="2">
        <v>39757</v>
      </c>
      <c r="L28" s="2">
        <v>669767</v>
      </c>
      <c r="M28" s="2">
        <v>630010</v>
      </c>
      <c r="N28" s="2">
        <v>183851</v>
      </c>
      <c r="O28" s="2">
        <v>49143</v>
      </c>
      <c r="P28" s="2">
        <v>2433199</v>
      </c>
      <c r="Q28" s="2">
        <v>105091</v>
      </c>
      <c r="R28" s="2">
        <v>174305</v>
      </c>
      <c r="S28" s="2">
        <v>1228061</v>
      </c>
      <c r="T28" s="2">
        <v>4503364</v>
      </c>
      <c r="U28" s="2">
        <v>1313689</v>
      </c>
      <c r="V28" s="2">
        <v>2014618</v>
      </c>
      <c r="W28" s="2">
        <v>1167369</v>
      </c>
      <c r="X28" s="2">
        <v>1084731</v>
      </c>
      <c r="Y28" s="2">
        <v>419242</v>
      </c>
      <c r="Z28" s="2">
        <v>2075292</v>
      </c>
      <c r="AA28" s="2">
        <v>2488245</v>
      </c>
      <c r="AB28" s="2">
        <v>1403796</v>
      </c>
      <c r="AC28" s="2">
        <v>3018045</v>
      </c>
      <c r="AD28" s="2">
        <v>3728306</v>
      </c>
      <c r="AE28" s="2">
        <v>592750</v>
      </c>
      <c r="AF28" s="2">
        <v>530595</v>
      </c>
      <c r="AG28" s="2">
        <v>110210</v>
      </c>
      <c r="AH28" s="2">
        <v>18882</v>
      </c>
      <c r="AI28" s="6">
        <v>842</v>
      </c>
    </row>
    <row r="29" spans="10:35" x14ac:dyDescent="0.35">
      <c r="J29" t="s">
        <v>76</v>
      </c>
      <c r="K29" s="2">
        <v>38729</v>
      </c>
      <c r="L29" s="2">
        <v>679282</v>
      </c>
      <c r="M29" s="2">
        <v>640553</v>
      </c>
      <c r="N29" s="2">
        <v>183827</v>
      </c>
      <c r="O29" s="2">
        <v>49217</v>
      </c>
      <c r="P29" s="2">
        <v>2436175</v>
      </c>
      <c r="Q29" s="2">
        <v>105105</v>
      </c>
      <c r="R29" s="2">
        <v>174904</v>
      </c>
      <c r="S29" s="2">
        <v>1229807</v>
      </c>
      <c r="T29" s="2">
        <v>4501001</v>
      </c>
      <c r="U29" s="2">
        <v>1315053</v>
      </c>
      <c r="V29" s="2">
        <v>2015098</v>
      </c>
      <c r="W29" s="2">
        <v>1170868</v>
      </c>
      <c r="X29" s="2">
        <v>1085731</v>
      </c>
      <c r="Y29" s="2">
        <v>420186</v>
      </c>
      <c r="Z29" s="2">
        <v>2084386</v>
      </c>
      <c r="AA29" s="2">
        <v>2489464</v>
      </c>
      <c r="AB29" s="2">
        <v>1407642</v>
      </c>
      <c r="AC29" s="2">
        <v>3021494</v>
      </c>
      <c r="AD29" s="2">
        <v>3738695</v>
      </c>
      <c r="AE29" s="2">
        <v>592549</v>
      </c>
      <c r="AF29" s="2">
        <v>531275</v>
      </c>
      <c r="AG29" s="2">
        <v>110152</v>
      </c>
      <c r="AH29" s="2">
        <v>22678</v>
      </c>
      <c r="AI29" s="6">
        <v>846</v>
      </c>
    </row>
    <row r="30" spans="10:35" x14ac:dyDescent="0.35">
      <c r="J30" t="s">
        <v>77</v>
      </c>
      <c r="K30" s="2">
        <v>10040</v>
      </c>
      <c r="L30" s="2">
        <v>675797</v>
      </c>
      <c r="M30" s="2">
        <v>665757</v>
      </c>
      <c r="N30" s="2">
        <v>184022</v>
      </c>
      <c r="O30" s="2">
        <v>49278</v>
      </c>
      <c r="P30" s="2">
        <v>2439342</v>
      </c>
      <c r="Q30" s="2">
        <v>104954</v>
      </c>
      <c r="R30" s="2">
        <v>175333</v>
      </c>
      <c r="S30" s="2">
        <v>1231533</v>
      </c>
      <c r="T30" s="2">
        <v>4500078</v>
      </c>
      <c r="U30" s="2">
        <v>1319215</v>
      </c>
      <c r="V30" s="2">
        <v>2014230</v>
      </c>
      <c r="W30" s="2">
        <v>1173854</v>
      </c>
      <c r="X30" s="2">
        <v>1085273</v>
      </c>
      <c r="Y30" s="2">
        <v>421001</v>
      </c>
      <c r="Z30" s="2">
        <v>2091403</v>
      </c>
      <c r="AA30" s="2">
        <v>2489055</v>
      </c>
      <c r="AB30" s="2">
        <v>1408988</v>
      </c>
      <c r="AC30" s="2">
        <v>3020140</v>
      </c>
      <c r="AD30" s="2">
        <v>3730641</v>
      </c>
      <c r="AE30" s="2">
        <v>592442</v>
      </c>
      <c r="AF30" s="2">
        <v>531458</v>
      </c>
      <c r="AG30" s="2">
        <v>110429</v>
      </c>
      <c r="AH30" s="2">
        <v>19461</v>
      </c>
      <c r="AI30" s="6">
        <v>864</v>
      </c>
    </row>
    <row r="31" spans="10:35" x14ac:dyDescent="0.35">
      <c r="J31" t="s">
        <v>78</v>
      </c>
      <c r="K31" s="2">
        <v>32256</v>
      </c>
      <c r="L31" s="2">
        <v>664106</v>
      </c>
      <c r="M31" s="2">
        <v>631850</v>
      </c>
      <c r="N31" s="2">
        <v>184503</v>
      </c>
      <c r="O31" s="2">
        <v>49223</v>
      </c>
      <c r="P31" s="2">
        <v>2442795</v>
      </c>
      <c r="Q31" s="2">
        <v>104791</v>
      </c>
      <c r="R31" s="2">
        <v>175795</v>
      </c>
      <c r="S31" s="2">
        <v>1234222</v>
      </c>
      <c r="T31" s="2">
        <v>4502396</v>
      </c>
      <c r="U31" s="2">
        <v>1321431</v>
      </c>
      <c r="V31" s="2">
        <v>2014686</v>
      </c>
      <c r="W31" s="2">
        <v>1176034</v>
      </c>
      <c r="X31" s="2">
        <v>1084732</v>
      </c>
      <c r="Y31" s="2">
        <v>422065</v>
      </c>
      <c r="Z31" s="2">
        <v>2098759</v>
      </c>
      <c r="AA31" s="2">
        <v>2486080</v>
      </c>
      <c r="AB31" s="2">
        <v>1412115</v>
      </c>
      <c r="AC31" s="2">
        <v>3020749</v>
      </c>
      <c r="AD31" s="2">
        <v>3738470</v>
      </c>
      <c r="AE31" s="2">
        <v>592735</v>
      </c>
      <c r="AF31" s="2">
        <v>532337</v>
      </c>
      <c r="AG31" s="2">
        <v>111005</v>
      </c>
      <c r="AH31" s="2">
        <v>26968</v>
      </c>
      <c r="AI31" s="6">
        <v>862</v>
      </c>
    </row>
    <row r="32" spans="10:35" x14ac:dyDescent="0.35">
      <c r="J32" t="s">
        <v>79</v>
      </c>
      <c r="K32" s="2">
        <v>55425</v>
      </c>
      <c r="L32" s="2">
        <v>681702</v>
      </c>
      <c r="M32" s="2">
        <v>626277</v>
      </c>
      <c r="N32" s="2">
        <v>185141</v>
      </c>
      <c r="O32" s="2">
        <v>49292</v>
      </c>
      <c r="P32" s="2">
        <v>2445377</v>
      </c>
      <c r="Q32" s="2">
        <v>104732</v>
      </c>
      <c r="R32" s="2">
        <v>176615</v>
      </c>
      <c r="S32" s="2">
        <v>1237414</v>
      </c>
      <c r="T32" s="2">
        <v>4506177</v>
      </c>
      <c r="U32" s="2">
        <v>1325074</v>
      </c>
      <c r="V32" s="2">
        <v>2016731</v>
      </c>
      <c r="W32" s="2">
        <v>1180446</v>
      </c>
      <c r="X32" s="2">
        <v>1086827</v>
      </c>
      <c r="Y32" s="2">
        <v>423015</v>
      </c>
      <c r="Z32" s="2">
        <v>2107523</v>
      </c>
      <c r="AA32" s="2">
        <v>2488336</v>
      </c>
      <c r="AB32" s="2">
        <v>1412851</v>
      </c>
      <c r="AC32" s="2">
        <v>3026519</v>
      </c>
      <c r="AD32" s="2">
        <v>3750192</v>
      </c>
      <c r="AE32" s="2">
        <v>593751</v>
      </c>
      <c r="AF32" s="2">
        <v>533126</v>
      </c>
      <c r="AG32" s="2">
        <v>111209</v>
      </c>
      <c r="AH32" s="2">
        <v>25064</v>
      </c>
      <c r="AI32" s="6">
        <v>856</v>
      </c>
    </row>
    <row r="33" spans="10:35" x14ac:dyDescent="0.35">
      <c r="J33" t="s">
        <v>80</v>
      </c>
      <c r="K33" s="2">
        <v>-296</v>
      </c>
      <c r="L33" s="2">
        <v>666126</v>
      </c>
      <c r="M33" s="2">
        <v>666422</v>
      </c>
      <c r="N33" s="2">
        <v>185669</v>
      </c>
      <c r="O33" s="2">
        <v>49369</v>
      </c>
      <c r="P33" s="2">
        <v>2444014</v>
      </c>
      <c r="Q33" s="2">
        <v>104562</v>
      </c>
      <c r="R33" s="2">
        <v>176679</v>
      </c>
      <c r="S33" s="2">
        <v>1232358</v>
      </c>
      <c r="T33" s="2">
        <v>4502125</v>
      </c>
      <c r="U33" s="2">
        <v>1326524</v>
      </c>
      <c r="V33" s="2">
        <v>2017222</v>
      </c>
      <c r="W33" s="2">
        <v>1182170</v>
      </c>
      <c r="X33" s="2">
        <v>1087913</v>
      </c>
      <c r="Y33" s="2">
        <v>423687</v>
      </c>
      <c r="Z33" s="2">
        <v>2111631</v>
      </c>
      <c r="AA33" s="2">
        <v>2486421</v>
      </c>
      <c r="AB33" s="2">
        <v>1411652</v>
      </c>
      <c r="AC33" s="2">
        <v>3023519</v>
      </c>
      <c r="AD33" s="2">
        <v>3755772</v>
      </c>
      <c r="AE33" s="2">
        <v>593721</v>
      </c>
      <c r="AF33" s="2">
        <v>533474</v>
      </c>
      <c r="AG33" s="2">
        <v>111571</v>
      </c>
      <c r="AH33" s="2">
        <v>16154</v>
      </c>
      <c r="AI33" s="6">
        <v>855</v>
      </c>
    </row>
    <row r="34" spans="10:35" x14ac:dyDescent="0.35">
      <c r="J34" t="s">
        <v>81</v>
      </c>
      <c r="K34" s="2">
        <v>38521</v>
      </c>
      <c r="L34" s="2">
        <v>676840</v>
      </c>
      <c r="M34" s="2">
        <v>638319</v>
      </c>
      <c r="N34" s="2">
        <v>185944</v>
      </c>
      <c r="O34" s="2">
        <v>49563</v>
      </c>
      <c r="P34" s="2">
        <v>2444493</v>
      </c>
      <c r="Q34" s="2">
        <v>104528</v>
      </c>
      <c r="R34" s="2">
        <v>177302</v>
      </c>
      <c r="S34" s="2">
        <v>1240635</v>
      </c>
      <c r="T34" s="2">
        <v>4497406</v>
      </c>
      <c r="U34" s="2">
        <v>1327810</v>
      </c>
      <c r="V34" s="2">
        <v>2023346</v>
      </c>
      <c r="W34" s="2">
        <v>1185406</v>
      </c>
      <c r="X34" s="2">
        <v>1089696</v>
      </c>
      <c r="Y34" s="2">
        <v>424434</v>
      </c>
      <c r="Z34" s="2">
        <v>2117118</v>
      </c>
      <c r="AA34" s="2">
        <v>2489256</v>
      </c>
      <c r="AB34" s="2">
        <v>1411016</v>
      </c>
      <c r="AC34" s="2">
        <v>3025358</v>
      </c>
      <c r="AD34" s="2">
        <v>3764701</v>
      </c>
      <c r="AE34" s="2">
        <v>594136</v>
      </c>
      <c r="AF34" s="2">
        <v>534637</v>
      </c>
      <c r="AG34" s="2">
        <v>111791</v>
      </c>
      <c r="AH34" s="2">
        <v>28138</v>
      </c>
      <c r="AI34" s="6">
        <v>847</v>
      </c>
    </row>
    <row r="35" spans="10:35" x14ac:dyDescent="0.35">
      <c r="J35" t="s">
        <v>82</v>
      </c>
      <c r="K35" s="2">
        <v>28013</v>
      </c>
      <c r="L35" s="2">
        <v>668161</v>
      </c>
      <c r="M35" s="2">
        <v>640148</v>
      </c>
      <c r="N35" s="2">
        <v>186063</v>
      </c>
      <c r="O35" s="2">
        <v>49605</v>
      </c>
      <c r="P35" s="2">
        <v>2445726</v>
      </c>
      <c r="Q35" s="2">
        <v>104586</v>
      </c>
      <c r="R35" s="2">
        <v>177746</v>
      </c>
      <c r="S35" s="2">
        <v>1241966</v>
      </c>
      <c r="T35" s="2">
        <v>4486238</v>
      </c>
      <c r="U35" s="2">
        <v>1329810</v>
      </c>
      <c r="V35" s="2">
        <v>2029234</v>
      </c>
      <c r="W35" s="2">
        <v>1187815</v>
      </c>
      <c r="X35" s="2">
        <v>1089889</v>
      </c>
      <c r="Y35" s="2">
        <v>424749</v>
      </c>
      <c r="Z35" s="2">
        <v>2121298</v>
      </c>
      <c r="AA35" s="2">
        <v>2493523</v>
      </c>
      <c r="AB35" s="2">
        <v>1410608</v>
      </c>
      <c r="AC35" s="2">
        <v>3031919</v>
      </c>
      <c r="AD35" s="2">
        <v>3773242</v>
      </c>
      <c r="AE35" s="2">
        <v>594547</v>
      </c>
      <c r="AF35" s="2">
        <v>535621</v>
      </c>
      <c r="AG35" s="2">
        <v>112401</v>
      </c>
      <c r="AH35" s="2">
        <v>32189</v>
      </c>
      <c r="AI35" s="6">
        <v>845</v>
      </c>
    </row>
    <row r="36" spans="10:35" x14ac:dyDescent="0.35">
      <c r="J36" t="s">
        <v>83</v>
      </c>
      <c r="K36" s="2">
        <v>49295</v>
      </c>
      <c r="L36" s="2">
        <v>680711</v>
      </c>
      <c r="M36" s="2">
        <v>631416</v>
      </c>
      <c r="N36" s="2">
        <v>187241</v>
      </c>
      <c r="O36" s="2">
        <v>49625</v>
      </c>
      <c r="P36" s="2">
        <v>2446942</v>
      </c>
      <c r="Q36" s="2">
        <v>104631</v>
      </c>
      <c r="R36" s="2">
        <v>178154</v>
      </c>
      <c r="S36" s="2">
        <v>1243990</v>
      </c>
      <c r="T36" s="2">
        <v>4477193</v>
      </c>
      <c r="U36" s="2">
        <v>1332961</v>
      </c>
      <c r="V36" s="2">
        <v>2041263</v>
      </c>
      <c r="W36" s="2">
        <v>1193755</v>
      </c>
      <c r="X36" s="2">
        <v>1091636</v>
      </c>
      <c r="Y36" s="2">
        <v>425339</v>
      </c>
      <c r="Z36" s="2">
        <v>2126222</v>
      </c>
      <c r="AA36" s="2">
        <v>2494055</v>
      </c>
      <c r="AB36" s="2">
        <v>1413200</v>
      </c>
      <c r="AC36" s="2">
        <v>3040391</v>
      </c>
      <c r="AD36" s="2">
        <v>3782307</v>
      </c>
      <c r="AE36" s="2">
        <v>597302</v>
      </c>
      <c r="AF36" s="2">
        <v>536729</v>
      </c>
      <c r="AG36" s="2">
        <v>112947</v>
      </c>
      <c r="AH36" s="2">
        <v>41626</v>
      </c>
      <c r="AI36" s="6">
        <v>840</v>
      </c>
    </row>
    <row r="37" spans="10:35" x14ac:dyDescent="0.35">
      <c r="J37" t="s">
        <v>84</v>
      </c>
      <c r="K37" s="2">
        <v>14766</v>
      </c>
      <c r="L37" s="2">
        <v>686967</v>
      </c>
      <c r="M37" s="2">
        <v>672201</v>
      </c>
      <c r="N37" s="2">
        <v>187753</v>
      </c>
      <c r="O37" s="2">
        <v>49569</v>
      </c>
      <c r="P37" s="2">
        <v>2445178</v>
      </c>
      <c r="Q37" s="2">
        <v>102578</v>
      </c>
      <c r="R37" s="2">
        <v>178325</v>
      </c>
      <c r="S37" s="2">
        <v>1243825</v>
      </c>
      <c r="T37" s="2">
        <v>4474326</v>
      </c>
      <c r="U37" s="2">
        <v>1337323</v>
      </c>
      <c r="V37" s="2">
        <v>2048789</v>
      </c>
      <c r="W37" s="2">
        <v>1198784</v>
      </c>
      <c r="X37" s="2">
        <v>1092726</v>
      </c>
      <c r="Y37" s="2">
        <v>425198</v>
      </c>
      <c r="Z37" s="2">
        <v>2127818</v>
      </c>
      <c r="AA37" s="2">
        <v>2489112</v>
      </c>
      <c r="AB37" s="2">
        <v>1414677</v>
      </c>
      <c r="AC37" s="2">
        <v>3039732</v>
      </c>
      <c r="AD37" s="2">
        <v>3787570</v>
      </c>
      <c r="AE37" s="2">
        <v>597370</v>
      </c>
      <c r="AF37" s="2">
        <v>536952</v>
      </c>
      <c r="AG37" s="2">
        <v>113043</v>
      </c>
      <c r="AH37" s="2">
        <v>85913</v>
      </c>
      <c r="AI37" s="6">
        <v>835</v>
      </c>
    </row>
    <row r="38" spans="10:35" x14ac:dyDescent="0.35">
      <c r="J38" t="s">
        <v>85</v>
      </c>
      <c r="K38" s="2">
        <v>14043</v>
      </c>
      <c r="L38" s="2">
        <v>661067</v>
      </c>
      <c r="M38" s="2">
        <v>647024</v>
      </c>
      <c r="N38" s="2">
        <v>188207</v>
      </c>
      <c r="O38" s="2">
        <v>49655</v>
      </c>
      <c r="P38" s="2">
        <v>2441615</v>
      </c>
      <c r="Q38" s="2">
        <v>102664</v>
      </c>
      <c r="R38" s="2">
        <v>178695</v>
      </c>
      <c r="S38" s="2">
        <v>1245607</v>
      </c>
      <c r="T38" s="2">
        <v>4475376</v>
      </c>
      <c r="U38" s="2">
        <v>1337371</v>
      </c>
      <c r="V38" s="2">
        <v>2051291</v>
      </c>
      <c r="W38" s="2">
        <v>1201403</v>
      </c>
      <c r="X38" s="2">
        <v>1094063</v>
      </c>
      <c r="Y38" s="2">
        <v>425378</v>
      </c>
      <c r="Z38" s="2">
        <v>2130167</v>
      </c>
      <c r="AA38" s="2">
        <v>2483613</v>
      </c>
      <c r="AB38" s="2">
        <v>1420484</v>
      </c>
      <c r="AC38" s="2">
        <v>3035979</v>
      </c>
      <c r="AD38" s="2">
        <v>3792860</v>
      </c>
      <c r="AE38" s="2">
        <v>599731</v>
      </c>
      <c r="AF38" s="2">
        <v>537271</v>
      </c>
      <c r="AG38" s="2">
        <v>113261</v>
      </c>
      <c r="AH38" s="2">
        <v>36304</v>
      </c>
      <c r="AI38" s="6">
        <v>822</v>
      </c>
    </row>
    <row r="39" spans="10:35" x14ac:dyDescent="0.35">
      <c r="J39" t="s">
        <v>86</v>
      </c>
      <c r="K39" s="2">
        <v>2090</v>
      </c>
      <c r="L39" s="2">
        <v>657879</v>
      </c>
      <c r="M39" s="2">
        <v>655789</v>
      </c>
      <c r="N39" s="2">
        <v>188603</v>
      </c>
      <c r="O39" s="2">
        <v>49654</v>
      </c>
      <c r="P39" s="2">
        <v>2438387</v>
      </c>
      <c r="Q39" s="2">
        <v>102766</v>
      </c>
      <c r="R39" s="2">
        <v>179059</v>
      </c>
      <c r="S39" s="2">
        <v>1245391</v>
      </c>
      <c r="T39" s="2">
        <v>4458683</v>
      </c>
      <c r="U39" s="2">
        <v>1337048</v>
      </c>
      <c r="V39" s="2">
        <v>2052794</v>
      </c>
      <c r="W39" s="2">
        <v>1204220</v>
      </c>
      <c r="X39" s="2">
        <v>1093693</v>
      </c>
      <c r="Y39" s="2">
        <v>425269</v>
      </c>
      <c r="Z39" s="2">
        <v>2133128</v>
      </c>
      <c r="AA39" s="2">
        <v>2481439</v>
      </c>
      <c r="AB39" s="2">
        <v>1423709</v>
      </c>
      <c r="AC39" s="2">
        <v>3042960</v>
      </c>
      <c r="AD39" s="2">
        <v>3799714</v>
      </c>
      <c r="AE39" s="2">
        <v>599876</v>
      </c>
      <c r="AF39" s="2">
        <v>537206</v>
      </c>
      <c r="AG39" s="2">
        <v>113180</v>
      </c>
      <c r="AH39" s="2">
        <v>24024</v>
      </c>
      <c r="AI39" s="6">
        <v>821</v>
      </c>
    </row>
    <row r="40" spans="10:35" x14ac:dyDescent="0.35">
      <c r="J40" t="s">
        <v>87</v>
      </c>
      <c r="K40" s="2">
        <v>-6202</v>
      </c>
      <c r="L40" s="2">
        <v>644954</v>
      </c>
      <c r="M40" s="2">
        <v>651156</v>
      </c>
      <c r="N40" s="2">
        <v>188361</v>
      </c>
      <c r="O40" s="2">
        <v>49822</v>
      </c>
      <c r="P40" s="2">
        <v>2435559</v>
      </c>
      <c r="Q40" s="2">
        <v>102903</v>
      </c>
      <c r="R40" s="2">
        <v>179304</v>
      </c>
      <c r="S40" s="2">
        <v>1244449</v>
      </c>
      <c r="T40" s="2">
        <v>4454103</v>
      </c>
      <c r="U40" s="2">
        <v>1336105</v>
      </c>
      <c r="V40" s="2">
        <v>2054967</v>
      </c>
      <c r="W40" s="2">
        <v>1207490</v>
      </c>
      <c r="X40" s="2">
        <v>1093661</v>
      </c>
      <c r="Y40" s="2">
        <v>426203</v>
      </c>
      <c r="Z40" s="2">
        <v>2136968</v>
      </c>
      <c r="AA40" s="2">
        <v>2478263</v>
      </c>
      <c r="AB40" s="2">
        <v>1415302</v>
      </c>
      <c r="AC40" s="2">
        <v>3040274</v>
      </c>
      <c r="AD40" s="2">
        <v>3805615</v>
      </c>
      <c r="AE40" s="2">
        <v>600916</v>
      </c>
      <c r="AF40" s="2">
        <v>537090</v>
      </c>
      <c r="AG40" s="2">
        <v>113224</v>
      </c>
      <c r="AH40" s="2">
        <v>21456</v>
      </c>
      <c r="AI40" s="6">
        <v>815</v>
      </c>
    </row>
    <row r="41" spans="10:35" x14ac:dyDescent="0.35">
      <c r="J41" t="s">
        <v>88</v>
      </c>
      <c r="K41" s="2">
        <v>34163</v>
      </c>
      <c r="L41" s="2">
        <v>664942</v>
      </c>
      <c r="M41" s="2">
        <v>630779</v>
      </c>
      <c r="N41" s="2">
        <v>188449</v>
      </c>
      <c r="O41" s="2">
        <v>50001</v>
      </c>
      <c r="P41" s="2">
        <v>2435096</v>
      </c>
      <c r="Q41" s="2">
        <v>102935</v>
      </c>
      <c r="R41" s="2">
        <v>179929</v>
      </c>
      <c r="S41" s="2">
        <v>1245941</v>
      </c>
      <c r="T41" s="2">
        <v>4457811</v>
      </c>
      <c r="U41" s="2">
        <v>1336980</v>
      </c>
      <c r="V41" s="2">
        <v>2056196</v>
      </c>
      <c r="W41" s="2">
        <v>1211264</v>
      </c>
      <c r="X41" s="2">
        <v>1093403</v>
      </c>
      <c r="Y41" s="2">
        <v>427091</v>
      </c>
      <c r="Z41" s="2">
        <v>2144181</v>
      </c>
      <c r="AA41" s="2">
        <v>2482272</v>
      </c>
      <c r="AB41" s="2">
        <v>1412449</v>
      </c>
      <c r="AC41" s="2">
        <v>3042793</v>
      </c>
      <c r="AD41" s="2">
        <v>3815543</v>
      </c>
      <c r="AE41" s="2">
        <v>601409</v>
      </c>
      <c r="AF41" s="2">
        <v>537487</v>
      </c>
      <c r="AG41" s="2">
        <v>113513</v>
      </c>
      <c r="AH41" s="2">
        <v>22642</v>
      </c>
      <c r="AI41" s="6">
        <v>818</v>
      </c>
    </row>
    <row r="42" spans="10:35" x14ac:dyDescent="0.35">
      <c r="J42" t="s">
        <v>89</v>
      </c>
      <c r="K42" s="2">
        <v>30898</v>
      </c>
      <c r="L42" s="2">
        <v>663453</v>
      </c>
      <c r="M42" s="2">
        <v>632555</v>
      </c>
      <c r="N42" s="2">
        <v>188524</v>
      </c>
      <c r="O42" s="2">
        <v>50237</v>
      </c>
      <c r="P42" s="2">
        <v>2434312</v>
      </c>
      <c r="Q42" s="2">
        <v>102998</v>
      </c>
      <c r="R42" s="2">
        <v>180166</v>
      </c>
      <c r="S42" s="2">
        <v>1247162</v>
      </c>
      <c r="T42" s="2">
        <v>4457825</v>
      </c>
      <c r="U42" s="2">
        <v>1338064</v>
      </c>
      <c r="V42" s="2">
        <v>2056951</v>
      </c>
      <c r="W42" s="2">
        <v>1214376</v>
      </c>
      <c r="X42" s="2">
        <v>1092314</v>
      </c>
      <c r="Y42" s="2">
        <v>427512</v>
      </c>
      <c r="Z42" s="2">
        <v>2150718</v>
      </c>
      <c r="AA42" s="2">
        <v>2487942</v>
      </c>
      <c r="AB42" s="2">
        <v>1413282</v>
      </c>
      <c r="AC42" s="2">
        <v>3043278</v>
      </c>
      <c r="AD42" s="2">
        <v>3826859</v>
      </c>
      <c r="AE42" s="2">
        <v>601073</v>
      </c>
      <c r="AF42" s="2">
        <v>538151</v>
      </c>
      <c r="AG42" s="2">
        <v>113898</v>
      </c>
      <c r="AH42" s="2">
        <v>26716</v>
      </c>
      <c r="AI42" s="6">
        <v>813</v>
      </c>
    </row>
    <row r="43" spans="10:35" x14ac:dyDescent="0.35">
      <c r="J43" t="s">
        <v>90</v>
      </c>
      <c r="K43" s="2">
        <v>6275</v>
      </c>
      <c r="L43" s="2">
        <v>646959</v>
      </c>
      <c r="M43" s="2">
        <v>640684</v>
      </c>
      <c r="N43" s="2">
        <v>188366</v>
      </c>
      <c r="O43" s="2">
        <v>50325</v>
      </c>
      <c r="P43" s="2">
        <v>2432127</v>
      </c>
      <c r="Q43" s="2">
        <v>103142</v>
      </c>
      <c r="R43" s="2">
        <v>180202</v>
      </c>
      <c r="S43" s="2">
        <v>1247227</v>
      </c>
      <c r="T43" s="2">
        <v>4454350</v>
      </c>
      <c r="U43" s="2">
        <v>1338702</v>
      </c>
      <c r="V43" s="2">
        <v>2059713</v>
      </c>
      <c r="W43" s="2">
        <v>1216049</v>
      </c>
      <c r="X43" s="2">
        <v>1089461</v>
      </c>
      <c r="Y43" s="2">
        <v>427817</v>
      </c>
      <c r="Z43" s="2">
        <v>2154396</v>
      </c>
      <c r="AA43" s="2">
        <v>2487549</v>
      </c>
      <c r="AB43" s="2">
        <v>1413595</v>
      </c>
      <c r="AC43" s="2">
        <v>3041759</v>
      </c>
      <c r="AD43" s="2">
        <v>3834087</v>
      </c>
      <c r="AE43" s="2">
        <v>600413</v>
      </c>
      <c r="AF43" s="2">
        <v>538663</v>
      </c>
      <c r="AG43" s="2">
        <v>113973</v>
      </c>
      <c r="AH43" s="2">
        <v>23882</v>
      </c>
      <c r="AI43" s="6">
        <v>809</v>
      </c>
    </row>
    <row r="44" spans="10:35" x14ac:dyDescent="0.35">
      <c r="J44" t="s">
        <v>91</v>
      </c>
      <c r="K44" s="2">
        <v>6339</v>
      </c>
      <c r="L44" s="2">
        <v>647283</v>
      </c>
      <c r="M44" s="2">
        <v>640944</v>
      </c>
      <c r="N44" s="2">
        <v>188199</v>
      </c>
      <c r="O44" s="2">
        <v>50440</v>
      </c>
      <c r="P44" s="2">
        <v>2430210</v>
      </c>
      <c r="Q44" s="2">
        <v>103230</v>
      </c>
      <c r="R44" s="2">
        <v>180293</v>
      </c>
      <c r="S44" s="2">
        <v>1248832</v>
      </c>
      <c r="T44" s="2">
        <v>4451348</v>
      </c>
      <c r="U44" s="2">
        <v>1338710</v>
      </c>
      <c r="V44" s="2">
        <v>2055348</v>
      </c>
      <c r="W44" s="2">
        <v>1217834</v>
      </c>
      <c r="X44" s="2">
        <v>1087972</v>
      </c>
      <c r="Y44" s="2">
        <v>428297</v>
      </c>
      <c r="Z44" s="2">
        <v>2156594</v>
      </c>
      <c r="AA44" s="2">
        <v>2484925</v>
      </c>
      <c r="AB44" s="2">
        <v>1414639</v>
      </c>
      <c r="AC44" s="2">
        <v>3043413</v>
      </c>
      <c r="AD44" s="2">
        <v>3843903</v>
      </c>
      <c r="AE44" s="2">
        <v>600451</v>
      </c>
      <c r="AF44" s="2">
        <v>539298</v>
      </c>
      <c r="AG44" s="2">
        <v>114317</v>
      </c>
      <c r="AH44" s="2">
        <v>27820</v>
      </c>
      <c r="AI44" s="6">
        <v>811</v>
      </c>
    </row>
    <row r="45" spans="10:35" x14ac:dyDescent="0.35">
      <c r="J45" t="s">
        <v>92</v>
      </c>
      <c r="K45" s="2">
        <v>17325</v>
      </c>
      <c r="L45" s="2">
        <v>676212</v>
      </c>
      <c r="M45" s="2">
        <v>658887</v>
      </c>
      <c r="N45" s="2">
        <v>187875</v>
      </c>
      <c r="O45" s="2">
        <v>50223</v>
      </c>
      <c r="P45" s="2">
        <v>2410258</v>
      </c>
      <c r="Q45" s="2">
        <v>103134</v>
      </c>
      <c r="R45" s="2">
        <v>180036</v>
      </c>
      <c r="S45" s="2">
        <v>1239124</v>
      </c>
      <c r="T45" s="2">
        <v>4448882</v>
      </c>
      <c r="U45" s="2">
        <v>1337904</v>
      </c>
      <c r="V45" s="2">
        <v>2063627</v>
      </c>
      <c r="W45" s="2">
        <v>1219668</v>
      </c>
      <c r="X45" s="2">
        <v>1087611</v>
      </c>
      <c r="Y45" s="2">
        <v>429211</v>
      </c>
      <c r="Z45" s="2">
        <v>2160726</v>
      </c>
      <c r="AA45" s="2">
        <v>2485067</v>
      </c>
      <c r="AB45" s="2">
        <v>1429575</v>
      </c>
      <c r="AC45" s="2">
        <v>3053978</v>
      </c>
      <c r="AD45" s="2">
        <v>3854073</v>
      </c>
      <c r="AE45" s="2">
        <v>601133</v>
      </c>
      <c r="AF45" s="2">
        <v>539058</v>
      </c>
      <c r="AG45" s="2">
        <v>114414</v>
      </c>
      <c r="AH45" s="2">
        <v>16733</v>
      </c>
      <c r="AI45" s="6">
        <v>812</v>
      </c>
    </row>
    <row r="46" spans="10:35" x14ac:dyDescent="0.35">
      <c r="J46" t="s">
        <v>93</v>
      </c>
      <c r="K46" s="2">
        <v>57568</v>
      </c>
      <c r="L46" s="2">
        <v>705146</v>
      </c>
      <c r="M46" s="2">
        <v>647578</v>
      </c>
      <c r="N46" s="2">
        <v>187688</v>
      </c>
      <c r="O46" s="2">
        <v>50534</v>
      </c>
      <c r="P46" s="2">
        <v>2419164</v>
      </c>
      <c r="Q46" s="2">
        <v>103198</v>
      </c>
      <c r="R46" s="2">
        <v>180737</v>
      </c>
      <c r="S46" s="2">
        <v>1253595</v>
      </c>
      <c r="T46" s="2">
        <v>4449046</v>
      </c>
      <c r="U46" s="2">
        <v>1338649</v>
      </c>
      <c r="V46" s="2">
        <v>2074510</v>
      </c>
      <c r="W46" s="2">
        <v>1219009</v>
      </c>
      <c r="X46" s="2">
        <v>1086225</v>
      </c>
      <c r="Y46" s="2">
        <v>430096</v>
      </c>
      <c r="Z46" s="2">
        <v>2163518</v>
      </c>
      <c r="AA46" s="2">
        <v>2480800</v>
      </c>
      <c r="AB46" s="2">
        <v>1442285</v>
      </c>
      <c r="AC46" s="2">
        <v>3055418</v>
      </c>
      <c r="AD46" s="2">
        <v>3861396</v>
      </c>
      <c r="AE46" s="2">
        <v>602815</v>
      </c>
      <c r="AF46" s="2">
        <v>539605</v>
      </c>
      <c r="AG46" s="2">
        <v>114859</v>
      </c>
      <c r="AH46" s="2">
        <v>29496</v>
      </c>
      <c r="AI46" s="6">
        <v>819</v>
      </c>
    </row>
    <row r="47" spans="10:35" x14ac:dyDescent="0.35">
      <c r="J47" t="s">
        <v>94</v>
      </c>
      <c r="K47" s="2">
        <v>-11817</v>
      </c>
      <c r="L47" s="2">
        <v>676372</v>
      </c>
      <c r="M47" s="2">
        <v>688189</v>
      </c>
      <c r="N47" s="2">
        <v>187492</v>
      </c>
      <c r="O47" s="2">
        <v>50389</v>
      </c>
      <c r="P47" s="2">
        <v>2416918</v>
      </c>
      <c r="Q47" s="2">
        <v>103178</v>
      </c>
      <c r="R47" s="2">
        <v>181206</v>
      </c>
      <c r="S47" s="2">
        <v>1254828</v>
      </c>
      <c r="T47" s="2">
        <v>4448939</v>
      </c>
      <c r="U47" s="2">
        <v>1338349</v>
      </c>
      <c r="V47" s="2">
        <v>2081207</v>
      </c>
      <c r="W47" s="2">
        <v>1216971</v>
      </c>
      <c r="X47" s="2">
        <v>1085331</v>
      </c>
      <c r="Y47" s="2">
        <v>431217</v>
      </c>
      <c r="Z47" s="2">
        <v>2166952</v>
      </c>
      <c r="AA47" s="2">
        <v>2485002</v>
      </c>
      <c r="AB47" s="2">
        <v>1417307</v>
      </c>
      <c r="AC47" s="2">
        <v>3050640</v>
      </c>
      <c r="AD47" s="2">
        <v>3866766</v>
      </c>
      <c r="AE47" s="2">
        <v>602826</v>
      </c>
      <c r="AF47" s="2">
        <v>540940</v>
      </c>
      <c r="AG47" s="2">
        <v>114873</v>
      </c>
      <c r="AH47" s="2">
        <v>27804</v>
      </c>
      <c r="AI47" s="6">
        <v>795</v>
      </c>
    </row>
    <row r="48" spans="10:35" x14ac:dyDescent="0.35">
      <c r="J48" t="s">
        <v>95</v>
      </c>
      <c r="K48" s="2">
        <v>-35776</v>
      </c>
      <c r="L48" s="2">
        <v>658550</v>
      </c>
      <c r="M48" s="2">
        <v>694326</v>
      </c>
      <c r="N48" s="2">
        <v>186877</v>
      </c>
      <c r="O48" s="2">
        <v>50701</v>
      </c>
      <c r="P48" s="2">
        <v>2414879</v>
      </c>
      <c r="Q48" s="2">
        <v>103442</v>
      </c>
      <c r="R48" s="2">
        <v>181219</v>
      </c>
      <c r="S48" s="2">
        <v>1256453</v>
      </c>
      <c r="T48" s="2">
        <v>4459529</v>
      </c>
      <c r="U48" s="2">
        <v>1337147</v>
      </c>
      <c r="V48" s="2">
        <v>2053658</v>
      </c>
      <c r="W48" s="2">
        <v>1215837</v>
      </c>
      <c r="X48" s="2">
        <v>1086994</v>
      </c>
      <c r="Y48" s="2">
        <v>431389</v>
      </c>
      <c r="Z48" s="2">
        <v>2170081</v>
      </c>
      <c r="AA48" s="2">
        <v>2464940</v>
      </c>
      <c r="AB48" s="2">
        <v>1418278</v>
      </c>
      <c r="AC48" s="2">
        <v>3052091</v>
      </c>
      <c r="AD48" s="2">
        <v>3877042</v>
      </c>
      <c r="AE48" s="2">
        <v>593881</v>
      </c>
      <c r="AF48" s="2">
        <v>537870</v>
      </c>
      <c r="AG48" s="2">
        <v>113245</v>
      </c>
      <c r="AH48" s="2">
        <v>44235</v>
      </c>
      <c r="AI48" s="6">
        <v>637</v>
      </c>
    </row>
    <row r="49" spans="10:35" x14ac:dyDescent="0.35">
      <c r="J49" t="s">
        <v>96</v>
      </c>
      <c r="K49" s="2">
        <v>-443140</v>
      </c>
      <c r="L49" s="2">
        <v>465778</v>
      </c>
      <c r="M49" s="2">
        <v>908918</v>
      </c>
      <c r="N49" s="2">
        <v>184131</v>
      </c>
      <c r="O49" s="2">
        <v>50818</v>
      </c>
      <c r="P49" s="2">
        <v>2390310</v>
      </c>
      <c r="Q49" s="2">
        <v>103139</v>
      </c>
      <c r="R49" s="2">
        <v>179538</v>
      </c>
      <c r="S49" s="2">
        <v>1239828</v>
      </c>
      <c r="T49" s="2">
        <v>4439879</v>
      </c>
      <c r="U49" s="2">
        <v>1323469</v>
      </c>
      <c r="V49" s="2">
        <v>1949031</v>
      </c>
      <c r="W49" s="2">
        <v>1204595</v>
      </c>
      <c r="X49" s="2">
        <v>1074368</v>
      </c>
      <c r="Y49" s="2">
        <v>426596</v>
      </c>
      <c r="Z49" s="2">
        <v>2146053</v>
      </c>
      <c r="AA49" s="2">
        <v>2342560</v>
      </c>
      <c r="AB49" s="2">
        <v>1416908</v>
      </c>
      <c r="AC49" s="2">
        <v>3021799</v>
      </c>
      <c r="AD49" s="2">
        <v>3871910</v>
      </c>
      <c r="AE49" s="2">
        <v>563745</v>
      </c>
      <c r="AF49" s="2">
        <v>525211</v>
      </c>
      <c r="AG49" s="2">
        <v>108524</v>
      </c>
      <c r="AH49" s="2">
        <v>61502</v>
      </c>
      <c r="AI49" s="6">
        <v>471</v>
      </c>
    </row>
    <row r="50" spans="10:35" x14ac:dyDescent="0.35">
      <c r="J50" t="s">
        <v>97</v>
      </c>
      <c r="K50" s="2">
        <v>-152285</v>
      </c>
      <c r="L50" s="2">
        <v>434276</v>
      </c>
      <c r="M50" s="2">
        <v>586561</v>
      </c>
      <c r="N50" s="2">
        <v>184065</v>
      </c>
      <c r="O50" s="2">
        <v>50674</v>
      </c>
      <c r="P50" s="2">
        <v>2383063</v>
      </c>
      <c r="Q50" s="2">
        <v>103076</v>
      </c>
      <c r="R50" s="2">
        <v>179146</v>
      </c>
      <c r="S50" s="2">
        <v>1238642</v>
      </c>
      <c r="T50" s="2">
        <v>4426288</v>
      </c>
      <c r="U50" s="2">
        <v>1319749</v>
      </c>
      <c r="V50" s="2">
        <v>1927089</v>
      </c>
      <c r="W50" s="2">
        <v>1199184</v>
      </c>
      <c r="X50" s="2">
        <v>1071713</v>
      </c>
      <c r="Y50" s="2">
        <v>424208</v>
      </c>
      <c r="Z50" s="2">
        <v>2137207</v>
      </c>
      <c r="AA50" s="2">
        <v>2329822</v>
      </c>
      <c r="AB50" s="2">
        <v>1396912</v>
      </c>
      <c r="AC50" s="2">
        <v>2979036</v>
      </c>
      <c r="AD50" s="2">
        <v>3873328</v>
      </c>
      <c r="AE50" s="2">
        <v>559274</v>
      </c>
      <c r="AF50" s="2">
        <v>520897</v>
      </c>
      <c r="AG50" s="2">
        <v>106754</v>
      </c>
      <c r="AH50" s="2">
        <v>73254</v>
      </c>
      <c r="AI50" s="6">
        <v>328</v>
      </c>
    </row>
    <row r="51" spans="10:35" x14ac:dyDescent="0.35">
      <c r="J51" t="s">
        <v>98</v>
      </c>
      <c r="K51" s="2">
        <v>-53962</v>
      </c>
      <c r="L51" s="2">
        <v>410819</v>
      </c>
      <c r="M51" s="2">
        <v>464781</v>
      </c>
      <c r="N51" s="2">
        <v>184068</v>
      </c>
      <c r="O51" s="2">
        <v>50459</v>
      </c>
      <c r="P51" s="2">
        <v>2374890</v>
      </c>
      <c r="Q51" s="2">
        <v>102939</v>
      </c>
      <c r="R51" s="2">
        <v>179055</v>
      </c>
      <c r="S51" s="2">
        <v>1239427</v>
      </c>
      <c r="T51" s="2">
        <v>4412629</v>
      </c>
      <c r="U51" s="2">
        <v>1318385</v>
      </c>
      <c r="V51" s="2">
        <v>1902289</v>
      </c>
      <c r="W51" s="2">
        <v>1195648</v>
      </c>
      <c r="X51" s="2">
        <v>1068453</v>
      </c>
      <c r="Y51" s="2">
        <v>423463</v>
      </c>
      <c r="Z51" s="2">
        <v>2133649</v>
      </c>
      <c r="AA51" s="2">
        <v>2340974</v>
      </c>
      <c r="AB51" s="2">
        <v>1396804</v>
      </c>
      <c r="AC51" s="2">
        <v>2966804</v>
      </c>
      <c r="AD51" s="2">
        <v>3885617</v>
      </c>
      <c r="AE51" s="2">
        <v>556305</v>
      </c>
      <c r="AF51" s="2">
        <v>517035</v>
      </c>
      <c r="AG51" s="2">
        <v>107275</v>
      </c>
      <c r="AH51" s="2">
        <v>155576</v>
      </c>
      <c r="AI51" s="6">
        <v>369</v>
      </c>
    </row>
    <row r="52" spans="10:35" x14ac:dyDescent="0.35">
      <c r="J52" t="s">
        <v>99</v>
      </c>
      <c r="K52" s="2">
        <v>-31607</v>
      </c>
      <c r="L52" s="2">
        <v>444827</v>
      </c>
      <c r="M52" s="2">
        <v>476434</v>
      </c>
      <c r="N52" s="2">
        <v>183638</v>
      </c>
      <c r="O52" s="2">
        <v>50052</v>
      </c>
      <c r="P52" s="2">
        <v>2365521</v>
      </c>
      <c r="Q52" s="2">
        <v>102659</v>
      </c>
      <c r="R52" s="2">
        <v>179012</v>
      </c>
      <c r="S52" s="2">
        <v>1241032</v>
      </c>
      <c r="T52" s="2">
        <v>4399467</v>
      </c>
      <c r="U52" s="2">
        <v>1319433</v>
      </c>
      <c r="V52" s="2">
        <v>1894756</v>
      </c>
      <c r="W52" s="2">
        <v>1191537</v>
      </c>
      <c r="X52" s="2">
        <v>1063484</v>
      </c>
      <c r="Y52" s="2">
        <v>422716</v>
      </c>
      <c r="Z52" s="2">
        <v>2128530</v>
      </c>
      <c r="AA52" s="2">
        <v>2339078</v>
      </c>
      <c r="AB52" s="2">
        <v>1415305</v>
      </c>
      <c r="AC52" s="2">
        <v>2957509</v>
      </c>
      <c r="AD52" s="2">
        <v>3896807</v>
      </c>
      <c r="AE52" s="2">
        <v>549720</v>
      </c>
      <c r="AF52" s="2">
        <v>515717</v>
      </c>
      <c r="AG52" s="2">
        <v>108587</v>
      </c>
      <c r="AH52" s="2">
        <v>149301</v>
      </c>
      <c r="AI52" s="6">
        <v>428</v>
      </c>
    </row>
    <row r="53" spans="10:35" x14ac:dyDescent="0.35">
      <c r="J53" t="s">
        <v>100</v>
      </c>
      <c r="K53" s="2">
        <v>-65556</v>
      </c>
      <c r="L53" s="2">
        <v>530404</v>
      </c>
      <c r="M53" s="2">
        <v>595960</v>
      </c>
      <c r="N53" s="2">
        <v>183410</v>
      </c>
      <c r="O53" s="2">
        <v>49187</v>
      </c>
      <c r="P53" s="2">
        <v>2344452</v>
      </c>
      <c r="Q53" s="2">
        <v>102403</v>
      </c>
      <c r="R53" s="2">
        <v>178837</v>
      </c>
      <c r="S53" s="2">
        <v>1235479</v>
      </c>
      <c r="T53" s="2">
        <v>4372072</v>
      </c>
      <c r="U53" s="2">
        <v>1322316</v>
      </c>
      <c r="V53" s="2">
        <v>1871737</v>
      </c>
      <c r="W53" s="2">
        <v>1188503</v>
      </c>
      <c r="X53" s="2">
        <v>1060674</v>
      </c>
      <c r="Y53" s="2">
        <v>421728</v>
      </c>
      <c r="Z53" s="2">
        <v>2124888</v>
      </c>
      <c r="AA53" s="2">
        <v>2342297</v>
      </c>
      <c r="AB53" s="2">
        <v>1423150</v>
      </c>
      <c r="AC53" s="2">
        <v>2990493</v>
      </c>
      <c r="AD53" s="2">
        <v>3898707</v>
      </c>
      <c r="AE53" s="2">
        <v>526500</v>
      </c>
      <c r="AF53" s="2">
        <v>512261</v>
      </c>
      <c r="AG53" s="2">
        <v>109910</v>
      </c>
      <c r="AH53" s="2">
        <v>57749</v>
      </c>
      <c r="AI53" s="6">
        <v>490</v>
      </c>
    </row>
    <row r="54" spans="10:35" x14ac:dyDescent="0.35">
      <c r="J54" t="s">
        <v>101</v>
      </c>
      <c r="K54" s="2">
        <v>-62545</v>
      </c>
      <c r="L54" s="2">
        <v>547800</v>
      </c>
      <c r="M54" s="2">
        <v>610345</v>
      </c>
      <c r="N54" s="2">
        <v>184190</v>
      </c>
      <c r="O54" s="2">
        <v>48613</v>
      </c>
      <c r="P54" s="2">
        <v>2327138</v>
      </c>
      <c r="Q54" s="2">
        <v>102166</v>
      </c>
      <c r="R54" s="2">
        <v>179142</v>
      </c>
      <c r="S54" s="2">
        <v>1235467</v>
      </c>
      <c r="T54" s="2">
        <v>4349127</v>
      </c>
      <c r="U54" s="2">
        <v>1320343</v>
      </c>
      <c r="V54" s="2">
        <v>1856494</v>
      </c>
      <c r="W54" s="2">
        <v>1186310</v>
      </c>
      <c r="X54" s="2">
        <v>1059466</v>
      </c>
      <c r="Y54" s="2">
        <v>422071</v>
      </c>
      <c r="Z54" s="2">
        <v>2116319</v>
      </c>
      <c r="AA54" s="2">
        <v>2321486</v>
      </c>
      <c r="AB54" s="2">
        <v>1431135</v>
      </c>
      <c r="AC54" s="2">
        <v>3024653</v>
      </c>
      <c r="AD54" s="2">
        <v>3903850</v>
      </c>
      <c r="AE54" s="2">
        <v>509310</v>
      </c>
      <c r="AF54" s="2">
        <v>508328</v>
      </c>
      <c r="AG54" s="2">
        <v>110852</v>
      </c>
      <c r="AH54" s="2">
        <v>81670</v>
      </c>
      <c r="AI54" s="6">
        <v>535</v>
      </c>
    </row>
    <row r="55" spans="10:35" x14ac:dyDescent="0.35">
      <c r="J55" t="s">
        <v>102</v>
      </c>
      <c r="K55" s="2">
        <v>-31479</v>
      </c>
      <c r="L55" s="2">
        <v>559266</v>
      </c>
      <c r="M55" s="2">
        <v>590745</v>
      </c>
      <c r="N55" s="2">
        <v>184320</v>
      </c>
      <c r="O55" s="2">
        <v>48286</v>
      </c>
      <c r="P55" s="2">
        <v>2317047</v>
      </c>
      <c r="Q55" s="2">
        <v>102031</v>
      </c>
      <c r="R55" s="2">
        <v>179870</v>
      </c>
      <c r="S55" s="2">
        <v>1239660</v>
      </c>
      <c r="T55" s="2">
        <v>4340475</v>
      </c>
      <c r="U55" s="2">
        <v>1320978</v>
      </c>
      <c r="V55" s="2">
        <v>1831138</v>
      </c>
      <c r="W55" s="2">
        <v>1184918</v>
      </c>
      <c r="X55" s="2">
        <v>1057477</v>
      </c>
      <c r="Y55" s="2">
        <v>422410</v>
      </c>
      <c r="Z55" s="2">
        <v>2117934</v>
      </c>
      <c r="AA55" s="2">
        <v>2334517</v>
      </c>
      <c r="AB55" s="2">
        <v>1433773</v>
      </c>
      <c r="AC55" s="2">
        <v>3018366</v>
      </c>
      <c r="AD55" s="2">
        <v>3910915</v>
      </c>
      <c r="AE55" s="2">
        <v>503606</v>
      </c>
      <c r="AF55" s="2">
        <v>506123</v>
      </c>
      <c r="AG55" s="2">
        <v>111137</v>
      </c>
      <c r="AH55" s="2">
        <v>51351</v>
      </c>
      <c r="AI55" s="6">
        <v>560</v>
      </c>
    </row>
    <row r="56" spans="10:35" x14ac:dyDescent="0.35">
      <c r="J56" t="s">
        <v>103</v>
      </c>
      <c r="K56" s="2">
        <v>-75543</v>
      </c>
      <c r="L56" s="2">
        <v>564675</v>
      </c>
      <c r="M56" s="2">
        <v>640218</v>
      </c>
      <c r="N56" s="2">
        <v>183769</v>
      </c>
      <c r="O56" s="2">
        <v>48293</v>
      </c>
      <c r="P56" s="2">
        <v>2307118</v>
      </c>
      <c r="Q56" s="2">
        <v>102078</v>
      </c>
      <c r="R56" s="2">
        <v>180386</v>
      </c>
      <c r="S56" s="2">
        <v>1245963</v>
      </c>
      <c r="T56" s="2">
        <v>4304020</v>
      </c>
      <c r="U56" s="2">
        <v>1325097</v>
      </c>
      <c r="V56" s="2">
        <v>1767304</v>
      </c>
      <c r="W56" s="2">
        <v>1185347</v>
      </c>
      <c r="X56" s="2">
        <v>1055973</v>
      </c>
      <c r="Y56" s="2">
        <v>422578</v>
      </c>
      <c r="Z56" s="2">
        <v>2118948</v>
      </c>
      <c r="AA56" s="2">
        <v>2353457</v>
      </c>
      <c r="AB56" s="2">
        <v>1438356</v>
      </c>
      <c r="AC56" s="2">
        <v>3014324</v>
      </c>
      <c r="AD56" s="2">
        <v>3928795</v>
      </c>
      <c r="AE56" s="2">
        <v>495371</v>
      </c>
      <c r="AF56" s="2">
        <v>501070</v>
      </c>
      <c r="AG56" s="2">
        <v>111190</v>
      </c>
      <c r="AH56" s="2">
        <v>36686</v>
      </c>
      <c r="AI56" s="6">
        <v>602</v>
      </c>
    </row>
    <row r="57" spans="10:35" x14ac:dyDescent="0.35">
      <c r="J57" t="s">
        <v>104</v>
      </c>
      <c r="K57" s="2">
        <v>35114</v>
      </c>
      <c r="L57" s="2">
        <v>605261</v>
      </c>
      <c r="M57" s="2">
        <v>570147</v>
      </c>
      <c r="N57" s="2">
        <v>185561</v>
      </c>
      <c r="O57" s="2">
        <v>48316</v>
      </c>
      <c r="P57" s="2">
        <v>2301006</v>
      </c>
      <c r="Q57" s="2">
        <v>102028</v>
      </c>
      <c r="R57" s="2">
        <v>181253</v>
      </c>
      <c r="S57" s="2">
        <v>1244686</v>
      </c>
      <c r="T57" s="2">
        <v>4309640</v>
      </c>
      <c r="U57" s="2">
        <v>1328847</v>
      </c>
      <c r="V57" s="2">
        <v>1744365</v>
      </c>
      <c r="W57" s="2">
        <v>1188046</v>
      </c>
      <c r="X57" s="2">
        <v>1055110</v>
      </c>
      <c r="Y57" s="2">
        <v>423728</v>
      </c>
      <c r="Z57" s="2">
        <v>2128000</v>
      </c>
      <c r="AA57" s="2">
        <v>2368635</v>
      </c>
      <c r="AB57" s="2">
        <v>1443127</v>
      </c>
      <c r="AC57" s="2">
        <v>3019937</v>
      </c>
      <c r="AD57" s="2">
        <v>3944701</v>
      </c>
      <c r="AE57" s="2">
        <v>493600</v>
      </c>
      <c r="AF57" s="2">
        <v>502582</v>
      </c>
      <c r="AG57" s="2">
        <v>111380</v>
      </c>
      <c r="AH57" s="2">
        <v>23083</v>
      </c>
      <c r="AI57" s="6">
        <v>617</v>
      </c>
    </row>
    <row r="58" spans="10:35" x14ac:dyDescent="0.35">
      <c r="J58" t="s">
        <v>105</v>
      </c>
      <c r="K58" s="2">
        <v>37445</v>
      </c>
      <c r="L58" s="2">
        <v>590208</v>
      </c>
      <c r="M58" s="2">
        <v>552763</v>
      </c>
      <c r="N58" s="2">
        <v>184506</v>
      </c>
      <c r="O58" s="2">
        <v>48256</v>
      </c>
      <c r="P58" s="2">
        <v>2305677</v>
      </c>
      <c r="Q58" s="2">
        <v>101884</v>
      </c>
      <c r="R58" s="2">
        <v>181584</v>
      </c>
      <c r="S58" s="2">
        <v>1261782</v>
      </c>
      <c r="T58" s="2">
        <v>4302136</v>
      </c>
      <c r="U58" s="2">
        <v>1326984</v>
      </c>
      <c r="V58" s="2">
        <v>1749578</v>
      </c>
      <c r="W58" s="2">
        <v>1188657</v>
      </c>
      <c r="X58" s="2">
        <v>1052282</v>
      </c>
      <c r="Y58" s="2">
        <v>423598</v>
      </c>
      <c r="Z58" s="2">
        <v>2134580</v>
      </c>
      <c r="AA58" s="2">
        <v>2383337</v>
      </c>
      <c r="AB58" s="2">
        <v>1447201</v>
      </c>
      <c r="AC58" s="2">
        <v>3014187</v>
      </c>
      <c r="AD58" s="2">
        <v>3954441</v>
      </c>
      <c r="AE58" s="2">
        <v>491527</v>
      </c>
      <c r="AF58" s="2">
        <v>499159</v>
      </c>
      <c r="AG58" s="2">
        <v>110639</v>
      </c>
      <c r="AH58" s="2">
        <v>31946</v>
      </c>
      <c r="AI58" s="6">
        <v>621</v>
      </c>
    </row>
    <row r="59" spans="10:35" x14ac:dyDescent="0.35">
      <c r="J59" t="s">
        <v>106</v>
      </c>
      <c r="K59" s="2">
        <v>-3084</v>
      </c>
      <c r="L59" s="2">
        <v>502842</v>
      </c>
      <c r="M59" s="2">
        <v>505926</v>
      </c>
      <c r="N59" s="2">
        <v>184783</v>
      </c>
      <c r="O59" s="2">
        <v>48183</v>
      </c>
      <c r="P59" s="2">
        <v>2303863</v>
      </c>
      <c r="Q59" s="2">
        <v>101307</v>
      </c>
      <c r="R59" s="2">
        <v>181689</v>
      </c>
      <c r="S59" s="2">
        <v>1262514</v>
      </c>
      <c r="T59" s="2">
        <v>4307814</v>
      </c>
      <c r="U59" s="2">
        <v>1329126</v>
      </c>
      <c r="V59" s="2">
        <v>1739303</v>
      </c>
      <c r="W59" s="2">
        <v>1190354</v>
      </c>
      <c r="X59" s="2">
        <v>1050541</v>
      </c>
      <c r="Y59" s="2">
        <v>424284</v>
      </c>
      <c r="Z59" s="2">
        <v>2141966</v>
      </c>
      <c r="AA59" s="2">
        <v>2383093</v>
      </c>
      <c r="AB59" s="2">
        <v>1450221</v>
      </c>
      <c r="AC59" s="2">
        <v>2997423</v>
      </c>
      <c r="AD59" s="2">
        <v>3971195</v>
      </c>
      <c r="AE59" s="2">
        <v>483885</v>
      </c>
      <c r="AF59" s="2">
        <v>496937</v>
      </c>
      <c r="AG59" s="2">
        <v>110429</v>
      </c>
      <c r="AH59" s="2">
        <v>26576</v>
      </c>
      <c r="AI59" s="6">
        <v>626</v>
      </c>
    </row>
    <row r="60" spans="10:35" x14ac:dyDescent="0.35">
      <c r="J60" t="s">
        <v>107</v>
      </c>
      <c r="K60" s="2">
        <v>36176</v>
      </c>
      <c r="L60" s="2">
        <v>537763</v>
      </c>
      <c r="M60" s="2">
        <v>501587</v>
      </c>
      <c r="N60" s="2">
        <v>185261</v>
      </c>
      <c r="O60" s="2">
        <v>48315</v>
      </c>
      <c r="P60" s="2">
        <v>2307192</v>
      </c>
      <c r="Q60" s="2">
        <v>100933</v>
      </c>
      <c r="R60" s="2">
        <v>182527</v>
      </c>
      <c r="S60" s="2">
        <v>1268019</v>
      </c>
      <c r="T60" s="2">
        <v>4299650</v>
      </c>
      <c r="U60" s="2">
        <v>1332808</v>
      </c>
      <c r="V60" s="2">
        <v>1725916</v>
      </c>
      <c r="W60" s="2">
        <v>1194562</v>
      </c>
      <c r="X60" s="2">
        <v>1047977</v>
      </c>
      <c r="Y60" s="2">
        <v>425536</v>
      </c>
      <c r="Z60" s="2">
        <v>2154190</v>
      </c>
      <c r="AA60" s="2">
        <v>2385564</v>
      </c>
      <c r="AB60" s="2">
        <v>1457557</v>
      </c>
      <c r="AC60" s="2">
        <v>3002281</v>
      </c>
      <c r="AD60" s="2">
        <v>3992874</v>
      </c>
      <c r="AE60" s="2">
        <v>476736</v>
      </c>
      <c r="AF60" s="2">
        <v>496318</v>
      </c>
      <c r="AG60" s="2">
        <v>110872</v>
      </c>
      <c r="AH60" s="2">
        <v>27809</v>
      </c>
      <c r="AI60" s="6">
        <v>659</v>
      </c>
    </row>
    <row r="61" spans="10:35" x14ac:dyDescent="0.35">
      <c r="J61" t="s">
        <v>108</v>
      </c>
      <c r="K61" s="2">
        <v>123333</v>
      </c>
      <c r="L61" s="2">
        <v>629812</v>
      </c>
      <c r="M61" s="2">
        <v>506479</v>
      </c>
      <c r="N61" s="2">
        <v>186234</v>
      </c>
      <c r="O61" s="2">
        <v>48087</v>
      </c>
      <c r="P61" s="2">
        <v>2310541</v>
      </c>
      <c r="Q61" s="2">
        <v>100614</v>
      </c>
      <c r="R61" s="2">
        <v>183291</v>
      </c>
      <c r="S61" s="2">
        <v>1273188</v>
      </c>
      <c r="T61" s="2">
        <v>4324667</v>
      </c>
      <c r="U61" s="2">
        <v>1329164</v>
      </c>
      <c r="V61" s="2">
        <v>1729710</v>
      </c>
      <c r="W61" s="2">
        <v>1193095</v>
      </c>
      <c r="X61" s="2">
        <v>1045167</v>
      </c>
      <c r="Y61" s="2">
        <v>427020</v>
      </c>
      <c r="Z61" s="2">
        <v>2167459</v>
      </c>
      <c r="AA61" s="2">
        <v>2414897</v>
      </c>
      <c r="AB61" s="2">
        <v>1466733</v>
      </c>
      <c r="AC61" s="2">
        <v>3015819</v>
      </c>
      <c r="AD61" s="2">
        <v>4013344</v>
      </c>
      <c r="AE61" s="2">
        <v>476752</v>
      </c>
      <c r="AF61" s="2">
        <v>501424</v>
      </c>
      <c r="AG61" s="2">
        <v>111214</v>
      </c>
      <c r="AH61" s="2">
        <v>18492</v>
      </c>
      <c r="AI61" s="6">
        <v>764</v>
      </c>
    </row>
    <row r="62" spans="10:35" x14ac:dyDescent="0.35">
      <c r="J62" t="s">
        <v>109</v>
      </c>
      <c r="K62" s="2">
        <v>201329</v>
      </c>
      <c r="L62" s="2">
        <v>753574</v>
      </c>
      <c r="M62" s="2">
        <v>552245</v>
      </c>
      <c r="N62" s="2">
        <v>185972</v>
      </c>
      <c r="O62" s="2">
        <v>48129</v>
      </c>
      <c r="P62" s="2">
        <v>2315136</v>
      </c>
      <c r="Q62" s="2">
        <v>100249</v>
      </c>
      <c r="R62" s="2">
        <v>184165</v>
      </c>
      <c r="S62" s="2">
        <v>1277472</v>
      </c>
      <c r="T62" s="2">
        <v>4342095</v>
      </c>
      <c r="U62" s="2">
        <v>1328080</v>
      </c>
      <c r="V62" s="2">
        <v>1820407</v>
      </c>
      <c r="W62" s="2">
        <v>1198504</v>
      </c>
      <c r="X62" s="2">
        <v>1042676</v>
      </c>
      <c r="Y62" s="2">
        <v>428070</v>
      </c>
      <c r="Z62" s="2">
        <v>2184434</v>
      </c>
      <c r="AA62" s="2">
        <v>2430444</v>
      </c>
      <c r="AB62" s="2">
        <v>1473070</v>
      </c>
      <c r="AC62" s="2">
        <v>3028013</v>
      </c>
      <c r="AD62" s="2">
        <v>4019283</v>
      </c>
      <c r="AE62" s="2">
        <v>496006</v>
      </c>
      <c r="AF62" s="2">
        <v>506211</v>
      </c>
      <c r="AG62" s="2">
        <v>111335</v>
      </c>
      <c r="AH62" s="2">
        <v>19211</v>
      </c>
      <c r="AI62" s="6">
        <v>867</v>
      </c>
    </row>
    <row r="63" spans="10:35" x14ac:dyDescent="0.35">
      <c r="J63" t="s">
        <v>110</v>
      </c>
      <c r="K63" s="2">
        <v>165571</v>
      </c>
      <c r="L63" s="2">
        <v>751934</v>
      </c>
      <c r="M63" s="2">
        <v>586363</v>
      </c>
      <c r="N63" s="2">
        <v>185148</v>
      </c>
      <c r="O63" s="2">
        <v>48215</v>
      </c>
      <c r="P63" s="2">
        <v>2319428</v>
      </c>
      <c r="Q63" s="2">
        <v>99799</v>
      </c>
      <c r="R63" s="2">
        <v>184668</v>
      </c>
      <c r="S63" s="2">
        <v>1280051</v>
      </c>
      <c r="T63" s="2">
        <v>4342848</v>
      </c>
      <c r="U63" s="2">
        <v>1325513</v>
      </c>
      <c r="V63" s="2">
        <v>1920576</v>
      </c>
      <c r="W63" s="2">
        <v>1204253</v>
      </c>
      <c r="X63" s="2">
        <v>1040322</v>
      </c>
      <c r="Y63" s="2">
        <v>429184</v>
      </c>
      <c r="Z63" s="2">
        <v>2194490</v>
      </c>
      <c r="AA63" s="2">
        <v>2444707</v>
      </c>
      <c r="AB63" s="2">
        <v>1474657</v>
      </c>
      <c r="AC63" s="2">
        <v>3032714</v>
      </c>
      <c r="AD63" s="2">
        <v>4020028</v>
      </c>
      <c r="AE63" s="2">
        <v>517943</v>
      </c>
      <c r="AF63" s="2">
        <v>509154</v>
      </c>
      <c r="AG63" s="2">
        <v>111625</v>
      </c>
      <c r="AH63" s="2">
        <v>15741</v>
      </c>
      <c r="AI63" s="6">
        <v>968</v>
      </c>
    </row>
    <row r="64" spans="10:35" x14ac:dyDescent="0.35">
      <c r="J64" t="s">
        <v>111</v>
      </c>
      <c r="K64" s="2">
        <v>115105</v>
      </c>
      <c r="L64" s="2">
        <v>697531</v>
      </c>
      <c r="M64" s="2">
        <v>582426</v>
      </c>
      <c r="N64" s="2">
        <v>186723</v>
      </c>
      <c r="O64" s="2">
        <v>48310</v>
      </c>
      <c r="P64" s="2">
        <v>2324507</v>
      </c>
      <c r="Q64" s="2">
        <v>99480</v>
      </c>
      <c r="R64" s="2">
        <v>185563</v>
      </c>
      <c r="S64" s="2">
        <v>1283349</v>
      </c>
      <c r="T64" s="2">
        <v>4347055</v>
      </c>
      <c r="U64" s="2">
        <v>1328656</v>
      </c>
      <c r="V64" s="2">
        <v>1965352</v>
      </c>
      <c r="W64" s="2">
        <v>1210461</v>
      </c>
      <c r="X64" s="2">
        <v>1037758</v>
      </c>
      <c r="Y64" s="2">
        <v>430508</v>
      </c>
      <c r="Z64" s="2">
        <v>2206350</v>
      </c>
      <c r="AA64" s="2">
        <v>2459676</v>
      </c>
      <c r="AB64" s="2">
        <v>1474166</v>
      </c>
      <c r="AC64" s="2">
        <v>3029023</v>
      </c>
      <c r="AD64" s="2">
        <v>4027590</v>
      </c>
      <c r="AE64" s="2">
        <v>531627</v>
      </c>
      <c r="AF64" s="2">
        <v>512530</v>
      </c>
      <c r="AG64" s="2">
        <v>111741</v>
      </c>
      <c r="AH64" s="2">
        <v>14078</v>
      </c>
      <c r="AI64" s="6">
        <v>1052</v>
      </c>
    </row>
    <row r="65" spans="10:35" x14ac:dyDescent="0.35">
      <c r="J65" t="s">
        <v>112</v>
      </c>
      <c r="K65" s="2">
        <v>148259</v>
      </c>
      <c r="L65" s="2">
        <v>709645</v>
      </c>
      <c r="M65" s="2">
        <v>561386</v>
      </c>
      <c r="N65" s="2">
        <v>187792</v>
      </c>
      <c r="O65" s="2">
        <v>48433</v>
      </c>
      <c r="P65" s="2">
        <v>2329694</v>
      </c>
      <c r="Q65" s="2">
        <v>99468</v>
      </c>
      <c r="R65" s="2">
        <v>186345</v>
      </c>
      <c r="S65" s="2">
        <v>1286659</v>
      </c>
      <c r="T65" s="2">
        <v>4356964</v>
      </c>
      <c r="U65" s="2">
        <v>1334331</v>
      </c>
      <c r="V65" s="2">
        <v>1992069</v>
      </c>
      <c r="W65" s="2">
        <v>1218479</v>
      </c>
      <c r="X65" s="2">
        <v>1038131</v>
      </c>
      <c r="Y65" s="2">
        <v>431815</v>
      </c>
      <c r="Z65" s="2">
        <v>2219540</v>
      </c>
      <c r="AA65" s="2">
        <v>2478987</v>
      </c>
      <c r="AB65" s="2">
        <v>1480038</v>
      </c>
      <c r="AC65" s="2">
        <v>3057424</v>
      </c>
      <c r="AD65" s="2">
        <v>4034549</v>
      </c>
      <c r="AE65" s="2">
        <v>540794</v>
      </c>
      <c r="AF65" s="2">
        <v>515380</v>
      </c>
      <c r="AG65" s="2">
        <v>111793</v>
      </c>
      <c r="AH65" s="2">
        <v>12687</v>
      </c>
      <c r="AI65" s="6">
        <v>1125</v>
      </c>
    </row>
    <row r="66" spans="10:35" x14ac:dyDescent="0.35">
      <c r="J66" t="s">
        <v>113</v>
      </c>
      <c r="K66" s="2">
        <v>104345</v>
      </c>
      <c r="L66" s="2">
        <v>699738</v>
      </c>
      <c r="M66" s="2">
        <v>595393</v>
      </c>
      <c r="N66" s="2">
        <v>188485</v>
      </c>
      <c r="O66" s="2">
        <v>48499</v>
      </c>
      <c r="P66" s="2">
        <v>2332855</v>
      </c>
      <c r="Q66" s="2">
        <v>98984</v>
      </c>
      <c r="R66" s="2">
        <v>187091</v>
      </c>
      <c r="S66" s="2">
        <v>1289430</v>
      </c>
      <c r="T66" s="2">
        <v>4361832</v>
      </c>
      <c r="U66" s="2">
        <v>1337721</v>
      </c>
      <c r="V66" s="2">
        <v>2014428</v>
      </c>
      <c r="W66" s="2">
        <v>1225771</v>
      </c>
      <c r="X66" s="2">
        <v>1037151</v>
      </c>
      <c r="Y66" s="2">
        <v>432787</v>
      </c>
      <c r="Z66" s="2">
        <v>2231048</v>
      </c>
      <c r="AA66" s="2">
        <v>2488391</v>
      </c>
      <c r="AB66" s="2">
        <v>1483087</v>
      </c>
      <c r="AC66" s="2">
        <v>3075193</v>
      </c>
      <c r="AD66" s="2">
        <v>4043481</v>
      </c>
      <c r="AE66" s="2">
        <v>547570</v>
      </c>
      <c r="AF66" s="2">
        <v>517502</v>
      </c>
      <c r="AG66" s="2">
        <v>111726</v>
      </c>
      <c r="AH66" s="2">
        <v>13836</v>
      </c>
      <c r="AI66" s="6">
        <v>1198</v>
      </c>
    </row>
    <row r="67" spans="10:35" x14ac:dyDescent="0.35">
      <c r="J67" t="s">
        <v>114</v>
      </c>
      <c r="K67" s="2">
        <v>19236</v>
      </c>
      <c r="L67" s="2">
        <v>689877</v>
      </c>
      <c r="M67" s="2">
        <v>670641</v>
      </c>
      <c r="N67" s="2">
        <v>189859</v>
      </c>
      <c r="O67" s="2">
        <v>48473</v>
      </c>
      <c r="P67" s="2">
        <v>2336379</v>
      </c>
      <c r="Q67" s="2">
        <v>98293</v>
      </c>
      <c r="R67" s="2">
        <v>187738</v>
      </c>
      <c r="S67" s="2">
        <v>1287566</v>
      </c>
      <c r="T67" s="2">
        <v>4365517</v>
      </c>
      <c r="U67" s="2">
        <v>1338304</v>
      </c>
      <c r="V67" s="2">
        <v>2031428</v>
      </c>
      <c r="W67" s="2">
        <v>1231603</v>
      </c>
      <c r="X67" s="2">
        <v>1037437</v>
      </c>
      <c r="Y67" s="2">
        <v>433022</v>
      </c>
      <c r="Z67" s="2">
        <v>2239989</v>
      </c>
      <c r="AA67" s="2">
        <v>2490656</v>
      </c>
      <c r="AB67" s="2">
        <v>1486245</v>
      </c>
      <c r="AC67" s="2">
        <v>3071711</v>
      </c>
      <c r="AD67" s="2">
        <v>4015795</v>
      </c>
      <c r="AE67" s="2">
        <v>552382</v>
      </c>
      <c r="AF67" s="2">
        <v>518242</v>
      </c>
      <c r="AG67" s="2">
        <v>111626</v>
      </c>
      <c r="AH67" s="2">
        <v>12818</v>
      </c>
      <c r="AI67" s="6">
        <v>1223</v>
      </c>
    </row>
    <row r="68" spans="10:35" x14ac:dyDescent="0.35">
      <c r="J68" t="s">
        <v>115</v>
      </c>
      <c r="K68" s="2">
        <v>98115</v>
      </c>
      <c r="L68" s="2">
        <v>717306</v>
      </c>
      <c r="M68" s="2">
        <v>619191</v>
      </c>
      <c r="N68" s="2">
        <v>191174</v>
      </c>
      <c r="O68" s="2">
        <v>48482</v>
      </c>
      <c r="P68" s="2">
        <v>2342160</v>
      </c>
      <c r="Q68" s="2">
        <v>97843</v>
      </c>
      <c r="R68" s="2">
        <v>188406</v>
      </c>
      <c r="S68" s="2">
        <v>1290469</v>
      </c>
      <c r="T68" s="2">
        <v>4377898</v>
      </c>
      <c r="U68" s="2">
        <v>1345212</v>
      </c>
      <c r="V68" s="2">
        <v>2046916</v>
      </c>
      <c r="W68" s="2">
        <v>1239730</v>
      </c>
      <c r="X68" s="2">
        <v>1038867</v>
      </c>
      <c r="Y68" s="2">
        <v>434271</v>
      </c>
      <c r="Z68" s="2">
        <v>2251617</v>
      </c>
      <c r="AA68" s="2">
        <v>2511794</v>
      </c>
      <c r="AB68" s="2">
        <v>1487475</v>
      </c>
      <c r="AC68" s="2">
        <v>3068453</v>
      </c>
      <c r="AD68" s="2">
        <v>4020033</v>
      </c>
      <c r="AE68" s="2">
        <v>557740</v>
      </c>
      <c r="AF68" s="2">
        <v>519972</v>
      </c>
      <c r="AG68" s="2">
        <v>111870</v>
      </c>
      <c r="AH68" s="2">
        <v>16892</v>
      </c>
      <c r="AI68" s="6">
        <v>1243</v>
      </c>
    </row>
    <row r="69" spans="10:35" x14ac:dyDescent="0.35">
      <c r="J69" t="s">
        <v>116</v>
      </c>
      <c r="K69" s="2">
        <v>79917</v>
      </c>
      <c r="L69" s="2">
        <v>701123</v>
      </c>
      <c r="M69" s="2">
        <v>621206</v>
      </c>
      <c r="N69" s="2">
        <v>191409</v>
      </c>
      <c r="O69" s="2">
        <v>48602</v>
      </c>
      <c r="P69" s="2">
        <v>2352691</v>
      </c>
      <c r="Q69" s="2">
        <v>97732</v>
      </c>
      <c r="R69" s="2">
        <v>188987</v>
      </c>
      <c r="S69" s="2">
        <v>1295563</v>
      </c>
      <c r="T69" s="2">
        <v>4381362</v>
      </c>
      <c r="U69" s="2">
        <v>1351070</v>
      </c>
      <c r="V69" s="2">
        <v>2060612</v>
      </c>
      <c r="W69" s="2">
        <v>1245693</v>
      </c>
      <c r="X69" s="2">
        <v>1039609</v>
      </c>
      <c r="Y69" s="2">
        <v>435813</v>
      </c>
      <c r="Z69" s="2">
        <v>2262215</v>
      </c>
      <c r="AA69" s="2">
        <v>2504946</v>
      </c>
      <c r="AB69" s="2">
        <v>1489535</v>
      </c>
      <c r="AC69" s="2">
        <v>3080467</v>
      </c>
      <c r="AD69" s="2">
        <v>4027565</v>
      </c>
      <c r="AE69" s="2">
        <v>562247</v>
      </c>
      <c r="AF69" s="2">
        <v>522038</v>
      </c>
      <c r="AG69" s="2">
        <v>112142</v>
      </c>
      <c r="AH69" s="2">
        <v>7141</v>
      </c>
      <c r="AI69" s="6">
        <v>1250</v>
      </c>
    </row>
    <row r="70" spans="10:35" x14ac:dyDescent="0.35">
      <c r="J70" t="s">
        <v>117</v>
      </c>
      <c r="K70" s="2">
        <v>48827</v>
      </c>
      <c r="L70" s="2">
        <v>687724</v>
      </c>
      <c r="M70" s="2">
        <v>638897</v>
      </c>
      <c r="N70" s="2">
        <v>191150</v>
      </c>
      <c r="O70" s="2">
        <v>48414</v>
      </c>
      <c r="P70" s="2">
        <v>2349562</v>
      </c>
      <c r="Q70" s="2">
        <v>97588</v>
      </c>
      <c r="R70" s="2">
        <v>189545</v>
      </c>
      <c r="S70" s="2">
        <v>1295851</v>
      </c>
      <c r="T70" s="2">
        <v>4375979</v>
      </c>
      <c r="U70" s="2">
        <v>1350585</v>
      </c>
      <c r="V70" s="2">
        <v>2066091</v>
      </c>
      <c r="W70" s="2">
        <v>1252723</v>
      </c>
      <c r="X70" s="2">
        <v>1040146</v>
      </c>
      <c r="Y70" s="2">
        <v>437148</v>
      </c>
      <c r="Z70" s="2">
        <v>2271940</v>
      </c>
      <c r="AA70" s="2">
        <v>2518353</v>
      </c>
      <c r="AB70" s="2">
        <v>1489355</v>
      </c>
      <c r="AC70" s="2">
        <v>3092255</v>
      </c>
      <c r="AD70" s="2">
        <v>4030952</v>
      </c>
      <c r="AE70" s="2">
        <v>565942</v>
      </c>
      <c r="AF70" s="2">
        <v>523243</v>
      </c>
      <c r="AG70" s="2">
        <v>112303</v>
      </c>
      <c r="AH70" s="2">
        <v>13684</v>
      </c>
      <c r="AI70" s="6">
        <v>1267</v>
      </c>
    </row>
    <row r="71" spans="10:35" x14ac:dyDescent="0.35">
      <c r="J71" t="s">
        <v>118</v>
      </c>
      <c r="K71" s="2">
        <v>116601</v>
      </c>
      <c r="L71" s="2">
        <v>725868</v>
      </c>
      <c r="M71" s="2">
        <v>609267</v>
      </c>
      <c r="N71" s="2">
        <v>191257</v>
      </c>
      <c r="O71" s="2">
        <v>48437</v>
      </c>
      <c r="P71" s="2">
        <v>2352979</v>
      </c>
      <c r="Q71" s="2">
        <v>97622</v>
      </c>
      <c r="R71" s="2">
        <v>190343</v>
      </c>
      <c r="S71" s="2">
        <v>1298275</v>
      </c>
      <c r="T71" s="2">
        <v>4400831</v>
      </c>
      <c r="U71" s="2">
        <v>1351161</v>
      </c>
      <c r="V71" s="2">
        <v>2087616</v>
      </c>
      <c r="W71" s="2">
        <v>1260812</v>
      </c>
      <c r="X71" s="2">
        <v>1041710</v>
      </c>
      <c r="Y71" s="2">
        <v>438547</v>
      </c>
      <c r="Z71" s="2">
        <v>2287149</v>
      </c>
      <c r="AA71" s="2">
        <v>2528808</v>
      </c>
      <c r="AB71" s="2">
        <v>1492127</v>
      </c>
      <c r="AC71" s="2">
        <v>3105182</v>
      </c>
      <c r="AD71" s="2">
        <v>4034132</v>
      </c>
      <c r="AE71" s="2">
        <v>571034</v>
      </c>
      <c r="AF71" s="2">
        <v>525176</v>
      </c>
      <c r="AG71" s="2">
        <v>112527</v>
      </c>
      <c r="AH71" s="2">
        <v>19413</v>
      </c>
      <c r="AI71" s="6">
        <v>1276</v>
      </c>
    </row>
    <row r="72" spans="10:35" x14ac:dyDescent="0.35">
      <c r="J72" t="s">
        <v>119</v>
      </c>
      <c r="K72" s="2">
        <v>74909</v>
      </c>
      <c r="L72" s="2">
        <v>711900</v>
      </c>
      <c r="M72" s="2">
        <v>636991</v>
      </c>
      <c r="N72" s="2">
        <v>190948</v>
      </c>
      <c r="O72" s="2">
        <v>48370</v>
      </c>
      <c r="P72" s="2">
        <v>2354544</v>
      </c>
      <c r="Q72" s="2">
        <v>97658</v>
      </c>
      <c r="R72" s="2">
        <v>190884</v>
      </c>
      <c r="S72" s="2">
        <v>1298239</v>
      </c>
      <c r="T72" s="2">
        <v>4396513</v>
      </c>
      <c r="U72" s="2">
        <v>1352991</v>
      </c>
      <c r="V72" s="2">
        <v>2111619</v>
      </c>
      <c r="W72" s="2">
        <v>1268765</v>
      </c>
      <c r="X72" s="2">
        <v>1042633</v>
      </c>
      <c r="Y72" s="2">
        <v>439638</v>
      </c>
      <c r="Z72" s="2">
        <v>2296708</v>
      </c>
      <c r="AA72" s="2">
        <v>2534032</v>
      </c>
      <c r="AB72" s="2">
        <v>1496743</v>
      </c>
      <c r="AC72" s="2">
        <v>3121881</v>
      </c>
      <c r="AD72" s="2">
        <v>4033868</v>
      </c>
      <c r="AE72" s="2">
        <v>575166</v>
      </c>
      <c r="AF72" s="2">
        <v>526743</v>
      </c>
      <c r="AG72" s="2">
        <v>112692</v>
      </c>
      <c r="AH72" s="2">
        <v>25216</v>
      </c>
      <c r="AI72" s="6">
        <v>1291</v>
      </c>
    </row>
    <row r="73" spans="10:35" x14ac:dyDescent="0.35">
      <c r="J73" t="s">
        <v>120</v>
      </c>
      <c r="K73" s="2">
        <v>34344</v>
      </c>
      <c r="L73" s="2">
        <v>710645</v>
      </c>
      <c r="M73" s="2">
        <v>676301</v>
      </c>
      <c r="N73" s="2">
        <v>191849</v>
      </c>
      <c r="O73" s="2">
        <v>48122</v>
      </c>
      <c r="P73" s="2">
        <v>2354421</v>
      </c>
      <c r="Q73" s="2">
        <v>97789</v>
      </c>
      <c r="R73" s="2">
        <v>190896</v>
      </c>
      <c r="S73" s="2">
        <v>1299877</v>
      </c>
      <c r="T73" s="2">
        <v>4392585</v>
      </c>
      <c r="U73" s="2">
        <v>1352952</v>
      </c>
      <c r="V73" s="2">
        <v>2133568</v>
      </c>
      <c r="W73" s="2">
        <v>1277077</v>
      </c>
      <c r="X73" s="2">
        <v>1043349</v>
      </c>
      <c r="Y73" s="2">
        <v>441129</v>
      </c>
      <c r="Z73" s="2">
        <v>2306995</v>
      </c>
      <c r="AA73" s="2">
        <v>2527329</v>
      </c>
      <c r="AB73" s="2">
        <v>1488561</v>
      </c>
      <c r="AC73" s="2">
        <v>3113370</v>
      </c>
      <c r="AD73" s="2">
        <v>4044155</v>
      </c>
      <c r="AE73" s="2">
        <v>579993</v>
      </c>
      <c r="AF73" s="2">
        <v>528072</v>
      </c>
      <c r="AG73" s="2">
        <v>112891</v>
      </c>
      <c r="AH73" s="2">
        <v>16041</v>
      </c>
      <c r="AI73" s="6">
        <v>1300</v>
      </c>
    </row>
    <row r="74" spans="10:35" x14ac:dyDescent="0.35">
      <c r="J74" t="s">
        <v>121</v>
      </c>
      <c r="K74" s="2">
        <v>39008</v>
      </c>
      <c r="L74" s="2">
        <v>694596</v>
      </c>
      <c r="M74" s="2">
        <v>655588</v>
      </c>
      <c r="N74" s="2">
        <v>191819</v>
      </c>
      <c r="O74" s="2">
        <v>48076</v>
      </c>
      <c r="P74" s="2">
        <v>2357207</v>
      </c>
      <c r="Q74" s="2">
        <v>97969</v>
      </c>
      <c r="R74" s="2">
        <v>191705</v>
      </c>
      <c r="S74" s="2">
        <v>1302648</v>
      </c>
      <c r="T74" s="2">
        <v>4390668</v>
      </c>
      <c r="U74" s="2">
        <v>1356664</v>
      </c>
      <c r="V74" s="2">
        <v>2143169</v>
      </c>
      <c r="W74" s="2">
        <v>1283614</v>
      </c>
      <c r="X74" s="2">
        <v>1045924</v>
      </c>
      <c r="Y74" s="2">
        <v>441660</v>
      </c>
      <c r="Z74" s="2">
        <v>2317643</v>
      </c>
      <c r="AA74" s="2">
        <v>2523821</v>
      </c>
      <c r="AB74" s="2">
        <v>1481073</v>
      </c>
      <c r="AC74" s="2">
        <v>3114720</v>
      </c>
      <c r="AD74" s="2">
        <v>4047761</v>
      </c>
      <c r="AE74" s="2">
        <v>585657</v>
      </c>
      <c r="AF74" s="2">
        <v>529289</v>
      </c>
      <c r="AG74" s="2">
        <v>112897</v>
      </c>
      <c r="AH74" s="2">
        <v>16415</v>
      </c>
      <c r="AI74" s="6">
        <v>1290</v>
      </c>
    </row>
    <row r="75" spans="10:35" x14ac:dyDescent="0.35">
      <c r="J75" t="s">
        <v>122</v>
      </c>
      <c r="K75" s="2">
        <v>17756</v>
      </c>
      <c r="L75" s="2">
        <v>666670</v>
      </c>
      <c r="M75" s="2">
        <v>648914</v>
      </c>
      <c r="N75" s="2">
        <v>191590</v>
      </c>
      <c r="O75" s="2">
        <v>48009</v>
      </c>
      <c r="P75" s="2">
        <v>2357350</v>
      </c>
      <c r="Q75" s="2">
        <v>98122</v>
      </c>
      <c r="R75" s="2">
        <v>192160</v>
      </c>
      <c r="S75" s="2">
        <v>1303459</v>
      </c>
      <c r="T75" s="2">
        <v>4379152</v>
      </c>
      <c r="U75" s="2">
        <v>1358512</v>
      </c>
      <c r="V75" s="2">
        <v>2150410</v>
      </c>
      <c r="W75" s="2">
        <v>1288918</v>
      </c>
      <c r="X75" s="2">
        <v>1048226</v>
      </c>
      <c r="Y75" s="2">
        <v>442061</v>
      </c>
      <c r="Z75" s="2">
        <v>2323581</v>
      </c>
      <c r="AA75" s="2">
        <v>2518458</v>
      </c>
      <c r="AB75" s="2">
        <v>1476776</v>
      </c>
      <c r="AC75" s="2">
        <v>3117327</v>
      </c>
      <c r="AD75" s="2">
        <v>4056132</v>
      </c>
      <c r="AE75" s="2">
        <v>589199</v>
      </c>
      <c r="AF75" s="2">
        <v>529415</v>
      </c>
      <c r="AG75" s="2">
        <v>112888</v>
      </c>
      <c r="AH75" s="2">
        <v>10974</v>
      </c>
      <c r="AI75" s="6">
        <v>1263</v>
      </c>
    </row>
    <row r="76" spans="10:35" x14ac:dyDescent="0.35">
      <c r="J76" t="s">
        <v>123</v>
      </c>
      <c r="K76" s="2">
        <v>71487</v>
      </c>
      <c r="L76" s="2">
        <v>697852</v>
      </c>
      <c r="M76" s="2">
        <v>626365</v>
      </c>
      <c r="N76" s="2">
        <v>192486</v>
      </c>
      <c r="O76" s="2">
        <v>48071</v>
      </c>
      <c r="P76" s="2">
        <v>2360010</v>
      </c>
      <c r="Q76" s="2">
        <v>98546</v>
      </c>
      <c r="R76" s="2">
        <v>192585</v>
      </c>
      <c r="S76" s="2">
        <v>1305186</v>
      </c>
      <c r="T76" s="2">
        <v>4381456</v>
      </c>
      <c r="U76" s="2">
        <v>1359983</v>
      </c>
      <c r="V76" s="2">
        <v>2156149</v>
      </c>
      <c r="W76" s="2">
        <v>1295873</v>
      </c>
      <c r="X76" s="2">
        <v>1052189</v>
      </c>
      <c r="Y76" s="2">
        <v>442665</v>
      </c>
      <c r="Z76" s="2">
        <v>2334231</v>
      </c>
      <c r="AA76" s="2">
        <v>2524644</v>
      </c>
      <c r="AB76" s="2">
        <v>1485415</v>
      </c>
      <c r="AC76" s="2">
        <v>3119561</v>
      </c>
      <c r="AD76" s="2">
        <v>4067262</v>
      </c>
      <c r="AE76" s="2">
        <v>594082</v>
      </c>
      <c r="AF76" s="2">
        <v>530102</v>
      </c>
      <c r="AG76" s="2">
        <v>112735</v>
      </c>
      <c r="AH76" s="2">
        <v>12159</v>
      </c>
      <c r="AI76" s="6">
        <v>1244</v>
      </c>
    </row>
    <row r="77" spans="10:35" x14ac:dyDescent="0.35">
      <c r="J77" t="s">
        <v>124</v>
      </c>
      <c r="K77" s="2">
        <v>54168</v>
      </c>
      <c r="L77" s="2">
        <v>693580</v>
      </c>
      <c r="M77" s="2">
        <v>639412</v>
      </c>
      <c r="N77" s="2">
        <v>192625</v>
      </c>
      <c r="O77" s="2">
        <v>48150</v>
      </c>
      <c r="P77" s="2">
        <v>2361964</v>
      </c>
      <c r="Q77" s="2">
        <v>99018</v>
      </c>
      <c r="R77" s="2">
        <v>193018</v>
      </c>
      <c r="S77" s="2">
        <v>1307671</v>
      </c>
      <c r="T77" s="2">
        <v>4381056</v>
      </c>
      <c r="U77" s="2">
        <v>1359859</v>
      </c>
      <c r="V77" s="2">
        <v>2155960</v>
      </c>
      <c r="W77" s="2">
        <v>1302782</v>
      </c>
      <c r="X77" s="2">
        <v>1055897</v>
      </c>
      <c r="Y77" s="2">
        <v>443471</v>
      </c>
      <c r="Z77" s="2">
        <v>2345500</v>
      </c>
      <c r="AA77" s="2">
        <v>2525105</v>
      </c>
      <c r="AB77" s="2">
        <v>1488805</v>
      </c>
      <c r="AC77" s="2">
        <v>3120577</v>
      </c>
      <c r="AD77" s="2">
        <v>4086510</v>
      </c>
      <c r="AE77" s="2">
        <v>596090</v>
      </c>
      <c r="AF77" s="2">
        <v>530773</v>
      </c>
      <c r="AG77" s="2">
        <v>112567</v>
      </c>
      <c r="AH77" s="2">
        <v>16491</v>
      </c>
      <c r="AI77" s="6">
        <v>1222</v>
      </c>
    </row>
    <row r="78" spans="10:35" x14ac:dyDescent="0.35">
      <c r="J78" t="s">
        <v>125</v>
      </c>
      <c r="K78" s="2">
        <v>71532</v>
      </c>
      <c r="L78" s="2">
        <v>701009</v>
      </c>
      <c r="M78" s="2">
        <v>629477</v>
      </c>
      <c r="N78" s="2">
        <v>192509</v>
      </c>
      <c r="O78" s="2">
        <v>48221</v>
      </c>
      <c r="P78" s="2">
        <v>2364743</v>
      </c>
      <c r="Q78" s="2">
        <v>99456</v>
      </c>
      <c r="R78" s="2">
        <v>193521</v>
      </c>
      <c r="S78" s="2">
        <v>1311525</v>
      </c>
      <c r="T78" s="2">
        <v>4377755</v>
      </c>
      <c r="U78" s="2">
        <v>1361473</v>
      </c>
      <c r="V78" s="2">
        <v>2156953</v>
      </c>
      <c r="W78" s="2">
        <v>1308857</v>
      </c>
      <c r="X78" s="2">
        <v>1059597</v>
      </c>
      <c r="Y78" s="2">
        <v>444472</v>
      </c>
      <c r="Z78" s="2">
        <v>2356566</v>
      </c>
      <c r="AA78" s="2">
        <v>2529548</v>
      </c>
      <c r="AB78" s="2">
        <v>1491496</v>
      </c>
      <c r="AC78" s="2">
        <v>3130929</v>
      </c>
      <c r="AD78" s="2">
        <v>4110740</v>
      </c>
      <c r="AE78" s="2">
        <v>596697</v>
      </c>
      <c r="AF78" s="2">
        <v>531286</v>
      </c>
      <c r="AG78" s="2">
        <v>112586</v>
      </c>
      <c r="AH78" s="2">
        <v>14369</v>
      </c>
      <c r="AI78" s="6">
        <v>1208</v>
      </c>
    </row>
    <row r="79" spans="10:35" x14ac:dyDescent="0.35">
      <c r="J79" t="s">
        <v>126</v>
      </c>
      <c r="K79" s="2">
        <v>36493</v>
      </c>
      <c r="L79" s="2">
        <v>688017</v>
      </c>
      <c r="M79" s="2">
        <v>651524</v>
      </c>
      <c r="N79" s="2">
        <v>191800</v>
      </c>
      <c r="O79" s="2">
        <v>48337</v>
      </c>
      <c r="P79" s="2">
        <v>2367373</v>
      </c>
      <c r="Q79" s="2">
        <v>100121</v>
      </c>
      <c r="R79" s="2">
        <v>193880</v>
      </c>
      <c r="S79" s="2">
        <v>1314737</v>
      </c>
      <c r="T79" s="2">
        <v>4373252</v>
      </c>
      <c r="U79" s="2">
        <v>1362223</v>
      </c>
      <c r="V79" s="2">
        <v>2159426</v>
      </c>
      <c r="W79" s="2">
        <v>1315146</v>
      </c>
      <c r="X79" s="2">
        <v>1064125</v>
      </c>
      <c r="Y79" s="2">
        <v>445957</v>
      </c>
      <c r="Z79" s="2">
        <v>2374617</v>
      </c>
      <c r="AA79" s="2">
        <v>2532160</v>
      </c>
      <c r="AB79" s="2">
        <v>1493905</v>
      </c>
      <c r="AC79" s="2">
        <v>3137265</v>
      </c>
      <c r="AD79" s="2">
        <v>4097847</v>
      </c>
      <c r="AE79" s="2">
        <v>598219</v>
      </c>
      <c r="AF79" s="2">
        <v>532193</v>
      </c>
      <c r="AG79" s="2">
        <v>112842</v>
      </c>
      <c r="AH79" s="2">
        <v>13992</v>
      </c>
      <c r="AI79" s="6">
        <v>1167</v>
      </c>
    </row>
    <row r="80" spans="10:35" x14ac:dyDescent="0.35">
      <c r="J80" t="s">
        <v>127</v>
      </c>
      <c r="K80" s="2">
        <v>64226</v>
      </c>
      <c r="L80" s="2">
        <v>693789</v>
      </c>
      <c r="M80" s="2">
        <v>629563</v>
      </c>
      <c r="N80" s="2">
        <v>191979</v>
      </c>
      <c r="O80" s="2">
        <v>48520</v>
      </c>
      <c r="P80" s="2">
        <v>2369558</v>
      </c>
      <c r="Q80" s="2">
        <v>100531</v>
      </c>
      <c r="R80" s="2">
        <v>194317</v>
      </c>
      <c r="S80" s="2">
        <v>1317481</v>
      </c>
      <c r="T80" s="2">
        <v>4364998</v>
      </c>
      <c r="U80" s="2">
        <v>1362724</v>
      </c>
      <c r="V80" s="2">
        <v>2159897</v>
      </c>
      <c r="W80" s="2">
        <v>1319238</v>
      </c>
      <c r="X80" s="2">
        <v>1068444</v>
      </c>
      <c r="Y80" s="2">
        <v>446554</v>
      </c>
      <c r="Z80" s="2">
        <v>2384469</v>
      </c>
      <c r="AA80" s="2">
        <v>2534319</v>
      </c>
      <c r="AB80" s="2">
        <v>1496597</v>
      </c>
      <c r="AC80" s="2">
        <v>3150409</v>
      </c>
      <c r="AD80" s="2">
        <v>4123538</v>
      </c>
      <c r="AE80" s="2">
        <v>600195</v>
      </c>
      <c r="AF80" s="2">
        <v>532732</v>
      </c>
      <c r="AG80" s="2">
        <v>113147</v>
      </c>
      <c r="AH80" s="2">
        <v>22580</v>
      </c>
      <c r="AI80" s="6">
        <v>1138</v>
      </c>
    </row>
    <row r="81" spans="10:35" x14ac:dyDescent="0.35">
      <c r="J81" t="s">
        <v>128</v>
      </c>
      <c r="K81" s="2">
        <v>41843</v>
      </c>
      <c r="L81" s="2">
        <v>677061</v>
      </c>
      <c r="M81" s="2">
        <v>635218</v>
      </c>
      <c r="N81" s="2">
        <v>191740</v>
      </c>
      <c r="O81" s="2">
        <v>48655</v>
      </c>
      <c r="P81" s="2">
        <v>2378092</v>
      </c>
      <c r="Q81" s="2">
        <v>101331</v>
      </c>
      <c r="R81" s="2">
        <v>194974</v>
      </c>
      <c r="S81" s="2">
        <v>1323163</v>
      </c>
      <c r="T81" s="2">
        <v>4360299</v>
      </c>
      <c r="U81" s="2">
        <v>1362556</v>
      </c>
      <c r="V81" s="2">
        <v>2164901</v>
      </c>
      <c r="W81" s="2">
        <v>1322119</v>
      </c>
      <c r="X81" s="2">
        <v>1072091</v>
      </c>
      <c r="Y81" s="2">
        <v>446839</v>
      </c>
      <c r="Z81" s="2">
        <v>2390714</v>
      </c>
      <c r="AA81" s="2">
        <v>2524449</v>
      </c>
      <c r="AB81" s="2">
        <v>1497742</v>
      </c>
      <c r="AC81" s="2">
        <v>3153320</v>
      </c>
      <c r="AD81" s="2">
        <v>4141126</v>
      </c>
      <c r="AE81" s="2">
        <v>600279</v>
      </c>
      <c r="AF81" s="2">
        <v>533788</v>
      </c>
      <c r="AG81" s="2">
        <v>113316</v>
      </c>
      <c r="AH81" s="2">
        <v>12654</v>
      </c>
      <c r="AI81" s="6">
        <v>1114</v>
      </c>
    </row>
    <row r="82" spans="10:35" x14ac:dyDescent="0.35">
      <c r="J82" t="s">
        <v>129</v>
      </c>
      <c r="K82" s="2">
        <v>26156</v>
      </c>
      <c r="L82" s="2">
        <v>669733</v>
      </c>
      <c r="M82" s="2">
        <v>643577</v>
      </c>
      <c r="N82" s="2">
        <v>191665</v>
      </c>
      <c r="O82" s="2">
        <v>48741</v>
      </c>
      <c r="P82" s="2">
        <v>2367381</v>
      </c>
      <c r="Q82" s="2">
        <v>101998</v>
      </c>
      <c r="R82" s="2">
        <v>195080</v>
      </c>
      <c r="S82" s="2">
        <v>1319997</v>
      </c>
      <c r="T82" s="2">
        <v>4360056</v>
      </c>
      <c r="U82" s="2">
        <v>1363190</v>
      </c>
      <c r="V82" s="2">
        <v>2169091</v>
      </c>
      <c r="W82" s="2">
        <v>1323956</v>
      </c>
      <c r="X82" s="2">
        <v>1075392</v>
      </c>
      <c r="Y82" s="2">
        <v>446687</v>
      </c>
      <c r="Z82" s="2">
        <v>2398149</v>
      </c>
      <c r="AA82" s="2">
        <v>2520108</v>
      </c>
      <c r="AB82" s="2">
        <v>1499135</v>
      </c>
      <c r="AC82" s="2">
        <v>3154852</v>
      </c>
      <c r="AD82" s="2">
        <v>4159150</v>
      </c>
      <c r="AE82" s="2">
        <v>604869</v>
      </c>
      <c r="AF82" s="2">
        <v>534485</v>
      </c>
      <c r="AG82" s="2">
        <v>113667</v>
      </c>
      <c r="AH82" s="2">
        <v>25257</v>
      </c>
      <c r="AI82" s="6">
        <v>1112</v>
      </c>
    </row>
    <row r="83" spans="10:35" x14ac:dyDescent="0.35">
      <c r="J83" t="s">
        <v>130</v>
      </c>
      <c r="K83" s="2">
        <v>55336</v>
      </c>
      <c r="L83" s="2">
        <v>684876</v>
      </c>
      <c r="M83" s="2">
        <v>629540</v>
      </c>
      <c r="N83" s="2">
        <v>191732</v>
      </c>
      <c r="O83" s="2">
        <v>48841</v>
      </c>
      <c r="P83" s="2">
        <v>2368477</v>
      </c>
      <c r="Q83" s="2">
        <v>102714</v>
      </c>
      <c r="R83" s="2">
        <v>195583</v>
      </c>
      <c r="S83" s="2">
        <v>1321227</v>
      </c>
      <c r="T83" s="2">
        <v>4362676</v>
      </c>
      <c r="U83" s="2">
        <v>1364115</v>
      </c>
      <c r="V83" s="2">
        <v>2182921</v>
      </c>
      <c r="W83" s="2">
        <v>1325678</v>
      </c>
      <c r="X83" s="2">
        <v>1078818</v>
      </c>
      <c r="Y83" s="2">
        <v>447031</v>
      </c>
      <c r="Z83" s="2">
        <v>2403236</v>
      </c>
      <c r="AA83" s="2">
        <v>2514326</v>
      </c>
      <c r="AB83" s="2">
        <v>1501328</v>
      </c>
      <c r="AC83" s="2">
        <v>3158760</v>
      </c>
      <c r="AD83" s="2">
        <v>4178611</v>
      </c>
      <c r="AE83" s="2">
        <v>607468</v>
      </c>
      <c r="AF83" s="2">
        <v>535545</v>
      </c>
      <c r="AG83" s="2">
        <v>113897</v>
      </c>
      <c r="AH83" s="2">
        <v>34636</v>
      </c>
      <c r="AI83" s="6">
        <v>1104</v>
      </c>
    </row>
    <row r="84" spans="10:35" x14ac:dyDescent="0.35">
      <c r="J84" t="s">
        <v>131</v>
      </c>
      <c r="K84" s="2">
        <v>50286</v>
      </c>
      <c r="L84" s="2">
        <v>681078</v>
      </c>
      <c r="M84" s="2">
        <v>630792</v>
      </c>
      <c r="N84" s="2">
        <v>191896</v>
      </c>
      <c r="O84" s="2">
        <v>48984</v>
      </c>
      <c r="P84" s="2">
        <v>2367443</v>
      </c>
      <c r="Q84" s="2">
        <v>103363</v>
      </c>
      <c r="R84" s="2">
        <v>196140</v>
      </c>
      <c r="S84" s="2">
        <v>1322880</v>
      </c>
      <c r="T84" s="2">
        <v>4361660</v>
      </c>
      <c r="U84" s="2">
        <v>1364860</v>
      </c>
      <c r="V84" s="2">
        <v>2193039</v>
      </c>
      <c r="W84" s="2">
        <v>1325867</v>
      </c>
      <c r="X84" s="2">
        <v>1081604</v>
      </c>
      <c r="Y84" s="2">
        <v>446998</v>
      </c>
      <c r="Z84" s="2">
        <v>2407937</v>
      </c>
      <c r="AA84" s="2">
        <v>2510532</v>
      </c>
      <c r="AB84" s="2">
        <v>1503924</v>
      </c>
      <c r="AC84" s="2">
        <v>3168463</v>
      </c>
      <c r="AD84" s="2">
        <v>4197320</v>
      </c>
      <c r="AE84" s="2">
        <v>609572</v>
      </c>
      <c r="AF84" s="2">
        <v>536813</v>
      </c>
      <c r="AG84" s="2">
        <v>113974</v>
      </c>
      <c r="AH84" s="2">
        <v>23692</v>
      </c>
      <c r="AI84" s="6">
        <v>1075</v>
      </c>
    </row>
    <row r="85" spans="10:35" x14ac:dyDescent="0.35">
      <c r="J85" t="s">
        <v>132</v>
      </c>
      <c r="K85" s="2">
        <v>55593</v>
      </c>
      <c r="L85" s="2">
        <v>688041</v>
      </c>
      <c r="M85" s="2">
        <v>632448</v>
      </c>
      <c r="N85" s="2">
        <v>191347</v>
      </c>
      <c r="O85" s="2">
        <v>49235</v>
      </c>
      <c r="P85" s="2">
        <v>2367165</v>
      </c>
      <c r="Q85" s="2">
        <v>104129</v>
      </c>
      <c r="R85" s="2">
        <v>196808</v>
      </c>
      <c r="S85" s="2">
        <v>1326351</v>
      </c>
      <c r="T85" s="2">
        <v>4363479</v>
      </c>
      <c r="U85" s="2">
        <v>1367415</v>
      </c>
      <c r="V85" s="2">
        <v>2197422</v>
      </c>
      <c r="W85" s="2">
        <v>1328109</v>
      </c>
      <c r="X85" s="2">
        <v>1084220</v>
      </c>
      <c r="Y85" s="2">
        <v>447649</v>
      </c>
      <c r="Z85" s="2">
        <v>2415672</v>
      </c>
      <c r="AA85" s="2">
        <v>2504349</v>
      </c>
      <c r="AB85" s="2">
        <v>1505782</v>
      </c>
      <c r="AC85" s="2">
        <v>3173090</v>
      </c>
      <c r="AD85" s="2">
        <v>4221602</v>
      </c>
      <c r="AE85" s="2">
        <v>612428</v>
      </c>
      <c r="AF85" s="2">
        <v>538502</v>
      </c>
      <c r="AG85" s="2">
        <v>114109</v>
      </c>
      <c r="AH85" s="2">
        <v>21045</v>
      </c>
      <c r="AI85" s="6">
        <v>1043</v>
      </c>
    </row>
    <row r="86" spans="10:35" x14ac:dyDescent="0.35">
      <c r="J86" t="s">
        <v>133</v>
      </c>
      <c r="K86" s="2">
        <v>38370</v>
      </c>
      <c r="L86" s="2">
        <v>663122</v>
      </c>
      <c r="M86" s="2">
        <v>624752</v>
      </c>
      <c r="N86" s="2">
        <v>191137</v>
      </c>
      <c r="O86" s="2">
        <v>49402</v>
      </c>
      <c r="P86" s="2">
        <v>2366798</v>
      </c>
      <c r="Q86" s="2">
        <v>105036</v>
      </c>
      <c r="R86" s="2">
        <v>197185</v>
      </c>
      <c r="S86" s="2">
        <v>1328207</v>
      </c>
      <c r="T86" s="2">
        <v>4363293</v>
      </c>
      <c r="U86" s="2">
        <v>1369270</v>
      </c>
      <c r="V86" s="2">
        <v>2194495</v>
      </c>
      <c r="W86" s="2">
        <v>1325838</v>
      </c>
      <c r="X86" s="2">
        <v>1087650</v>
      </c>
      <c r="Y86" s="2">
        <v>448606</v>
      </c>
      <c r="Z86" s="2">
        <v>2419573</v>
      </c>
      <c r="AA86" s="2">
        <v>2502679</v>
      </c>
      <c r="AB86" s="2">
        <v>1509270</v>
      </c>
      <c r="AC86" s="2">
        <v>3174730</v>
      </c>
      <c r="AD86" s="2">
        <v>4246334</v>
      </c>
      <c r="AE86" s="2">
        <v>614292</v>
      </c>
      <c r="AF86" s="2">
        <v>539463</v>
      </c>
      <c r="AG86" s="2">
        <v>113975</v>
      </c>
      <c r="AH86" s="2">
        <v>19001</v>
      </c>
      <c r="AI86" s="6">
        <v>1025</v>
      </c>
    </row>
    <row r="87" spans="10:35" x14ac:dyDescent="0.35">
      <c r="J87" t="s">
        <v>134</v>
      </c>
      <c r="K87" s="2">
        <v>42447</v>
      </c>
      <c r="L87" s="2">
        <v>662825</v>
      </c>
      <c r="M87" s="2">
        <v>620378</v>
      </c>
      <c r="N87" s="2">
        <v>191174</v>
      </c>
      <c r="O87" s="2">
        <v>49438</v>
      </c>
      <c r="P87" s="2">
        <v>2365272</v>
      </c>
      <c r="Q87" s="2">
        <v>105871</v>
      </c>
      <c r="R87" s="2">
        <v>197759</v>
      </c>
      <c r="S87" s="2">
        <v>1329569</v>
      </c>
      <c r="T87" s="2">
        <v>4363493</v>
      </c>
      <c r="U87" s="2">
        <v>1370214</v>
      </c>
      <c r="V87" s="2">
        <v>2196290</v>
      </c>
      <c r="W87" s="2">
        <v>1324093</v>
      </c>
      <c r="X87" s="2">
        <v>1090258</v>
      </c>
      <c r="Y87" s="2">
        <v>449530</v>
      </c>
      <c r="Z87" s="2">
        <v>2424264</v>
      </c>
      <c r="AA87" s="2">
        <v>2499892</v>
      </c>
      <c r="AB87" s="2">
        <v>1508034</v>
      </c>
      <c r="AC87" s="2">
        <v>3180904</v>
      </c>
      <c r="AD87" s="2">
        <v>4273289</v>
      </c>
      <c r="AE87" s="2">
        <v>616480</v>
      </c>
      <c r="AF87" s="2">
        <v>540089</v>
      </c>
      <c r="AG87" s="2">
        <v>113767</v>
      </c>
      <c r="AH87" s="2">
        <v>25564</v>
      </c>
      <c r="AI87" s="6">
        <v>1010</v>
      </c>
    </row>
    <row r="88" spans="10:35" x14ac:dyDescent="0.35">
      <c r="J88" t="s">
        <v>135</v>
      </c>
      <c r="K88" s="2">
        <v>5202</v>
      </c>
      <c r="L88" s="2">
        <v>648213</v>
      </c>
      <c r="M88" s="2">
        <v>643011</v>
      </c>
      <c r="N88" s="2">
        <v>191111</v>
      </c>
      <c r="O88" s="2">
        <v>49529</v>
      </c>
      <c r="P88" s="2">
        <v>2363006</v>
      </c>
      <c r="Q88" s="2">
        <v>106580</v>
      </c>
      <c r="R88" s="2">
        <v>197919</v>
      </c>
      <c r="S88" s="2">
        <v>1329447</v>
      </c>
      <c r="T88" s="2">
        <v>4365153</v>
      </c>
      <c r="U88" s="2">
        <v>1370740</v>
      </c>
      <c r="V88" s="2">
        <v>2197755</v>
      </c>
      <c r="W88" s="2">
        <v>1320609</v>
      </c>
      <c r="X88" s="2">
        <v>1093628</v>
      </c>
      <c r="Y88" s="2">
        <v>450813</v>
      </c>
      <c r="Z88" s="2">
        <v>2427542</v>
      </c>
      <c r="AA88" s="2">
        <v>2491046</v>
      </c>
      <c r="AB88" s="2">
        <v>1506139</v>
      </c>
      <c r="AC88" s="2">
        <v>3183836</v>
      </c>
      <c r="AD88" s="2">
        <v>4277436</v>
      </c>
      <c r="AE88" s="2">
        <v>618280</v>
      </c>
      <c r="AF88" s="2">
        <v>540407</v>
      </c>
      <c r="AG88" s="2">
        <v>113909</v>
      </c>
      <c r="AH88" s="2">
        <v>24641</v>
      </c>
      <c r="AI88" s="6">
        <v>988</v>
      </c>
    </row>
    <row r="89" spans="10:35" x14ac:dyDescent="0.35">
      <c r="J89" t="s">
        <v>136</v>
      </c>
      <c r="K89" s="2">
        <v>19421</v>
      </c>
      <c r="L89" s="2">
        <v>639446</v>
      </c>
      <c r="M89" s="2">
        <v>620025</v>
      </c>
      <c r="N89" s="2">
        <v>190938</v>
      </c>
      <c r="O89" s="2">
        <v>49570</v>
      </c>
      <c r="P89" s="2">
        <v>2361760</v>
      </c>
      <c r="Q89" s="2">
        <v>107112</v>
      </c>
      <c r="R89" s="2">
        <v>198267</v>
      </c>
      <c r="S89" s="2">
        <v>1330333</v>
      </c>
      <c r="T89" s="2">
        <v>4366428</v>
      </c>
      <c r="U89" s="2">
        <v>1370743</v>
      </c>
      <c r="V89" s="2">
        <v>2195597</v>
      </c>
      <c r="W89" s="2">
        <v>1316410</v>
      </c>
      <c r="X89" s="2">
        <v>1095220</v>
      </c>
      <c r="Y89" s="2">
        <v>451942</v>
      </c>
      <c r="Z89" s="2">
        <v>2433289</v>
      </c>
      <c r="AA89" s="2">
        <v>2483181</v>
      </c>
      <c r="AB89" s="2">
        <v>1509133</v>
      </c>
      <c r="AC89" s="2">
        <v>3190562</v>
      </c>
      <c r="AD89" s="2">
        <v>4288596</v>
      </c>
      <c r="AE89" s="2">
        <v>619672</v>
      </c>
      <c r="AF89" s="2">
        <v>541296</v>
      </c>
      <c r="AG89" s="2">
        <v>114254</v>
      </c>
      <c r="AH89" s="2">
        <v>28361</v>
      </c>
      <c r="AI89" s="6">
        <v>973</v>
      </c>
    </row>
    <row r="90" spans="10:35" x14ac:dyDescent="0.35">
      <c r="J90" t="s">
        <v>137</v>
      </c>
      <c r="K90" s="2">
        <v>36908</v>
      </c>
      <c r="L90" s="2">
        <v>646221</v>
      </c>
      <c r="M90" s="2">
        <v>609313</v>
      </c>
      <c r="N90" s="2">
        <v>191092</v>
      </c>
      <c r="O90" s="2">
        <v>49630</v>
      </c>
      <c r="P90" s="2">
        <v>2358857</v>
      </c>
      <c r="Q90" s="2">
        <v>108108</v>
      </c>
      <c r="R90" s="2">
        <v>198512</v>
      </c>
      <c r="S90" s="2">
        <v>1333079</v>
      </c>
      <c r="T90" s="2">
        <v>4366641</v>
      </c>
      <c r="U90" s="2">
        <v>1371615</v>
      </c>
      <c r="V90" s="2">
        <v>2197353</v>
      </c>
      <c r="W90" s="2">
        <v>1312323</v>
      </c>
      <c r="X90" s="2">
        <v>1097995</v>
      </c>
      <c r="Y90" s="2">
        <v>452749</v>
      </c>
      <c r="Z90" s="2">
        <v>2436534</v>
      </c>
      <c r="AA90" s="2">
        <v>2480936</v>
      </c>
      <c r="AB90" s="2">
        <v>1514459</v>
      </c>
      <c r="AC90" s="2">
        <v>3199048</v>
      </c>
      <c r="AD90" s="2">
        <v>4303025</v>
      </c>
      <c r="AE90" s="2">
        <v>621584</v>
      </c>
      <c r="AF90" s="2">
        <v>543126</v>
      </c>
      <c r="AG90" s="2">
        <v>114544</v>
      </c>
      <c r="AH90" s="2">
        <v>18865</v>
      </c>
      <c r="AI90" s="6">
        <v>952</v>
      </c>
    </row>
    <row r="91" spans="10:35" x14ac:dyDescent="0.35">
      <c r="J91" t="s">
        <v>138</v>
      </c>
      <c r="K91" s="2">
        <v>26576</v>
      </c>
      <c r="L91" s="2">
        <v>643318</v>
      </c>
      <c r="M91" s="2">
        <v>616742</v>
      </c>
      <c r="N91" s="2">
        <v>191477</v>
      </c>
      <c r="O91" s="2">
        <v>49659</v>
      </c>
      <c r="P91" s="2">
        <v>2356237</v>
      </c>
      <c r="Q91" s="2">
        <v>108772</v>
      </c>
      <c r="R91" s="2">
        <v>198762</v>
      </c>
      <c r="S91" s="2">
        <v>1334982</v>
      </c>
      <c r="T91" s="2">
        <v>4367981</v>
      </c>
      <c r="U91" s="2">
        <v>1369816</v>
      </c>
      <c r="V91" s="2">
        <v>2196473</v>
      </c>
      <c r="W91" s="2">
        <v>1308946</v>
      </c>
      <c r="X91" s="2">
        <v>1100886</v>
      </c>
      <c r="Y91" s="2">
        <v>453604</v>
      </c>
      <c r="Z91" s="2">
        <v>2440649</v>
      </c>
      <c r="AA91" s="2">
        <v>2482472</v>
      </c>
      <c r="AB91" s="2">
        <v>1518969</v>
      </c>
      <c r="AC91" s="2">
        <v>3199984</v>
      </c>
      <c r="AD91" s="2">
        <v>4316041</v>
      </c>
      <c r="AE91" s="2">
        <v>623087</v>
      </c>
      <c r="AF91" s="2">
        <v>544464</v>
      </c>
      <c r="AG91" s="2">
        <v>114525</v>
      </c>
      <c r="AH91" s="2">
        <v>25359</v>
      </c>
      <c r="AI91" s="6">
        <v>948</v>
      </c>
    </row>
    <row r="92" spans="10:35" x14ac:dyDescent="0.35">
      <c r="J92" t="s">
        <v>139</v>
      </c>
      <c r="K92" s="2">
        <v>28034</v>
      </c>
      <c r="L92" s="2">
        <v>647368</v>
      </c>
      <c r="M92" s="2">
        <v>619334</v>
      </c>
      <c r="N92" s="2">
        <v>191410</v>
      </c>
      <c r="O92" s="2">
        <v>49629</v>
      </c>
      <c r="P92" s="2">
        <v>2354488</v>
      </c>
      <c r="Q92" s="2">
        <v>109551</v>
      </c>
      <c r="R92" s="2">
        <v>199295</v>
      </c>
      <c r="S92" s="2">
        <v>1336934</v>
      </c>
      <c r="T92" s="2">
        <v>4366424</v>
      </c>
      <c r="U92" s="2">
        <v>1369290</v>
      </c>
      <c r="V92" s="2">
        <v>2187267</v>
      </c>
      <c r="W92" s="2">
        <v>1306783</v>
      </c>
      <c r="X92" s="2">
        <v>1101450</v>
      </c>
      <c r="Y92" s="2">
        <v>454882</v>
      </c>
      <c r="Z92" s="2">
        <v>2445257</v>
      </c>
      <c r="AA92" s="2">
        <v>2484452</v>
      </c>
      <c r="AB92" s="2">
        <v>1521121</v>
      </c>
      <c r="AC92" s="2">
        <v>3209514</v>
      </c>
      <c r="AD92" s="2">
        <v>4332991</v>
      </c>
      <c r="AE92" s="2">
        <v>624640</v>
      </c>
      <c r="AF92" s="2">
        <v>545720</v>
      </c>
      <c r="AG92" s="2">
        <v>114722</v>
      </c>
      <c r="AH92" s="2">
        <v>38555</v>
      </c>
      <c r="AI92" s="6">
        <v>924</v>
      </c>
    </row>
    <row r="93" spans="10:35" x14ac:dyDescent="0.35">
      <c r="J93" t="s">
        <v>140</v>
      </c>
      <c r="K93" s="2">
        <v>45364</v>
      </c>
      <c r="L93" s="2">
        <v>653608</v>
      </c>
      <c r="M93" s="2">
        <v>608244</v>
      </c>
      <c r="N93" s="2">
        <v>191577</v>
      </c>
      <c r="O93" s="2">
        <v>49526</v>
      </c>
      <c r="P93" s="2">
        <v>2362692</v>
      </c>
      <c r="Q93" s="2">
        <v>109989</v>
      </c>
      <c r="R93" s="2">
        <v>199602</v>
      </c>
      <c r="S93" s="2">
        <v>1340823</v>
      </c>
      <c r="T93" s="2">
        <v>4359682</v>
      </c>
      <c r="U93" s="2">
        <v>1370342</v>
      </c>
      <c r="V93" s="2">
        <v>2201678</v>
      </c>
      <c r="W93" s="2">
        <v>1304671</v>
      </c>
      <c r="X93" s="2">
        <v>1102014</v>
      </c>
      <c r="Y93" s="2">
        <v>455742</v>
      </c>
      <c r="Z93" s="2">
        <v>2447669</v>
      </c>
      <c r="AA93" s="2">
        <v>2487079</v>
      </c>
      <c r="AB93" s="2">
        <v>1521899</v>
      </c>
      <c r="AC93" s="2">
        <v>3212367</v>
      </c>
      <c r="AD93" s="2">
        <v>4345405</v>
      </c>
      <c r="AE93" s="2">
        <v>626896</v>
      </c>
      <c r="AF93" s="2">
        <v>546603</v>
      </c>
      <c r="AG93" s="2">
        <v>114930</v>
      </c>
      <c r="AH93" s="2">
        <v>17057</v>
      </c>
      <c r="AI93" s="6">
        <v>916</v>
      </c>
    </row>
    <row r="94" spans="10:35" x14ac:dyDescent="0.35">
      <c r="J94" t="s">
        <v>141</v>
      </c>
      <c r="K94" s="2">
        <v>10940</v>
      </c>
      <c r="L94" s="2">
        <v>643112</v>
      </c>
      <c r="M94" s="2">
        <v>632172</v>
      </c>
      <c r="N94" s="2">
        <v>191903</v>
      </c>
      <c r="O94" s="2">
        <v>49441</v>
      </c>
      <c r="P94" s="2">
        <v>2350618</v>
      </c>
      <c r="Q94" s="2">
        <v>110384</v>
      </c>
      <c r="R94" s="2">
        <v>199977</v>
      </c>
      <c r="S94" s="2">
        <v>1339360</v>
      </c>
      <c r="T94" s="2">
        <v>4353269</v>
      </c>
      <c r="U94" s="2">
        <v>1371780</v>
      </c>
      <c r="V94" s="2">
        <v>2204617</v>
      </c>
      <c r="W94" s="2">
        <v>1302653</v>
      </c>
      <c r="X94" s="2">
        <v>1104196</v>
      </c>
      <c r="Y94" s="2">
        <v>456812</v>
      </c>
      <c r="Z94" s="2">
        <v>2448433</v>
      </c>
      <c r="AA94" s="2">
        <v>2486785</v>
      </c>
      <c r="AB94" s="2">
        <v>1523388</v>
      </c>
      <c r="AC94" s="2">
        <v>3215302</v>
      </c>
      <c r="AD94" s="2">
        <v>4360753</v>
      </c>
      <c r="AE94" s="2">
        <v>629045</v>
      </c>
      <c r="AF94" s="2">
        <v>548243</v>
      </c>
      <c r="AG94" s="2">
        <v>115166</v>
      </c>
      <c r="AH94" s="2">
        <v>26788</v>
      </c>
      <c r="AI94" s="6">
        <v>904</v>
      </c>
    </row>
    <row r="95" spans="10:35" x14ac:dyDescent="0.35">
      <c r="J95" t="s">
        <v>142</v>
      </c>
      <c r="K95" s="2">
        <v>4739</v>
      </c>
      <c r="L95" s="2">
        <v>641025</v>
      </c>
      <c r="M95" s="2">
        <v>636286</v>
      </c>
      <c r="N95" s="2">
        <v>191726</v>
      </c>
      <c r="O95" s="2">
        <v>49393</v>
      </c>
      <c r="P95" s="2">
        <v>2346266</v>
      </c>
      <c r="Q95" s="2">
        <v>110602</v>
      </c>
      <c r="R95" s="2">
        <v>200042</v>
      </c>
      <c r="S95" s="2">
        <v>1339117</v>
      </c>
      <c r="T95" s="2">
        <v>4355157</v>
      </c>
      <c r="U95" s="2">
        <v>1372288</v>
      </c>
      <c r="V95" s="2">
        <v>2205229</v>
      </c>
      <c r="W95" s="2">
        <v>1299157</v>
      </c>
      <c r="X95" s="2">
        <v>1104619</v>
      </c>
      <c r="Y95" s="2">
        <v>457323</v>
      </c>
      <c r="Z95" s="2">
        <v>2449522</v>
      </c>
      <c r="AA95" s="2">
        <v>2486435</v>
      </c>
      <c r="AB95" s="2">
        <v>1522695</v>
      </c>
      <c r="AC95" s="2">
        <v>3216603</v>
      </c>
      <c r="AD95" s="2">
        <v>4365502</v>
      </c>
      <c r="AE95" s="2">
        <v>630735</v>
      </c>
      <c r="AF95" s="2">
        <v>549272</v>
      </c>
      <c r="AG95" s="2">
        <v>115181</v>
      </c>
      <c r="AH95" s="2">
        <v>31043</v>
      </c>
      <c r="AI95" s="6">
        <v>905</v>
      </c>
    </row>
    <row r="96" spans="10:35" x14ac:dyDescent="0.35">
      <c r="J96" t="s">
        <v>143</v>
      </c>
      <c r="K96" s="2">
        <v>17197</v>
      </c>
      <c r="L96" s="2">
        <v>636106</v>
      </c>
      <c r="M96" s="2">
        <v>618909</v>
      </c>
      <c r="N96" s="2">
        <v>192076</v>
      </c>
      <c r="O96" s="2">
        <v>49304</v>
      </c>
      <c r="P96" s="2">
        <v>2343589</v>
      </c>
      <c r="Q96" s="2">
        <v>111161</v>
      </c>
      <c r="R96" s="2">
        <v>200474</v>
      </c>
      <c r="S96" s="2">
        <v>1339008</v>
      </c>
      <c r="T96" s="2">
        <v>4350870</v>
      </c>
      <c r="U96" s="2">
        <v>1374399</v>
      </c>
      <c r="V96" s="2">
        <v>2207906</v>
      </c>
      <c r="W96" s="2">
        <v>1297636</v>
      </c>
      <c r="X96" s="2">
        <v>1105905</v>
      </c>
      <c r="Y96" s="2">
        <v>459293</v>
      </c>
      <c r="Z96" s="2">
        <v>2450390</v>
      </c>
      <c r="AA96" s="2">
        <v>2487095</v>
      </c>
      <c r="AB96" s="2">
        <v>1525089</v>
      </c>
      <c r="AC96" s="2">
        <v>3218218</v>
      </c>
      <c r="AD96" s="2">
        <v>4373894</v>
      </c>
      <c r="AE96" s="2">
        <v>631705</v>
      </c>
      <c r="AF96" s="2">
        <v>550967</v>
      </c>
      <c r="AG96" s="2">
        <v>115083</v>
      </c>
      <c r="AH96" s="2">
        <v>26233</v>
      </c>
      <c r="AI96" s="6">
        <v>892</v>
      </c>
    </row>
    <row r="97" spans="10:35" x14ac:dyDescent="0.35">
      <c r="J97" t="s">
        <v>144</v>
      </c>
      <c r="K97" s="2">
        <v>14861</v>
      </c>
      <c r="L97" s="2">
        <v>615343</v>
      </c>
      <c r="M97" s="2">
        <v>600482</v>
      </c>
      <c r="N97" s="2">
        <v>192564</v>
      </c>
      <c r="O97" s="2">
        <v>49290</v>
      </c>
      <c r="P97" s="2">
        <v>2341798</v>
      </c>
      <c r="Q97" s="2">
        <v>111575</v>
      </c>
      <c r="R97" s="2">
        <v>200795</v>
      </c>
      <c r="S97" s="2">
        <v>1340067</v>
      </c>
      <c r="T97" s="2">
        <v>4348075</v>
      </c>
      <c r="U97" s="2">
        <v>1377064</v>
      </c>
      <c r="V97" s="2">
        <v>2206651</v>
      </c>
      <c r="W97" s="2">
        <v>1296172</v>
      </c>
      <c r="X97" s="2">
        <v>1109060</v>
      </c>
      <c r="Y97" s="2">
        <v>460540</v>
      </c>
      <c r="Z97" s="2">
        <v>2448833</v>
      </c>
      <c r="AA97" s="2">
        <v>2490173</v>
      </c>
      <c r="AB97" s="2">
        <v>1526328</v>
      </c>
      <c r="AC97" s="2">
        <v>3222297</v>
      </c>
      <c r="AD97" s="2">
        <v>4377865</v>
      </c>
      <c r="AE97" s="2">
        <v>631620</v>
      </c>
      <c r="AF97" s="2">
        <v>553259</v>
      </c>
      <c r="AG97" s="2">
        <v>114893</v>
      </c>
      <c r="AH97" s="2">
        <v>18450</v>
      </c>
      <c r="AI97" s="6">
        <v>886</v>
      </c>
    </row>
    <row r="98" spans="10:35" x14ac:dyDescent="0.35">
      <c r="J98" t="s">
        <v>145</v>
      </c>
      <c r="K98" s="2">
        <v>49531</v>
      </c>
      <c r="L98" s="2">
        <v>660283</v>
      </c>
      <c r="M98" s="2">
        <v>610752</v>
      </c>
      <c r="N98" s="2">
        <v>193271</v>
      </c>
      <c r="O98" s="2">
        <v>49295</v>
      </c>
      <c r="P98" s="2">
        <v>2340720</v>
      </c>
      <c r="Q98" s="2">
        <v>111844</v>
      </c>
      <c r="R98" s="2">
        <v>201500</v>
      </c>
      <c r="S98" s="2">
        <v>1342143</v>
      </c>
      <c r="T98" s="2">
        <v>4350786</v>
      </c>
      <c r="U98" s="2">
        <v>1380008</v>
      </c>
      <c r="V98" s="2">
        <v>2207971</v>
      </c>
      <c r="W98" s="2">
        <v>1294996</v>
      </c>
      <c r="X98" s="2">
        <v>1111019</v>
      </c>
      <c r="Y98" s="2">
        <v>461904</v>
      </c>
      <c r="Z98" s="2">
        <v>2450885</v>
      </c>
      <c r="AA98" s="2">
        <v>2497800</v>
      </c>
      <c r="AB98" s="2">
        <v>1533932</v>
      </c>
      <c r="AC98" s="2">
        <v>3231140</v>
      </c>
      <c r="AD98" s="2">
        <v>4387178</v>
      </c>
      <c r="AE98" s="2">
        <v>631930</v>
      </c>
      <c r="AF98" s="2">
        <v>555579</v>
      </c>
      <c r="AG98" s="2">
        <v>114552</v>
      </c>
      <c r="AH98" s="2">
        <v>25455</v>
      </c>
      <c r="AI98" s="6">
        <v>868</v>
      </c>
    </row>
    <row r="99" spans="10:35" x14ac:dyDescent="0.35">
      <c r="J99" t="s">
        <v>146</v>
      </c>
      <c r="K99" s="2">
        <v>3424</v>
      </c>
      <c r="L99" s="2">
        <v>629040</v>
      </c>
      <c r="M99" s="2">
        <v>625616</v>
      </c>
      <c r="N99" s="2">
        <v>193487</v>
      </c>
      <c r="O99" s="2">
        <v>49296</v>
      </c>
      <c r="P99" s="2">
        <v>2338379</v>
      </c>
      <c r="Q99" s="2">
        <v>112040</v>
      </c>
      <c r="R99" s="2">
        <v>201685</v>
      </c>
      <c r="S99" s="2">
        <v>1343324</v>
      </c>
      <c r="T99" s="2">
        <v>4346269</v>
      </c>
      <c r="U99" s="2">
        <v>1380503</v>
      </c>
      <c r="V99" s="2">
        <v>2202699</v>
      </c>
      <c r="W99" s="2">
        <v>1292764</v>
      </c>
      <c r="X99" s="2">
        <v>1112680</v>
      </c>
      <c r="Y99" s="2">
        <v>462986</v>
      </c>
      <c r="Z99" s="2">
        <v>2453503</v>
      </c>
      <c r="AA99" s="2">
        <v>2488912</v>
      </c>
      <c r="AB99" s="2">
        <v>1538872</v>
      </c>
      <c r="AC99" s="2">
        <v>3233420</v>
      </c>
      <c r="AD99" s="2">
        <v>4397720</v>
      </c>
      <c r="AE99" s="2">
        <v>632733</v>
      </c>
      <c r="AF99" s="2">
        <v>556531</v>
      </c>
      <c r="AG99" s="2">
        <v>114075</v>
      </c>
      <c r="AH99" s="2">
        <v>16768</v>
      </c>
      <c r="AI99" s="6">
        <v>859</v>
      </c>
    </row>
    <row r="100" spans="10:35" x14ac:dyDescent="0.35">
      <c r="J100" t="s">
        <v>147</v>
      </c>
      <c r="K100" s="2">
        <v>5061</v>
      </c>
      <c r="L100" s="2">
        <v>601021</v>
      </c>
      <c r="M100" s="2">
        <v>595960</v>
      </c>
      <c r="N100" s="2">
        <v>193118</v>
      </c>
      <c r="O100" s="2">
        <v>49217</v>
      </c>
      <c r="P100" s="2">
        <v>2336310</v>
      </c>
      <c r="Q100" s="2">
        <v>112140</v>
      </c>
      <c r="R100" s="2">
        <v>202211</v>
      </c>
      <c r="S100" s="2">
        <v>1344158</v>
      </c>
      <c r="T100" s="2">
        <v>4338835</v>
      </c>
      <c r="U100" s="2">
        <v>1380033</v>
      </c>
      <c r="V100" s="2">
        <v>2193518</v>
      </c>
      <c r="W100" s="2">
        <v>1290551</v>
      </c>
      <c r="X100" s="2">
        <v>1113233</v>
      </c>
      <c r="Y100" s="2">
        <v>463655</v>
      </c>
      <c r="Z100" s="2">
        <v>2453517</v>
      </c>
      <c r="AA100" s="2">
        <v>2483368</v>
      </c>
      <c r="AB100" s="2">
        <v>1559383</v>
      </c>
      <c r="AC100" s="2">
        <v>3238089</v>
      </c>
      <c r="AD100" s="2">
        <v>4402037</v>
      </c>
      <c r="AE100" s="2">
        <v>633450</v>
      </c>
      <c r="AF100" s="2">
        <v>556430</v>
      </c>
      <c r="AG100" s="2">
        <v>113683</v>
      </c>
      <c r="AH100" s="2">
        <v>21212</v>
      </c>
      <c r="AI100" s="6">
        <v>845</v>
      </c>
    </row>
    <row r="101" spans="10:35" x14ac:dyDescent="0.35">
      <c r="J101" t="s">
        <v>148</v>
      </c>
      <c r="K101" s="2">
        <v>-26560</v>
      </c>
      <c r="L101" s="2">
        <v>592738</v>
      </c>
      <c r="M101" s="2">
        <v>619298</v>
      </c>
      <c r="N101" s="2">
        <v>193284</v>
      </c>
      <c r="O101" s="2">
        <v>49143</v>
      </c>
      <c r="P101" s="2">
        <v>2334398</v>
      </c>
      <c r="Q101" s="2">
        <v>112433</v>
      </c>
      <c r="R101" s="2">
        <v>202815</v>
      </c>
      <c r="S101" s="2">
        <v>1343362</v>
      </c>
      <c r="T101" s="2">
        <v>4330309</v>
      </c>
      <c r="U101" s="2">
        <v>1380895</v>
      </c>
      <c r="V101" s="2">
        <v>2186632</v>
      </c>
      <c r="W101" s="2">
        <v>1288797</v>
      </c>
      <c r="X101" s="2">
        <v>1114632</v>
      </c>
      <c r="Y101" s="2">
        <v>464283</v>
      </c>
      <c r="Z101" s="2">
        <v>2450413</v>
      </c>
      <c r="AA101" s="2">
        <v>2477547</v>
      </c>
      <c r="AB101" s="2">
        <v>1549112</v>
      </c>
      <c r="AC101" s="2">
        <v>3239488</v>
      </c>
      <c r="AD101" s="2">
        <v>4409020</v>
      </c>
      <c r="AE101" s="2">
        <v>634487</v>
      </c>
      <c r="AF101" s="2">
        <v>556205</v>
      </c>
      <c r="AG101" s="2">
        <v>113126</v>
      </c>
      <c r="AH101" s="2">
        <v>14518</v>
      </c>
      <c r="AI101" s="6">
        <v>832</v>
      </c>
    </row>
    <row r="102" spans="10:35" x14ac:dyDescent="0.35">
      <c r="J102" t="s">
        <v>149</v>
      </c>
      <c r="K102" s="2">
        <v>-401</v>
      </c>
      <c r="L102" s="2">
        <v>607124</v>
      </c>
      <c r="M102" s="2">
        <v>607525</v>
      </c>
      <c r="N102" s="2">
        <v>193629</v>
      </c>
      <c r="O102" s="2">
        <v>49134</v>
      </c>
      <c r="P102" s="2">
        <v>2335581</v>
      </c>
      <c r="Q102" s="2">
        <v>112926</v>
      </c>
      <c r="R102" s="2">
        <v>203565</v>
      </c>
      <c r="S102" s="2">
        <v>1343337</v>
      </c>
      <c r="T102" s="2">
        <v>4330748</v>
      </c>
      <c r="U102" s="2">
        <v>1381601</v>
      </c>
      <c r="V102" s="2">
        <v>2179685</v>
      </c>
      <c r="W102" s="2">
        <v>1288464</v>
      </c>
      <c r="X102" s="2">
        <v>1116853</v>
      </c>
      <c r="Y102" s="2">
        <v>465804</v>
      </c>
      <c r="Z102" s="2">
        <v>2451745</v>
      </c>
      <c r="AA102" s="2">
        <v>2477785</v>
      </c>
      <c r="AB102" s="2">
        <v>1532663</v>
      </c>
      <c r="AC102" s="2">
        <v>3236658</v>
      </c>
      <c r="AD102" s="2">
        <v>4425142</v>
      </c>
      <c r="AE102" s="2">
        <v>636250</v>
      </c>
      <c r="AF102" s="2">
        <v>556256</v>
      </c>
      <c r="AG102" s="2">
        <v>112151</v>
      </c>
      <c r="AH102" s="2">
        <v>22409</v>
      </c>
      <c r="AI102" s="6">
        <v>823</v>
      </c>
    </row>
    <row r="103" spans="10:35" x14ac:dyDescent="0.35">
      <c r="J103" t="s">
        <v>150</v>
      </c>
      <c r="K103" s="2">
        <v>20891</v>
      </c>
      <c r="L103" s="2">
        <v>586621</v>
      </c>
      <c r="M103" s="2">
        <v>565730</v>
      </c>
      <c r="N103" s="2">
        <v>193992</v>
      </c>
      <c r="O103" s="2">
        <v>49083</v>
      </c>
      <c r="P103" s="2">
        <v>2334771</v>
      </c>
      <c r="Q103" s="2">
        <v>113267</v>
      </c>
      <c r="R103" s="2">
        <v>203572</v>
      </c>
      <c r="S103" s="2">
        <v>1342027</v>
      </c>
      <c r="T103" s="2">
        <v>4329725</v>
      </c>
      <c r="U103" s="2">
        <v>1384673</v>
      </c>
      <c r="V103" s="2">
        <v>2168935</v>
      </c>
      <c r="W103" s="2">
        <v>1285182</v>
      </c>
      <c r="X103" s="2">
        <v>1117848</v>
      </c>
      <c r="Y103" s="2">
        <v>466850</v>
      </c>
      <c r="Z103" s="2">
        <v>2451846</v>
      </c>
      <c r="AA103" s="2">
        <v>2470798</v>
      </c>
      <c r="AB103" s="2">
        <v>1537786</v>
      </c>
      <c r="AC103" s="2">
        <v>3240494</v>
      </c>
      <c r="AD103" s="2">
        <v>4455896</v>
      </c>
      <c r="AE103" s="2">
        <v>636676</v>
      </c>
      <c r="AF103" s="2">
        <v>556212</v>
      </c>
      <c r="AG103" s="2">
        <v>111233</v>
      </c>
      <c r="AH103" s="2">
        <v>19559</v>
      </c>
      <c r="AI103" s="6">
        <v>807</v>
      </c>
    </row>
    <row r="104" spans="10:35" x14ac:dyDescent="0.35">
      <c r="J104" t="s">
        <v>151</v>
      </c>
      <c r="K104" s="2">
        <v>-26036</v>
      </c>
      <c r="L104" s="2">
        <v>590399</v>
      </c>
      <c r="M104" s="2">
        <v>616435</v>
      </c>
      <c r="N104" s="2">
        <v>194523</v>
      </c>
      <c r="O104" s="2">
        <v>49042</v>
      </c>
      <c r="P104" s="2">
        <v>2333459</v>
      </c>
      <c r="Q104" s="2">
        <v>113741</v>
      </c>
      <c r="R104" s="2">
        <v>204741</v>
      </c>
      <c r="S104" s="2">
        <v>1342454</v>
      </c>
      <c r="T104" s="2">
        <v>4329600</v>
      </c>
      <c r="U104" s="2">
        <v>1386415</v>
      </c>
      <c r="V104" s="2">
        <v>2149044</v>
      </c>
      <c r="W104" s="2">
        <v>1281264</v>
      </c>
      <c r="X104" s="2">
        <v>1119355</v>
      </c>
      <c r="Y104" s="2">
        <v>467823</v>
      </c>
      <c r="Z104" s="2">
        <v>2448882</v>
      </c>
      <c r="AA104" s="2">
        <v>2463427</v>
      </c>
      <c r="AB104" s="2">
        <v>1540110</v>
      </c>
      <c r="AC104" s="2">
        <v>3245598</v>
      </c>
      <c r="AD104" s="2">
        <v>4449340</v>
      </c>
      <c r="AE104" s="2">
        <v>638627</v>
      </c>
      <c r="AF104" s="2">
        <v>556479</v>
      </c>
      <c r="AG104" s="2">
        <v>110908</v>
      </c>
      <c r="AH104" s="2">
        <v>23906</v>
      </c>
      <c r="AI104" s="6">
        <v>806</v>
      </c>
    </row>
    <row r="105" spans="10:35" x14ac:dyDescent="0.35">
      <c r="J105" t="s">
        <v>152</v>
      </c>
      <c r="K105" s="2">
        <v>-19811</v>
      </c>
      <c r="L105" s="2">
        <v>602151</v>
      </c>
      <c r="M105" s="2">
        <v>621962</v>
      </c>
      <c r="N105" s="2">
        <v>194392</v>
      </c>
      <c r="O105" s="2">
        <v>49010</v>
      </c>
      <c r="P105" s="2">
        <v>2329204</v>
      </c>
      <c r="Q105" s="2">
        <v>113965</v>
      </c>
      <c r="R105" s="2">
        <v>205050</v>
      </c>
      <c r="S105" s="2">
        <v>1340437</v>
      </c>
      <c r="T105" s="2">
        <v>4322687</v>
      </c>
      <c r="U105" s="2">
        <v>1387929</v>
      </c>
      <c r="V105" s="2">
        <v>2152252</v>
      </c>
      <c r="W105" s="2">
        <v>1279029</v>
      </c>
      <c r="X105" s="2">
        <v>1120460</v>
      </c>
      <c r="Y105" s="2">
        <v>468564</v>
      </c>
      <c r="Z105" s="2">
        <v>2449616</v>
      </c>
      <c r="AA105" s="2">
        <v>2459612</v>
      </c>
      <c r="AB105" s="2">
        <v>1538724</v>
      </c>
      <c r="AC105" s="2">
        <v>3241866</v>
      </c>
      <c r="AD105" s="2">
        <v>4447434</v>
      </c>
      <c r="AE105" s="2">
        <v>638736</v>
      </c>
      <c r="AF105" s="2">
        <v>555664</v>
      </c>
      <c r="AG105" s="2">
        <v>110389</v>
      </c>
      <c r="AH105" s="2">
        <v>20808</v>
      </c>
      <c r="AI105" s="6">
        <v>804</v>
      </c>
    </row>
    <row r="106" spans="10:35" x14ac:dyDescent="0.35">
      <c r="J106" t="s">
        <v>153</v>
      </c>
      <c r="K106" s="2">
        <v>-2708</v>
      </c>
      <c r="L106" s="2">
        <v>612858</v>
      </c>
      <c r="M106" s="2">
        <v>615566</v>
      </c>
      <c r="N106" s="2">
        <v>194341</v>
      </c>
      <c r="O106" s="2">
        <v>49046</v>
      </c>
      <c r="P106" s="2">
        <v>2327489</v>
      </c>
      <c r="Q106" s="2">
        <v>114312</v>
      </c>
      <c r="R106" s="2">
        <v>205952</v>
      </c>
      <c r="S106" s="2">
        <v>1342985</v>
      </c>
      <c r="T106" s="2">
        <v>4321596</v>
      </c>
      <c r="U106" s="2">
        <v>1391361</v>
      </c>
      <c r="V106" s="2">
        <v>2145402</v>
      </c>
      <c r="W106" s="2">
        <v>1276026</v>
      </c>
      <c r="X106" s="2">
        <v>1121628</v>
      </c>
      <c r="Y106" s="2">
        <v>469568</v>
      </c>
      <c r="Z106" s="2">
        <v>2447453</v>
      </c>
      <c r="AA106" s="2">
        <v>2457325</v>
      </c>
      <c r="AB106" s="2">
        <v>1540197</v>
      </c>
      <c r="AC106" s="2">
        <v>3242830</v>
      </c>
      <c r="AD106" s="2">
        <v>4449524</v>
      </c>
      <c r="AE106" s="2">
        <v>639994</v>
      </c>
      <c r="AF106" s="2">
        <v>555518</v>
      </c>
      <c r="AG106" s="2">
        <v>109765</v>
      </c>
      <c r="AH106" s="2">
        <v>23199</v>
      </c>
      <c r="AI106" s="6">
        <v>799</v>
      </c>
    </row>
    <row r="107" spans="10:35" x14ac:dyDescent="0.35">
      <c r="J107" t="s">
        <v>154</v>
      </c>
      <c r="K107" s="2">
        <v>-28219</v>
      </c>
      <c r="L107" s="2">
        <v>593631</v>
      </c>
      <c r="M107" s="2">
        <v>621850</v>
      </c>
      <c r="N107" s="2">
        <v>194280</v>
      </c>
      <c r="O107" s="2">
        <v>48769</v>
      </c>
      <c r="P107" s="2">
        <v>2324602</v>
      </c>
      <c r="Q107" s="2">
        <v>114664</v>
      </c>
      <c r="R107" s="2">
        <v>206517</v>
      </c>
      <c r="S107" s="2">
        <v>1340138</v>
      </c>
      <c r="T107" s="2">
        <v>4310901</v>
      </c>
      <c r="U107" s="2">
        <v>1393654</v>
      </c>
      <c r="V107" s="2">
        <v>2128357</v>
      </c>
      <c r="W107" s="2">
        <v>1271397</v>
      </c>
      <c r="X107" s="2">
        <v>1122423</v>
      </c>
      <c r="Y107" s="2">
        <v>469401</v>
      </c>
      <c r="Z107" s="2">
        <v>2449619</v>
      </c>
      <c r="AA107" s="2">
        <v>2454677</v>
      </c>
      <c r="AB107" s="2">
        <v>1541408</v>
      </c>
      <c r="AC107" s="2">
        <v>3243240</v>
      </c>
      <c r="AD107" s="2">
        <v>4457075</v>
      </c>
      <c r="AE107" s="2">
        <v>639044</v>
      </c>
      <c r="AF107" s="2">
        <v>554832</v>
      </c>
      <c r="AG107" s="2">
        <v>109098</v>
      </c>
      <c r="AH107" s="2">
        <v>28706</v>
      </c>
      <c r="AI107" s="6">
        <v>782</v>
      </c>
    </row>
    <row r="108" spans="10:35" x14ac:dyDescent="0.35">
      <c r="J108" t="s">
        <v>155</v>
      </c>
      <c r="K108" s="2">
        <v>-35146</v>
      </c>
      <c r="L108" s="2">
        <v>585179</v>
      </c>
      <c r="M108" s="2">
        <v>620325</v>
      </c>
      <c r="N108" s="2">
        <v>194190</v>
      </c>
      <c r="O108" s="2">
        <v>48724</v>
      </c>
      <c r="P108" s="2">
        <v>2321558</v>
      </c>
      <c r="Q108" s="2">
        <v>115136</v>
      </c>
      <c r="R108" s="2">
        <v>206779</v>
      </c>
      <c r="S108" s="2">
        <v>1337464</v>
      </c>
      <c r="T108" s="2">
        <v>4305327</v>
      </c>
      <c r="U108" s="2">
        <v>1394059</v>
      </c>
      <c r="V108" s="2">
        <v>2108146</v>
      </c>
      <c r="W108" s="2">
        <v>1267893</v>
      </c>
      <c r="X108" s="2">
        <v>1124066</v>
      </c>
      <c r="Y108" s="2">
        <v>469811</v>
      </c>
      <c r="Z108" s="2">
        <v>2447957</v>
      </c>
      <c r="AA108" s="2">
        <v>2450462</v>
      </c>
      <c r="AB108" s="2">
        <v>1543905</v>
      </c>
      <c r="AC108" s="2">
        <v>3244178</v>
      </c>
      <c r="AD108" s="2">
        <v>4457864</v>
      </c>
      <c r="AE108" s="2">
        <v>639513</v>
      </c>
      <c r="AF108" s="2">
        <v>553414</v>
      </c>
      <c r="AG108" s="2">
        <v>108503</v>
      </c>
      <c r="AH108" s="2">
        <v>31825</v>
      </c>
      <c r="AI108" s="6">
        <v>760</v>
      </c>
    </row>
    <row r="109" spans="10:35" x14ac:dyDescent="0.35">
      <c r="J109" t="s">
        <v>156</v>
      </c>
      <c r="K109" s="2">
        <v>-54996</v>
      </c>
      <c r="L109" s="2">
        <v>555093</v>
      </c>
      <c r="M109" s="2">
        <v>610089</v>
      </c>
      <c r="N109" s="2">
        <v>192645</v>
      </c>
      <c r="O109" s="2">
        <v>48524</v>
      </c>
      <c r="P109" s="2">
        <v>2319413</v>
      </c>
      <c r="Q109" s="2">
        <v>115630</v>
      </c>
      <c r="R109" s="2">
        <v>207273</v>
      </c>
      <c r="S109" s="2">
        <v>1321781</v>
      </c>
      <c r="T109" s="2">
        <v>4301538</v>
      </c>
      <c r="U109" s="2">
        <v>1395415</v>
      </c>
      <c r="V109" s="2">
        <v>2098205</v>
      </c>
      <c r="W109" s="2">
        <v>1260346</v>
      </c>
      <c r="X109" s="2">
        <v>1123547</v>
      </c>
      <c r="Y109" s="2">
        <v>467793</v>
      </c>
      <c r="Z109" s="2">
        <v>2430263</v>
      </c>
      <c r="AA109" s="2">
        <v>2443748</v>
      </c>
      <c r="AB109" s="2">
        <v>1547906</v>
      </c>
      <c r="AC109" s="2">
        <v>3249498</v>
      </c>
      <c r="AD109" s="2">
        <v>4466691</v>
      </c>
      <c r="AE109" s="2">
        <v>638575</v>
      </c>
      <c r="AF109" s="2">
        <v>547569</v>
      </c>
      <c r="AG109" s="2">
        <v>107592</v>
      </c>
      <c r="AH109" s="2">
        <v>23769</v>
      </c>
      <c r="AI109" s="6">
        <v>736</v>
      </c>
    </row>
    <row r="110" spans="10:35" x14ac:dyDescent="0.35">
      <c r="J110" t="s">
        <v>157</v>
      </c>
      <c r="N110" s="2">
        <v>190967</v>
      </c>
      <c r="O110" s="2">
        <v>48212</v>
      </c>
      <c r="P110" s="2">
        <v>2310333</v>
      </c>
      <c r="Q110" s="2">
        <v>115408</v>
      </c>
      <c r="R110" s="2">
        <v>207164</v>
      </c>
      <c r="S110" s="2">
        <v>1309976</v>
      </c>
      <c r="T110" s="2">
        <v>4268365</v>
      </c>
      <c r="U110" s="2">
        <v>1390701</v>
      </c>
      <c r="V110" s="2">
        <v>2083595</v>
      </c>
      <c r="W110" s="2">
        <v>1250984</v>
      </c>
      <c r="X110" s="2">
        <v>1123860</v>
      </c>
      <c r="Y110" s="2">
        <v>464585</v>
      </c>
      <c r="Z110" s="2">
        <v>2413168</v>
      </c>
      <c r="AA110" s="2">
        <v>2453488</v>
      </c>
      <c r="AB110" s="2">
        <v>1548832</v>
      </c>
      <c r="AC110" s="2">
        <v>3252616</v>
      </c>
      <c r="AD110" s="2">
        <v>4449172</v>
      </c>
      <c r="AE110" s="2">
        <v>643447</v>
      </c>
      <c r="AF110" s="2">
        <v>542140</v>
      </c>
      <c r="AG110" s="2">
        <v>107800</v>
      </c>
      <c r="AH110" s="2">
        <v>24615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3EFE-81A4-480C-8615-0DCF4DA16BE3}">
  <dimension ref="A5:U17"/>
  <sheetViews>
    <sheetView workbookViewId="0">
      <selection activeCell="U10" sqref="U10:U17"/>
    </sheetView>
  </sheetViews>
  <sheetFormatPr defaultRowHeight="14.5" x14ac:dyDescent="0.35"/>
  <sheetData>
    <row r="5" spans="1:21" x14ac:dyDescent="0.35">
      <c r="A5" s="1" t="s">
        <v>199</v>
      </c>
      <c r="B5" s="3" t="s">
        <v>158</v>
      </c>
      <c r="C5" s="3" t="s">
        <v>159</v>
      </c>
      <c r="D5" s="3" t="s">
        <v>160</v>
      </c>
      <c r="E5" s="3" t="s">
        <v>161</v>
      </c>
      <c r="F5" s="3" t="s">
        <v>162</v>
      </c>
      <c r="G5" s="3" t="s">
        <v>163</v>
      </c>
      <c r="H5" s="3" t="s">
        <v>164</v>
      </c>
      <c r="I5" s="3" t="s">
        <v>165</v>
      </c>
      <c r="J5" s="3" t="s">
        <v>166</v>
      </c>
      <c r="K5" s="3" t="s">
        <v>167</v>
      </c>
      <c r="L5" s="3" t="s">
        <v>168</v>
      </c>
      <c r="M5" s="3" t="s">
        <v>169</v>
      </c>
      <c r="N5" s="3" t="s">
        <v>170</v>
      </c>
      <c r="O5" s="3" t="s">
        <v>171</v>
      </c>
      <c r="P5" s="3" t="s">
        <v>172</v>
      </c>
      <c r="Q5" s="3" t="s">
        <v>173</v>
      </c>
      <c r="R5" s="3" t="s">
        <v>174</v>
      </c>
      <c r="S5" s="3" t="s">
        <v>175</v>
      </c>
      <c r="T5" s="3" t="s">
        <v>176</v>
      </c>
    </row>
    <row r="6" spans="1:21" x14ac:dyDescent="0.35">
      <c r="A6" t="s">
        <v>29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  <c r="O6" t="s">
        <v>193</v>
      </c>
      <c r="P6" t="s">
        <v>194</v>
      </c>
      <c r="Q6" t="s">
        <v>195</v>
      </c>
      <c r="R6" t="s">
        <v>196</v>
      </c>
      <c r="S6" t="s">
        <v>197</v>
      </c>
      <c r="T6" t="s">
        <v>198</v>
      </c>
      <c r="U6" t="s">
        <v>198</v>
      </c>
    </row>
    <row r="7" spans="1:21" x14ac:dyDescent="0.35">
      <c r="A7" t="s">
        <v>28</v>
      </c>
      <c r="B7" t="s">
        <v>179</v>
      </c>
      <c r="C7" t="s">
        <v>179</v>
      </c>
      <c r="D7" t="s">
        <v>179</v>
      </c>
      <c r="E7" t="s">
        <v>179</v>
      </c>
      <c r="F7" t="s">
        <v>179</v>
      </c>
      <c r="G7" t="s">
        <v>179</v>
      </c>
      <c r="H7" t="s">
        <v>179</v>
      </c>
      <c r="I7" t="s">
        <v>179</v>
      </c>
      <c r="J7" t="s">
        <v>179</v>
      </c>
      <c r="K7" t="s">
        <v>179</v>
      </c>
      <c r="L7" t="s">
        <v>179</v>
      </c>
      <c r="M7" t="s">
        <v>179</v>
      </c>
      <c r="N7" t="s">
        <v>179</v>
      </c>
      <c r="O7" t="s">
        <v>179</v>
      </c>
      <c r="P7" t="s">
        <v>179</v>
      </c>
      <c r="Q7" t="s">
        <v>179</v>
      </c>
      <c r="R7" t="s">
        <v>179</v>
      </c>
      <c r="S7" t="s">
        <v>179</v>
      </c>
      <c r="T7" t="s">
        <v>179</v>
      </c>
      <c r="U7" t="s">
        <v>179</v>
      </c>
    </row>
    <row r="8" spans="1:21" x14ac:dyDescent="0.35">
      <c r="A8" t="s">
        <v>27</v>
      </c>
      <c r="B8" t="s">
        <v>178</v>
      </c>
      <c r="C8" t="s">
        <v>178</v>
      </c>
      <c r="D8" t="s">
        <v>178</v>
      </c>
      <c r="E8" t="s">
        <v>178</v>
      </c>
      <c r="F8" t="s">
        <v>178</v>
      </c>
      <c r="G8" t="s">
        <v>178</v>
      </c>
      <c r="H8" t="s">
        <v>178</v>
      </c>
      <c r="I8" t="s">
        <v>178</v>
      </c>
      <c r="J8" t="s">
        <v>178</v>
      </c>
      <c r="K8" t="s">
        <v>178</v>
      </c>
      <c r="L8" t="s">
        <v>178</v>
      </c>
      <c r="M8" t="s">
        <v>178</v>
      </c>
      <c r="N8" t="s">
        <v>178</v>
      </c>
      <c r="O8" t="s">
        <v>178</v>
      </c>
      <c r="P8" t="s">
        <v>178</v>
      </c>
      <c r="Q8" t="s">
        <v>178</v>
      </c>
      <c r="R8" t="s">
        <v>178</v>
      </c>
      <c r="S8" t="s">
        <v>178</v>
      </c>
      <c r="T8" t="s">
        <v>178</v>
      </c>
      <c r="U8" t="s">
        <v>178</v>
      </c>
    </row>
    <row r="9" spans="1:21" x14ac:dyDescent="0.35">
      <c r="A9" t="s">
        <v>26</v>
      </c>
      <c r="B9" t="s">
        <v>177</v>
      </c>
      <c r="C9" t="s">
        <v>177</v>
      </c>
      <c r="D9" t="s">
        <v>177</v>
      </c>
      <c r="E9" t="s">
        <v>177</v>
      </c>
      <c r="F9" t="s">
        <v>177</v>
      </c>
      <c r="G9" t="s">
        <v>177</v>
      </c>
      <c r="H9" t="s">
        <v>177</v>
      </c>
      <c r="I9" t="s">
        <v>177</v>
      </c>
      <c r="J9" t="s">
        <v>177</v>
      </c>
      <c r="K9" t="s">
        <v>177</v>
      </c>
      <c r="L9" t="s">
        <v>177</v>
      </c>
      <c r="M9" t="s">
        <v>177</v>
      </c>
      <c r="N9" t="s">
        <v>177</v>
      </c>
      <c r="O9" t="s">
        <v>177</v>
      </c>
      <c r="P9" t="s">
        <v>177</v>
      </c>
      <c r="Q9" t="s">
        <v>177</v>
      </c>
      <c r="R9" t="s">
        <v>177</v>
      </c>
      <c r="S9" t="s">
        <v>177</v>
      </c>
      <c r="T9" t="s">
        <v>177</v>
      </c>
      <c r="U9" t="s">
        <v>177</v>
      </c>
    </row>
    <row r="10" spans="1:21" x14ac:dyDescent="0.35">
      <c r="A10" t="s">
        <v>200</v>
      </c>
      <c r="B10" s="2">
        <v>23093</v>
      </c>
      <c r="C10" s="2">
        <v>39597</v>
      </c>
      <c r="D10" s="2">
        <v>29185</v>
      </c>
      <c r="E10" s="2">
        <v>39941</v>
      </c>
      <c r="F10" s="2">
        <v>29885</v>
      </c>
      <c r="G10" s="2">
        <v>31200</v>
      </c>
      <c r="H10" s="2">
        <v>23794</v>
      </c>
      <c r="I10" s="2">
        <v>29234</v>
      </c>
      <c r="J10" s="2">
        <v>19034</v>
      </c>
      <c r="K10" s="2">
        <v>39048</v>
      </c>
      <c r="L10" s="2">
        <v>40612</v>
      </c>
      <c r="M10" s="2">
        <v>27445</v>
      </c>
      <c r="N10" s="2">
        <v>35356</v>
      </c>
      <c r="O10" s="2">
        <v>24610</v>
      </c>
      <c r="P10" s="2">
        <v>32366</v>
      </c>
      <c r="Q10" s="2">
        <v>30691</v>
      </c>
      <c r="R10" s="2">
        <v>25412</v>
      </c>
      <c r="S10" s="2">
        <v>23619</v>
      </c>
      <c r="T10" s="2">
        <v>25201</v>
      </c>
      <c r="U10" s="2"/>
    </row>
    <row r="11" spans="1:21" x14ac:dyDescent="0.35">
      <c r="A11" t="s">
        <v>201</v>
      </c>
      <c r="B11" s="2">
        <v>23978</v>
      </c>
      <c r="C11" s="2">
        <v>40188</v>
      </c>
      <c r="D11" s="2">
        <v>30081</v>
      </c>
      <c r="E11" s="2">
        <v>40490</v>
      </c>
      <c r="F11" s="2">
        <v>31051</v>
      </c>
      <c r="G11" s="2">
        <v>32610</v>
      </c>
      <c r="H11" s="2">
        <v>24591</v>
      </c>
      <c r="I11" s="2">
        <v>29028</v>
      </c>
      <c r="J11" s="2">
        <v>19757</v>
      </c>
      <c r="K11" s="2">
        <v>40484</v>
      </c>
      <c r="L11" s="2">
        <v>41799</v>
      </c>
      <c r="M11" s="2">
        <v>28483</v>
      </c>
      <c r="N11" s="2">
        <v>36464</v>
      </c>
      <c r="O11" s="2">
        <v>25569</v>
      </c>
      <c r="P11" s="2">
        <v>33666</v>
      </c>
      <c r="Q11" s="2">
        <v>31308</v>
      </c>
      <c r="R11" s="2">
        <v>26372</v>
      </c>
      <c r="S11" s="2">
        <v>24550</v>
      </c>
      <c r="T11" s="2">
        <v>25823</v>
      </c>
      <c r="U11" s="2"/>
    </row>
    <row r="12" spans="1:21" x14ac:dyDescent="0.35">
      <c r="A12" t="s">
        <v>202</v>
      </c>
      <c r="B12" s="2">
        <v>25000</v>
      </c>
      <c r="C12" s="2">
        <v>39635</v>
      </c>
      <c r="D12" s="2">
        <v>30632</v>
      </c>
      <c r="E12" s="2">
        <v>41611</v>
      </c>
      <c r="F12" s="2">
        <v>33229</v>
      </c>
      <c r="G12" s="2">
        <v>33767</v>
      </c>
      <c r="H12" s="2">
        <v>25382</v>
      </c>
      <c r="I12" s="2">
        <v>31269</v>
      </c>
      <c r="J12" s="2">
        <v>21003</v>
      </c>
      <c r="K12" s="2">
        <v>40845</v>
      </c>
      <c r="L12" s="2">
        <v>42995</v>
      </c>
      <c r="M12" s="2">
        <v>29121</v>
      </c>
      <c r="N12" s="2">
        <v>36763</v>
      </c>
      <c r="O12" s="2">
        <v>26704</v>
      </c>
      <c r="P12" s="2">
        <v>33338</v>
      </c>
      <c r="Q12" s="2">
        <v>31986</v>
      </c>
      <c r="R12" s="2">
        <v>26847</v>
      </c>
      <c r="S12" s="2">
        <v>25211</v>
      </c>
      <c r="T12" s="2">
        <v>26673</v>
      </c>
      <c r="U12" s="2"/>
    </row>
    <row r="13" spans="1:21" x14ac:dyDescent="0.35">
      <c r="A13" t="s">
        <v>203</v>
      </c>
      <c r="B13" s="2">
        <v>26006</v>
      </c>
      <c r="C13" s="2">
        <v>42403</v>
      </c>
      <c r="D13" s="2">
        <v>31860</v>
      </c>
      <c r="E13" s="2">
        <v>42443</v>
      </c>
      <c r="F13" s="2">
        <v>33685</v>
      </c>
      <c r="G13" s="2">
        <v>35176</v>
      </c>
      <c r="H13" s="2">
        <v>26041</v>
      </c>
      <c r="I13" s="2">
        <v>32408</v>
      </c>
      <c r="J13" s="2">
        <v>22647</v>
      </c>
      <c r="K13" s="2">
        <v>42228</v>
      </c>
      <c r="L13" s="2">
        <v>43236</v>
      </c>
      <c r="M13" s="2">
        <v>30354</v>
      </c>
      <c r="N13" s="2">
        <v>37793</v>
      </c>
      <c r="O13" s="2">
        <v>27922</v>
      </c>
      <c r="P13" s="2">
        <v>33458</v>
      </c>
      <c r="Q13" s="2">
        <v>32846</v>
      </c>
      <c r="R13" s="2">
        <v>27489</v>
      </c>
      <c r="S13" s="2">
        <v>27443</v>
      </c>
      <c r="T13" s="2">
        <v>27052</v>
      </c>
      <c r="U13" s="2"/>
    </row>
    <row r="14" spans="1:21" x14ac:dyDescent="0.35">
      <c r="A14" t="s">
        <v>204</v>
      </c>
      <c r="B14" s="2">
        <v>26363</v>
      </c>
      <c r="C14" s="2">
        <v>37567</v>
      </c>
      <c r="D14" s="2">
        <v>31676</v>
      </c>
      <c r="E14" s="2">
        <v>43430</v>
      </c>
      <c r="F14" s="2">
        <v>32069</v>
      </c>
      <c r="G14" s="2">
        <v>34892</v>
      </c>
      <c r="H14" s="2">
        <v>26244</v>
      </c>
      <c r="I14" s="2">
        <v>31902</v>
      </c>
      <c r="J14" s="2">
        <v>20015</v>
      </c>
      <c r="K14" s="2">
        <v>41552</v>
      </c>
      <c r="L14" s="2">
        <v>43508</v>
      </c>
      <c r="M14" s="2">
        <v>30171</v>
      </c>
      <c r="N14" s="2">
        <v>37246</v>
      </c>
      <c r="O14" s="2">
        <v>27068</v>
      </c>
      <c r="P14" s="2">
        <v>33447</v>
      </c>
      <c r="Q14" s="2">
        <v>33910</v>
      </c>
      <c r="R14" s="2">
        <v>28181</v>
      </c>
      <c r="S14" s="2">
        <v>25548</v>
      </c>
      <c r="T14" s="2">
        <v>27723</v>
      </c>
      <c r="U14" s="2"/>
    </row>
    <row r="15" spans="1:21" x14ac:dyDescent="0.35">
      <c r="A15" t="s">
        <v>205</v>
      </c>
      <c r="B15" s="2">
        <v>27321</v>
      </c>
      <c r="C15" s="2">
        <v>43007</v>
      </c>
      <c r="D15" s="2">
        <v>32553</v>
      </c>
      <c r="E15" s="2">
        <v>49673</v>
      </c>
      <c r="F15" s="2">
        <v>34317</v>
      </c>
      <c r="G15" s="2">
        <v>36300</v>
      </c>
      <c r="H15" s="2">
        <v>27911</v>
      </c>
      <c r="I15" s="2">
        <v>34128</v>
      </c>
      <c r="J15" s="2">
        <v>23104</v>
      </c>
      <c r="K15" s="2">
        <v>42326</v>
      </c>
      <c r="L15" s="2">
        <v>45032</v>
      </c>
      <c r="M15" s="2">
        <v>30188</v>
      </c>
      <c r="N15" s="2">
        <v>39267</v>
      </c>
      <c r="O15" s="2">
        <v>29181</v>
      </c>
      <c r="P15" s="2">
        <v>35976</v>
      </c>
      <c r="Q15" s="2">
        <v>34766</v>
      </c>
      <c r="R15" s="2">
        <v>30101</v>
      </c>
      <c r="S15" s="2">
        <v>28337</v>
      </c>
      <c r="T15" s="2">
        <v>28407</v>
      </c>
      <c r="U15" s="2"/>
    </row>
    <row r="16" spans="1:21" x14ac:dyDescent="0.35">
      <c r="A16" t="s">
        <v>206</v>
      </c>
      <c r="B16" s="2">
        <v>29355</v>
      </c>
      <c r="C16" s="2">
        <v>46978</v>
      </c>
      <c r="D16" s="2">
        <v>34950</v>
      </c>
      <c r="E16" s="2">
        <v>50528</v>
      </c>
      <c r="F16" s="2">
        <v>36531</v>
      </c>
      <c r="G16" s="2">
        <v>38005</v>
      </c>
      <c r="H16" s="2">
        <v>29963</v>
      </c>
      <c r="I16" s="2">
        <v>34899</v>
      </c>
      <c r="J16" s="2">
        <v>25522</v>
      </c>
      <c r="K16" s="2">
        <v>44733</v>
      </c>
      <c r="L16" s="2">
        <v>48197</v>
      </c>
      <c r="M16" s="2">
        <v>32675</v>
      </c>
      <c r="N16" s="2">
        <v>41453</v>
      </c>
      <c r="O16" s="2">
        <v>30999</v>
      </c>
      <c r="P16" s="2">
        <v>36804</v>
      </c>
      <c r="Q16" s="2">
        <v>36362</v>
      </c>
      <c r="R16" s="2">
        <v>32194</v>
      </c>
      <c r="S16" s="2">
        <v>30000</v>
      </c>
      <c r="T16" s="2">
        <v>29692</v>
      </c>
      <c r="U16" s="2"/>
    </row>
    <row r="17" spans="1:21" x14ac:dyDescent="0.35">
      <c r="A17" t="s">
        <v>178</v>
      </c>
      <c r="B17" s="2">
        <v>31795</v>
      </c>
      <c r="C17" s="2">
        <v>47599</v>
      </c>
      <c r="D17" s="2">
        <v>37071</v>
      </c>
      <c r="E17" s="2">
        <v>53161</v>
      </c>
      <c r="F17" s="2">
        <v>39447</v>
      </c>
      <c r="G17" s="2">
        <v>41319</v>
      </c>
      <c r="H17" s="2">
        <v>32126</v>
      </c>
      <c r="I17" s="2">
        <v>38101</v>
      </c>
      <c r="J17" s="2">
        <v>27414</v>
      </c>
      <c r="K17" s="2">
        <v>48320</v>
      </c>
      <c r="L17" s="2">
        <v>52247</v>
      </c>
      <c r="M17" s="2">
        <v>34623</v>
      </c>
      <c r="N17" s="2">
        <v>44212</v>
      </c>
      <c r="O17" s="2">
        <v>33250</v>
      </c>
      <c r="P17" s="2">
        <v>39219</v>
      </c>
      <c r="Q17" s="2">
        <v>38240</v>
      </c>
      <c r="R17" s="2">
        <v>34273</v>
      </c>
      <c r="S17" s="2">
        <v>31875</v>
      </c>
      <c r="T17" s="2">
        <v>32000</v>
      </c>
      <c r="U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Sectors</vt:lpstr>
      <vt:lpstr>Inflows</vt:lpstr>
      <vt:lpstr>Outflows</vt:lpstr>
      <vt:lpstr>HAVERM</vt:lpstr>
      <vt:lpstr>HAVERA</vt:lpstr>
      <vt:lpstr>Chart1</vt:lpstr>
      <vt:lpstr>Chart2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Swannell</dc:creator>
  <cp:lastModifiedBy>Edward Allenby</cp:lastModifiedBy>
  <dcterms:created xsi:type="dcterms:W3CDTF">2025-06-10T10:54:56Z</dcterms:created>
  <dcterms:modified xsi:type="dcterms:W3CDTF">2025-06-26T23:14:25Z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2025-06-10T13:50:17Z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90c0aead-c5b9-4433-a4ae-9609e277f30d</vt:lpwstr>
  </property>
  <property fmtid="{D5CDD505-2E9C-101B-9397-08002B2CF9AE}" pid="8" name="MSIP_Label_3b83b38b-8e91-4f17-8371-95d3d41e26c0_ContentBits">
    <vt:lpwstr>0</vt:lpwstr>
  </property>
</Properties>
</file>